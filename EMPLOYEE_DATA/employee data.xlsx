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MLS\Desktop\Data_Analytics\"/>
    </mc:Choice>
  </mc:AlternateContent>
  <bookViews>
    <workbookView xWindow="0" yWindow="0" windowWidth="19200" windowHeight="5770" tabRatio="654"/>
  </bookViews>
  <sheets>
    <sheet name="data" sheetId="1" r:id="rId1"/>
    <sheet name="Learning &amp; Growth" sheetId="15" r:id="rId2"/>
    <sheet name="career switch" sheetId="14" r:id="rId3"/>
    <sheet name="fiedl_salary" sheetId="5" r:id="rId4"/>
    <sheet name="sal_Field" sheetId="7" r:id="rId5"/>
    <sheet name="shift_satisfy" sheetId="13" r:id="rId6"/>
    <sheet name="Salary Distribution" sheetId="2" r:id="rId7"/>
  </sheets>
  <definedNames>
    <definedName name="_xlnm._FilterDatabase" localSheetId="6" hidden="1">'Salary Distribution'!$E$1:$E$640</definedName>
  </definedNames>
  <calcPr calcId="0"/>
  <pivotCaches>
    <pivotCache cacheId="107" r:id="rId8"/>
    <pivotCache cacheId="52" r:id="rId9"/>
    <pivotCache cacheId="90" r:id="rId10"/>
  </pivotCaches>
</workbook>
</file>

<file path=xl/calcChain.xml><?xml version="1.0" encoding="utf-8"?>
<calcChain xmlns="http://schemas.openxmlformats.org/spreadsheetml/2006/main">
  <c r="A11" i="2" l="1"/>
  <c r="A5" i="2"/>
  <c r="A8" i="2"/>
  <c r="A2" i="15"/>
  <c r="H2" i="14"/>
  <c r="G2" i="14"/>
  <c r="E2" i="14"/>
  <c r="D2" i="14"/>
  <c r="B2" i="14"/>
  <c r="A2" i="14"/>
  <c r="A2" i="2"/>
  <c r="M626" i="1"/>
</calcChain>
</file>

<file path=xl/sharedStrings.xml><?xml version="1.0" encoding="utf-8"?>
<sst xmlns="http://schemas.openxmlformats.org/spreadsheetml/2006/main" count="8221" uniqueCount="740">
  <si>
    <t>Unique ID</t>
  </si>
  <si>
    <t>Email</t>
  </si>
  <si>
    <t>Date_Taken</t>
  </si>
  <si>
    <t>Time_Taken</t>
  </si>
  <si>
    <t>Time_Spent</t>
  </si>
  <si>
    <t>Browser</t>
  </si>
  <si>
    <t>OS</t>
  </si>
  <si>
    <t>City</t>
  </si>
  <si>
    <t>Country</t>
  </si>
  <si>
    <t>Referrer</t>
  </si>
  <si>
    <t>Current_Role</t>
  </si>
  <si>
    <t>Switched_Careers</t>
  </si>
  <si>
    <t>Yearly_Salary</t>
  </si>
  <si>
    <t>Average_yearly_Salary</t>
  </si>
  <si>
    <t>Industry</t>
  </si>
  <si>
    <t>Programming_Language</t>
  </si>
  <si>
    <t>Salary_Satisfaction</t>
  </si>
  <si>
    <t>Work/Life_Balance_Satisfaction</t>
  </si>
  <si>
    <t>Coworkers_Satisfaction</t>
  </si>
  <si>
    <t>Management_Satisfaction</t>
  </si>
  <si>
    <t>Upward_Mobility_Satisfaction</t>
  </si>
  <si>
    <t>Learning_New_Things_Satisfaction</t>
  </si>
  <si>
    <t>Break_into_Data</t>
  </si>
  <si>
    <t>New_Job_Type</t>
  </si>
  <si>
    <t>Sex</t>
  </si>
  <si>
    <t>Age</t>
  </si>
  <si>
    <t>Education_Level</t>
  </si>
  <si>
    <t>Ethnicity</t>
  </si>
  <si>
    <t>62a33b3db4da29969c62df3d</t>
  </si>
  <si>
    <t>anonymous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</si>
  <si>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</si>
  <si>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</si>
  <si>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</si>
  <si>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</si>
  <si>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</si>
  <si>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</si>
  <si>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</si>
  <si>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</si>
  <si>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</si>
  <si>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</si>
  <si>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</si>
  <si>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</si>
  <si>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</si>
  <si>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</si>
  <si>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</si>
  <si>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</si>
  <si>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</si>
  <si>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</si>
  <si>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Data Engineer</t>
  </si>
  <si>
    <t>0-40k</t>
  </si>
  <si>
    <t>Other</t>
  </si>
  <si>
    <t>Easy</t>
  </si>
  <si>
    <t>Good Work/Life Balance</t>
  </si>
  <si>
    <t>Black or African American</t>
  </si>
  <si>
    <t>62a33c8624a26260273822f9</t>
  </si>
  <si>
    <t>150k-225k</t>
  </si>
  <si>
    <t>Very Easy</t>
  </si>
  <si>
    <t>Female</t>
  </si>
  <si>
    <t>62a33c91f3072dd892621e03</t>
  </si>
  <si>
    <t>Difficult</t>
  </si>
  <si>
    <t>Better Salary</t>
  </si>
  <si>
    <t>62a33cb6cf25554317300177</t>
  </si>
  <si>
    <t>62a33cb72e54c9003e531c65</t>
  </si>
  <si>
    <t>Data Scientist</t>
  </si>
  <si>
    <t>62a33cd30f8c8599d5af0f8f</t>
  </si>
  <si>
    <t>125k-150k</t>
  </si>
  <si>
    <t>Neither easy nor difficult</t>
  </si>
  <si>
    <t>62a33cd3cf255543173001d9</t>
  </si>
  <si>
    <t>86k-105k</t>
  </si>
  <si>
    <t>62a33cd8bc6861bf3176c05f</t>
  </si>
  <si>
    <t>Telecommunication</t>
  </si>
  <si>
    <t>Hispanic or Latino</t>
  </si>
  <si>
    <t>62a33ce918134ddc75ce8c30</t>
  </si>
  <si>
    <t>66k-85k</t>
  </si>
  <si>
    <t>62a33cf30a77c1a77f65baa2</t>
  </si>
  <si>
    <t>62a33d15f408bae018ed370d</t>
  </si>
  <si>
    <t>Tech</t>
  </si>
  <si>
    <t>62a33d1ebae91e4b8b82e707</t>
  </si>
  <si>
    <t>Education</t>
  </si>
  <si>
    <t>United Kingdom</t>
  </si>
  <si>
    <t>62a33d4624a26260273824c4</t>
  </si>
  <si>
    <t>Construction</t>
  </si>
  <si>
    <t>Good Culture</t>
  </si>
  <si>
    <t>62a33d5c0f8c8599d5af107c</t>
  </si>
  <si>
    <t>62a33d850f8c8599d5af10cb</t>
  </si>
  <si>
    <t>62a33d9bf8f7561645852496</t>
  </si>
  <si>
    <t>Student</t>
  </si>
  <si>
    <t>62a33dbdd8c00e9f5419cd65</t>
  </si>
  <si>
    <t>62a33de124a26260273826b2</t>
  </si>
  <si>
    <t>62a33dedd8c00e9f5419ce2b</t>
  </si>
  <si>
    <t>62a33dfbd8c00e9f5419ceda</t>
  </si>
  <si>
    <t>62a33e38f3072dd8926221d3</t>
  </si>
  <si>
    <t>62a33e54d8c00e9f5419cfe9</t>
  </si>
  <si>
    <t>62a33e62575fa3a5ae88aabf</t>
  </si>
  <si>
    <t>62a33e63cec54911e9ca4f99</t>
  </si>
  <si>
    <t>India</t>
  </si>
  <si>
    <t>62a33e72bae91e4b8b82ea1a</t>
  </si>
  <si>
    <t>62a33e890f8c8599d5af13b9</t>
  </si>
  <si>
    <t>62a33e8bf8d5efcc22f7c79a</t>
  </si>
  <si>
    <t>62a33e90cec54911e9ca5031</t>
  </si>
  <si>
    <t>62a33e9df8f756164585277b</t>
  </si>
  <si>
    <t>62a33eb6bc6861bf3176c5a3</t>
  </si>
  <si>
    <t>62a33ee0bae91e4b8b82eaec</t>
  </si>
  <si>
    <t>62a33ee80f8c8599d5af14b7</t>
  </si>
  <si>
    <t>62a33efe0a77c1a77f65bf1e</t>
  </si>
  <si>
    <t>62a33f0ef408bae018ed3aeb</t>
  </si>
  <si>
    <t>62a33f17f8f7561645852867</t>
  </si>
  <si>
    <t>62a33f52bc6861bf3176c72c</t>
  </si>
  <si>
    <t>62a33f56cf255543173005e9</t>
  </si>
  <si>
    <t>62a33f5a5d257a28a30d7bb5</t>
  </si>
  <si>
    <t>62a33fa5cec54911e9ca51f1</t>
  </si>
  <si>
    <t>62a33fcb575fa3a5ae88ad59</t>
  </si>
  <si>
    <t>JavaScript</t>
  </si>
  <si>
    <t>62a33fcf18134ddc75ce91c3</t>
  </si>
  <si>
    <t>62a34006d8c00e9f5419d341</t>
  </si>
  <si>
    <t>62a34020575fa3a5ae88ade0</t>
  </si>
  <si>
    <t>62a34038b4da29969c62eafe</t>
  </si>
  <si>
    <t>62a3406b575fa3a5ae88ae78</t>
  </si>
  <si>
    <t>62a340cab4da29969c62ec01</t>
  </si>
  <si>
    <t>62a340d62e54c9003e5324b4</t>
  </si>
  <si>
    <t>High School</t>
  </si>
  <si>
    <t>62a340e10a77c1a77f65c2e7</t>
  </si>
  <si>
    <t>62a340f5bc6861bf3176caa4</t>
  </si>
  <si>
    <t>62a34117cec54911e9ca54e7</t>
  </si>
  <si>
    <t>Bachelors</t>
  </si>
  <si>
    <t>62a3413a5d257a28a30d8074</t>
  </si>
  <si>
    <t>Masters</t>
  </si>
  <si>
    <t>62a341a1f3072dd8926229a5</t>
  </si>
  <si>
    <t>null</t>
  </si>
  <si>
    <t>62a341b0f8f7561645852d1d</t>
  </si>
  <si>
    <t>62a341e8f8d5efcc22f7d002</t>
  </si>
  <si>
    <t>C/C++</t>
  </si>
  <si>
    <t>62a34210cf25554317300c02</t>
  </si>
  <si>
    <t>Associates</t>
  </si>
  <si>
    <t>62a3424eb4da29969c62eedd</t>
  </si>
  <si>
    <t>62a34256bae91e4b8b82f16d</t>
  </si>
  <si>
    <t>62a3426cf408bae018ed409b</t>
  </si>
  <si>
    <t>62a34272f8d5efcc22f7d15f</t>
  </si>
  <si>
    <t>62a34340bc6861bf3176d05b</t>
  </si>
  <si>
    <t>62a34383b4da29969c62f1be</t>
  </si>
  <si>
    <t>62a34389cec54911e9ca5a22</t>
  </si>
  <si>
    <t>62a343a22e54c9003e532a2a</t>
  </si>
  <si>
    <t>62a343d9f3072dd892622fe4</t>
  </si>
  <si>
    <t>62a34400d8c00e9f5419dc2b</t>
  </si>
  <si>
    <t>62a34425f8d5efcc22f7d525</t>
  </si>
  <si>
    <t>62a34449575fa3a5ae88b637</t>
  </si>
  <si>
    <t>62a3445dcf255543173011e1</t>
  </si>
  <si>
    <t>62a3447a575fa3a5ae88b6c0</t>
  </si>
  <si>
    <t>62a3449f7dc029e2d66bf5d1</t>
  </si>
  <si>
    <t>62a344c5f408bae018ed4806</t>
  </si>
  <si>
    <t>62a344c6f8d5efcc22f7d6e1</t>
  </si>
  <si>
    <t>62a344e1f3072dd892623328</t>
  </si>
  <si>
    <t>62a3450424a262602738357f</t>
  </si>
  <si>
    <t>PhD</t>
  </si>
  <si>
    <t>62a3452818134ddc75ce9e1b</t>
  </si>
  <si>
    <t>62a345490a77c1a77f65cc5b</t>
  </si>
  <si>
    <t>62a3455bbc6861bf3176d57a</t>
  </si>
  <si>
    <t>62a3457bf8d5efcc22f7da17</t>
  </si>
  <si>
    <t>62a345b2bae91e4b8b82fad6</t>
  </si>
  <si>
    <t>62a345c47dc029e2d66bf80a</t>
  </si>
  <si>
    <t>62a345e25d257a28a30d8b43</t>
  </si>
  <si>
    <t>62a34646f8d5efcc22f7dc5c</t>
  </si>
  <si>
    <t>62a34687f408bae018ed4c52</t>
  </si>
  <si>
    <t>62a346a37dc029e2d66bfa6d</t>
  </si>
  <si>
    <t>62a346a95d257a28a30d8cb9</t>
  </si>
  <si>
    <t>62a346b4bc6861bf3176d7ce</t>
  </si>
  <si>
    <t>62a346cef8f756164585385b</t>
  </si>
  <si>
    <t>62a346d724a2626027383abd</t>
  </si>
  <si>
    <t>62a346d90a77c1a77f65d08d</t>
  </si>
  <si>
    <t>62a34726f8d5efcc22f7dec7</t>
  </si>
  <si>
    <t>62a3476c5d257a28a30d8e6d</t>
  </si>
  <si>
    <t>62a347b4f8f7561645853a98</t>
  </si>
  <si>
    <t>62a347f6b4da29969c62fb79</t>
  </si>
  <si>
    <t>62a3483018134ddc75cea4e6</t>
  </si>
  <si>
    <t>62a348650f8c8599d5af2b77</t>
  </si>
  <si>
    <t>62a3489318134ddc75cea659</t>
  </si>
  <si>
    <t>62a348bf2e54c9003e533634</t>
  </si>
  <si>
    <t>62a348c2f3072dd892623c10</t>
  </si>
  <si>
    <t>62a348f2f8d5efcc22f7e2ba</t>
  </si>
  <si>
    <t>62a349160a77c1a77f65d4db</t>
  </si>
  <si>
    <t>62a3493fb4da29969c62fe63</t>
  </si>
  <si>
    <t>62a3496e575fa3a5ae88c4e6</t>
  </si>
  <si>
    <t>62a3498e575fa3a5ae88c554</t>
  </si>
  <si>
    <t>62a34991b4da29969c62ff4b</t>
  </si>
  <si>
    <t>62a349bbf8f756164585400d</t>
  </si>
  <si>
    <t>62a349c7cec54911e9ca67c7</t>
  </si>
  <si>
    <t>62a349d5d8c00e9f5419ead2</t>
  </si>
  <si>
    <t>62a349e6b4da29969c63000c</t>
  </si>
  <si>
    <t>62a34a03cec54911e9ca6869</t>
  </si>
  <si>
    <t>62a34ab15d257a28a30d9589</t>
  </si>
  <si>
    <t>62a34abc0f8c8599d5af31c5</t>
  </si>
  <si>
    <t>62a34b07cec54911e9ca6b6e</t>
  </si>
  <si>
    <t>62a34b0eb4da29969c6302ce</t>
  </si>
  <si>
    <t>62a34b1b0f8c8599d5af328b</t>
  </si>
  <si>
    <t>62a34b5b5d257a28a30d96a6</t>
  </si>
  <si>
    <t>62a34b7ebae91e4b8b83076c</t>
  </si>
  <si>
    <t>62a34b99cec54911e9ca6e14</t>
  </si>
  <si>
    <t>62a34bb0f3072dd892624210</t>
  </si>
  <si>
    <t>62a34bd0cf2555431730208b</t>
  </si>
  <si>
    <t>62a34bd4f408bae018ed57bd</t>
  </si>
  <si>
    <t>62a34c66b4da29969c6305af</t>
  </si>
  <si>
    <t>62a34d1ff8f756164585465c</t>
  </si>
  <si>
    <t>62a34d4118134ddc75ceb0ed</t>
  </si>
  <si>
    <t>62a34da0f408bae018ed5abd</t>
  </si>
  <si>
    <t>62a34dbb5d257a28a30d9a61</t>
  </si>
  <si>
    <t>62a34e00f8f7561645854954</t>
  </si>
  <si>
    <t>62a34e082e54c9003e534118</t>
  </si>
  <si>
    <t>62a34eb7bc6861bf3176e6d8</t>
  </si>
  <si>
    <t>62a34f2af8f7561645854c1c</t>
  </si>
  <si>
    <t>62a34f3bf408bae018ed5e42</t>
  </si>
  <si>
    <t>62a34fa418134ddc75ceb509</t>
  </si>
  <si>
    <t>62a34fbacec54911e9ca776f</t>
  </si>
  <si>
    <t>62a34fc3f3072dd892624a45</t>
  </si>
  <si>
    <t>62a34ff1f408bae018ed601d</t>
  </si>
  <si>
    <t>62a34ff4f3072dd892624b32</t>
  </si>
  <si>
    <t>62a3505bd8c00e9f5419f8df</t>
  </si>
  <si>
    <t>62a350f7f3072dd892624d05</t>
  </si>
  <si>
    <t>62a35130f3072dd892624d9f</t>
  </si>
  <si>
    <t>62a351860a77c1a77f65e86b</t>
  </si>
  <si>
    <t>62a3519b24a262602738514a</t>
  </si>
  <si>
    <t>62a35236b4da29969c631214</t>
  </si>
  <si>
    <t>62a352a32e54c9003e534981</t>
  </si>
  <si>
    <t>62a352f00a77c1a77f65eae7</t>
  </si>
  <si>
    <t>62a353372e54c9003e534a40</t>
  </si>
  <si>
    <t>62a353565d257a28a30da59f</t>
  </si>
  <si>
    <t>62a353f07dc029e2d66c1783</t>
  </si>
  <si>
    <t>62a3545e0f8c8599d5af474b</t>
  </si>
  <si>
    <t>62a35472cec54911e9ca82bc</t>
  </si>
  <si>
    <t>62a354bdb4da29969c631700</t>
  </si>
  <si>
    <t>62a354e9cf255543173031ed</t>
  </si>
  <si>
    <t>62a35541f3072dd892625517</t>
  </si>
  <si>
    <t>62a355445d257a28a30dab12</t>
  </si>
  <si>
    <t>62a35631cf25554317303425</t>
  </si>
  <si>
    <t>62a357390a77c1a77f65f189</t>
  </si>
  <si>
    <t>62a3578b0a77c1a77f65f279</t>
  </si>
  <si>
    <t>62a357d30f8c8599d5af4ea3</t>
  </si>
  <si>
    <t>62a3582e575fa3a5ae88e506</t>
  </si>
  <si>
    <t>62a35878575fa3a5ae88e5d5</t>
  </si>
  <si>
    <t>62a35981bae91e4b8b8323dd</t>
  </si>
  <si>
    <t>62a35a2c7dc029e2d66c2519</t>
  </si>
  <si>
    <t>62a35aa2f8d5efcc22f8075d</t>
  </si>
  <si>
    <t>62a35ababae91e4b8b83269d</t>
  </si>
  <si>
    <t>62a35ae0575fa3a5ae88ea98</t>
  </si>
  <si>
    <t>62a35ae87dc029e2d66c279b</t>
  </si>
  <si>
    <t>62a35b13bc6861bf31770188</t>
  </si>
  <si>
    <t>62a35b72f408bae018ed76a8</t>
  </si>
  <si>
    <t>62a35b965d257a28a30db899</t>
  </si>
  <si>
    <t>62a35ba3f3072dd892626068</t>
  </si>
  <si>
    <t>62a35c890a77c1a77f65fdfa</t>
  </si>
  <si>
    <t>62a35d8f575fa3a5ae88efd6</t>
  </si>
  <si>
    <t>62a35d95cf25554317304386</t>
  </si>
  <si>
    <t>62a35e970a77c1a77f66035a</t>
  </si>
  <si>
    <t>62a35eabf408bae018ed7cbc</t>
  </si>
  <si>
    <t>62a35f0d24a2626027386a8b</t>
  </si>
  <si>
    <t>62a35f825d257a28a30dc128</t>
  </si>
  <si>
    <t>62a35fa0f8f7561645856c35</t>
  </si>
  <si>
    <t>62a35fc1f8f7561645856c98</t>
  </si>
  <si>
    <t>62a3602318134ddc75ced6b9</t>
  </si>
  <si>
    <t>62a360b8f8f7561645856ec4</t>
  </si>
  <si>
    <t>62a360dbd8c00e9f541a16cf</t>
  </si>
  <si>
    <t>62a36146f8f7561645856ff7</t>
  </si>
  <si>
    <t>62a361af0f8c8599d5af6277</t>
  </si>
  <si>
    <t>62a361cc575fa3a5ae88f908</t>
  </si>
  <si>
    <t>62a3620f0f8c8599d5af63a5</t>
  </si>
  <si>
    <t>62a36251d8c00e9f541a199e</t>
  </si>
  <si>
    <t>62a36275bc6861bf31771183</t>
  </si>
  <si>
    <t>62a3636c2e54c9003e536e6b</t>
  </si>
  <si>
    <t>62a365c2f8d5efcc22f81e2e</t>
  </si>
  <si>
    <t>62a365d5d8c00e9f541a20cf</t>
  </si>
  <si>
    <t>62a3670b575fa3a5ae890422</t>
  </si>
  <si>
    <t>62a3676bb4da29969c633ac7</t>
  </si>
  <si>
    <t>62a36794b4da29969c633b48</t>
  </si>
  <si>
    <t>62a367d224a2626027387b56</t>
  </si>
  <si>
    <t>62a367ed18134ddc75cee697</t>
  </si>
  <si>
    <t>62a36802f8f7561645857e38</t>
  </si>
  <si>
    <t>62a3684ebc6861bf31771f15</t>
  </si>
  <si>
    <t>62a3688df8f7561645857f7e</t>
  </si>
  <si>
    <t>62a368ee2e54c9003e537e4a</t>
  </si>
  <si>
    <t>62a369280a77c1a77f661ad0</t>
  </si>
  <si>
    <t>62a36969f8f756164585821d</t>
  </si>
  <si>
    <t>62a3697ff408bae018ed948b</t>
  </si>
  <si>
    <t>62a36ac6cf255543173063d8</t>
  </si>
  <si>
    <t>62a36ad1f408bae018ed9793</t>
  </si>
  <si>
    <t>62a36b6c24a26260273882a2</t>
  </si>
  <si>
    <t>62a36b862e54c9003e5383c6</t>
  </si>
  <si>
    <t>62a36d12f8d5efcc22f82cd8</t>
  </si>
  <si>
    <t>62a36d3124a262602738862c</t>
  </si>
  <si>
    <t>62a36e470a77c1a77f662470</t>
  </si>
  <si>
    <t>62a36e7024a262602738890a</t>
  </si>
  <si>
    <t>62a36fe67dc029e2d66c5303</t>
  </si>
  <si>
    <t>62a3701f575fa3a5ae89164e</t>
  </si>
  <si>
    <t>62a370635d257a28a30de5eb</t>
  </si>
  <si>
    <t>62a37128d8c00e9f541a39dd</t>
  </si>
  <si>
    <t>62a3715124a2626027388f02</t>
  </si>
  <si>
    <t>Real Estate</t>
  </si>
  <si>
    <t>62a37222cf2555431730732d</t>
  </si>
  <si>
    <t>62a373efbc6861bf3177360b</t>
  </si>
  <si>
    <t>62a3759e5d257a28a30def3a</t>
  </si>
  <si>
    <t>62a3777624a262602738997e</t>
  </si>
  <si>
    <t>62a377987dc029e2d66c638d</t>
  </si>
  <si>
    <t>Data Architect</t>
  </si>
  <si>
    <t>62a377f424a2626027389af3</t>
  </si>
  <si>
    <t>62a3784c0f8c8599d5af8fbc</t>
  </si>
  <si>
    <t>62a37a43d8c00e9f541a4a7c</t>
  </si>
  <si>
    <t>62a37a7818134ddc75cf0d4c</t>
  </si>
  <si>
    <t>Native Hawaiian or other Pacific Islander</t>
  </si>
  <si>
    <t>62a37aa1cf255543173081e5</t>
  </si>
  <si>
    <t>62a37ad924a2626027389f8a</t>
  </si>
  <si>
    <t>62a37b7db4da29969c636123</t>
  </si>
  <si>
    <t>62a37bab2e54c9003e53a10a</t>
  </si>
  <si>
    <t>62a37c50cec54911e9cacee2</t>
  </si>
  <si>
    <t>62a37d41bae91e4b8b8369f7</t>
  </si>
  <si>
    <t>62a37f8db4da29969c6367bf</t>
  </si>
  <si>
    <t>62a37ff3bae91e4b8b836ed0</t>
  </si>
  <si>
    <t>62a38023575fa3a5ae89339e</t>
  </si>
  <si>
    <t>62a38153cec54911e9cad855</t>
  </si>
  <si>
    <t>62a381d024a262602738ab19</t>
  </si>
  <si>
    <t>62a38227bae91e4b8b837235</t>
  </si>
  <si>
    <t>62a38489cf25554317309145</t>
  </si>
  <si>
    <t>62a384f0cec54911e9cadd6f</t>
  </si>
  <si>
    <t>62a385480f8c8599d5afa5c6</t>
  </si>
  <si>
    <t>62a3856218134ddc75cf1ee0</t>
  </si>
  <si>
    <t>62a385c40f8c8599d5afa6cf</t>
  </si>
  <si>
    <t>62a385ddbae91e4b8b837855</t>
  </si>
  <si>
    <t>62a385e7b4da29969c6372ab</t>
  </si>
  <si>
    <t>Database Developer</t>
  </si>
  <si>
    <t>62a386dfcec54911e9cae1d3</t>
  </si>
  <si>
    <t>Agriculture</t>
  </si>
  <si>
    <t>62a3870bbc6861bf31775841</t>
  </si>
  <si>
    <t>62a38733f8d5efcc22f859fc</t>
  </si>
  <si>
    <t>62a387e6575fa3a5ae8940a1</t>
  </si>
  <si>
    <t>62a388d524a262602738b869</t>
  </si>
  <si>
    <t>62a38975b4da29969c637830</t>
  </si>
  <si>
    <t>62a38985f8f756164585b89c</t>
  </si>
  <si>
    <t>62a389b70f8c8599d5afad1a</t>
  </si>
  <si>
    <t>62a389ed18134ddc75cf24f8</t>
  </si>
  <si>
    <t>62a38a060a77c1a77f6654b7</t>
  </si>
  <si>
    <t>62a38a4d575fa3a5ae8944df</t>
  </si>
  <si>
    <t>62a38a97cf25554317309af2</t>
  </si>
  <si>
    <t>62a38c120f8c8599d5afb0e9</t>
  </si>
  <si>
    <t>62a38c9dbc6861bf317760c4</t>
  </si>
  <si>
    <t>62a38de50f8c8599d5afb3e7</t>
  </si>
  <si>
    <t>62a3906224a262602738c58a</t>
  </si>
  <si>
    <t>62a3907cbae91e4b8b838917</t>
  </si>
  <si>
    <t>62a390c0d8c00e9f541a6fd7</t>
  </si>
  <si>
    <t>62a390e4f3072dd89262c0cd</t>
  </si>
  <si>
    <t>62a391cacf2555431730a623</t>
  </si>
  <si>
    <t>62a39214f8f756164585c6b6</t>
  </si>
  <si>
    <t>62a39297b4da29969c638679</t>
  </si>
  <si>
    <t>62a393330a77c1a77f6662e4</t>
  </si>
  <si>
    <t>62a3944024a262602738cb07</t>
  </si>
  <si>
    <t>62a3951ed8c00e9f541a75d1</t>
  </si>
  <si>
    <t>Java</t>
  </si>
  <si>
    <t>62a3958fcec54911e9caf827</t>
  </si>
  <si>
    <t>62a3970ebae91e4b8b839495</t>
  </si>
  <si>
    <t>62a3976ecf2555431730af5e</t>
  </si>
  <si>
    <t>62a397fb5d257a28a30e279a</t>
  </si>
  <si>
    <t>62a3980c7dc029e2d66c9a81</t>
  </si>
  <si>
    <t>62a3980e0f8c8599d5afc32c</t>
  </si>
  <si>
    <t>62a39a340f8c8599d5afc6ce</t>
  </si>
  <si>
    <t>62a39a95bc6861bf3177751d</t>
  </si>
  <si>
    <t>62a39b315d257a28a30e2cae</t>
  </si>
  <si>
    <t>62a39b6cf408bae018ede929</t>
  </si>
  <si>
    <t>62a39bd324a262602738d725</t>
  </si>
  <si>
    <t>62a39e03f408bae018eded39</t>
  </si>
  <si>
    <t>62a39e69d8c00e9f541a8358</t>
  </si>
  <si>
    <t>62a3a0bcf8f756164585daf7</t>
  </si>
  <si>
    <t>62a3a1a62e54c9003e53dc35</t>
  </si>
  <si>
    <t>62a3a231b4da29969c639b2c</t>
  </si>
  <si>
    <t>62a3a3800f8c8599d5afd4db</t>
  </si>
  <si>
    <t>62a3a4fdbae91e4b8b83ab6f</t>
  </si>
  <si>
    <t>62a3a7f50a77c1a77f668221</t>
  </si>
  <si>
    <t>62a3a90f24a262602738e800</t>
  </si>
  <si>
    <t>62a3a9dbd8c00e9f541a93eb</t>
  </si>
  <si>
    <t>62a3aaa3cec54911e9cb1724</t>
  </si>
  <si>
    <t>62a3ab320f8c8599d5afdfa8</t>
  </si>
  <si>
    <t>62a3abacd8c00e9f541a96eb</t>
  </si>
  <si>
    <t>62a3ac4bf8f756164585ea83</t>
  </si>
  <si>
    <t>62a3ad35cec54911e9cb1b5c</t>
  </si>
  <si>
    <t>62a3ae69bc6861bf3177900d</t>
  </si>
  <si>
    <t>62a3af26cec54911e9cb1f3a</t>
  </si>
  <si>
    <t>62a3af66f8f756164585eeb8</t>
  </si>
  <si>
    <t>62a3b135b4da29969c63b1ed</t>
  </si>
  <si>
    <t>62a3b255d8c00e9f541a9fd5</t>
  </si>
  <si>
    <t>62a3b314f408bae018ee0938</t>
  </si>
  <si>
    <t>62a3b3f6bc6861bf3177973b</t>
  </si>
  <si>
    <t>62a3ba4dbc6861bf31779f24</t>
  </si>
  <si>
    <t>62a3baa624a262602738ff27</t>
  </si>
  <si>
    <t>62a3bc00d8c00e9f541aad66</t>
  </si>
  <si>
    <t>62a3bf1b0a77c1a77f66a347</t>
  </si>
  <si>
    <t>62a3c021f8f756164586043f</t>
  </si>
  <si>
    <t>62a3c1b1bc6861bf3177aa8c</t>
  </si>
  <si>
    <t>62a3c30324a26260273909b9</t>
  </si>
  <si>
    <t>62a3c476bc6861bf3177ad9d</t>
  </si>
  <si>
    <t>62a3c5f2cec54911e9cb3d9b</t>
  </si>
  <si>
    <t>62a3c7f1bc6861bf3177b06e</t>
  </si>
  <si>
    <t>62a3c8652e54c9003e54103e</t>
  </si>
  <si>
    <t>62a3ca44bae91e4b8b83dcd4</t>
  </si>
  <si>
    <t>62a3cafff8d5efcc22f8b5cb</t>
  </si>
  <si>
    <t>62a3cbfef8d5efcc22f8b6f1</t>
  </si>
  <si>
    <t>62a3cde8f8f7561645861366</t>
  </si>
  <si>
    <t>62a3cfed0f8c8599d5b00b12</t>
  </si>
  <si>
    <t>62a3d21ef3072dd8926314d1</t>
  </si>
  <si>
    <t>62a3d37c0a77c1a77f66bc0e</t>
  </si>
  <si>
    <t>62a3d8dbf8f7561645861f9d</t>
  </si>
  <si>
    <t>62a3d9697dc029e2d66cf087</t>
  </si>
  <si>
    <t>62a3dac9f3072dd892631e12</t>
  </si>
  <si>
    <t>62a3dc3ab4da29969c63e3d7</t>
  </si>
  <si>
    <t>62a3e2abf8f75616458628d1</t>
  </si>
  <si>
    <t>62a3e32bd8c00e9f541ad5f0</t>
  </si>
  <si>
    <t>62a3ecf7bc6861bf3177d5c2</t>
  </si>
  <si>
    <t>62a3eea9bae91e4b8b8401a4</t>
  </si>
  <si>
    <t>62a3f39df8d5efcc22f8ddc2</t>
  </si>
  <si>
    <t>62a3f6a25d257a28a30e9d02</t>
  </si>
  <si>
    <t>62a3f6d9bae91e4b8b8408ca</t>
  </si>
  <si>
    <t>62a3fc7c7dc029e2d66d10e8</t>
  </si>
  <si>
    <t>62a3fe0d5d257a28a30ea3c8</t>
  </si>
  <si>
    <t>62a3fea50a77c1a77f66e41b</t>
  </si>
  <si>
    <t>62a40276bc6861bf3177e6fd</t>
  </si>
  <si>
    <t>62a403bbf8d5efcc22f8eb18</t>
  </si>
  <si>
    <t>62a403d30f8c8599d5b03d65</t>
  </si>
  <si>
    <t>62a4044acf25554317312a81</t>
  </si>
  <si>
    <t>62a4061bf408bae018ee5deb</t>
  </si>
  <si>
    <t>62a40726575fa3a5ae89d990</t>
  </si>
  <si>
    <t>62a4098124a2626027394ddc</t>
  </si>
  <si>
    <t>62a40c99575fa3a5ae89de4b</t>
  </si>
  <si>
    <t>62a40d86d8c00e9f541afb5e</t>
  </si>
  <si>
    <t>62a40da3cf255543173132e2</t>
  </si>
  <si>
    <t>62a40dfa5d257a28a30eb110</t>
  </si>
  <si>
    <t>62a410b5cec54911e9cb8262</t>
  </si>
  <si>
    <t>62a41135bc6861bf3177f3d8</t>
  </si>
  <si>
    <t>62a41795cec54911e9cb8854</t>
  </si>
  <si>
    <t>62a41964d8c00e9f541b061d</t>
  </si>
  <si>
    <t>62a41968f8d5efcc22f8fd44</t>
  </si>
  <si>
    <t>62a41e23bc6861bf3177fffb</t>
  </si>
  <si>
    <t>62a421cebc6861bf317803f5</t>
  </si>
  <si>
    <t>62a42243f8d5efcc22f90c55</t>
  </si>
  <si>
    <t>62a424ccd8c00e9f541b114e</t>
  </si>
  <si>
    <t>62a42527b4da29969c6423f7</t>
  </si>
  <si>
    <t>62a425ec2e54c9003e5467bf</t>
  </si>
  <si>
    <t>62a427190a77c1a77f67095c</t>
  </si>
  <si>
    <t>62a429f0f3072dd892636396</t>
  </si>
  <si>
    <t>62a42d6ef8d5efcc22f9178a</t>
  </si>
  <si>
    <t>62a436fd24a2626027397c93</t>
  </si>
  <si>
    <t>62a43e86f408bae018ee913a</t>
  </si>
  <si>
    <t>62a43ed4f8d5efcc22f92d0a</t>
  </si>
  <si>
    <t>62a43f43f408bae018ee9281</t>
  </si>
  <si>
    <t>62a440ab575fa3a5ae8a1418</t>
  </si>
  <si>
    <t>62a441e3575fa3a5ae8a1552</t>
  </si>
  <si>
    <t>62a446faf8f7561645868c60</t>
  </si>
  <si>
    <t>62a448832e54c9003e5491c5</t>
  </si>
  <si>
    <t>62a44ae2f8f7561645869335</t>
  </si>
  <si>
    <t>62a44bc7bc6861bf31783829</t>
  </si>
  <si>
    <t>62a44ea3f408bae018eea62a</t>
  </si>
  <si>
    <t>62a4514ff408bae018eea94d</t>
  </si>
  <si>
    <t>62a45a140a77c1a77f67469d</t>
  </si>
  <si>
    <t>62a45c8bf3072dd89263a493</t>
  </si>
  <si>
    <t>62a45f8c0f8c8599d5b09d40</t>
  </si>
  <si>
    <t>62a4604d0a77c1a77f674e29</t>
  </si>
  <si>
    <t>62a46a66f8d5efcc22f95a7a</t>
  </si>
  <si>
    <t>62a46ad7d8c00e9f541b664a</t>
  </si>
  <si>
    <t>62a46dbecf25554317319e48</t>
  </si>
  <si>
    <t>62a475dcf408bae018eed15c</t>
  </si>
  <si>
    <t>62a477f0b4da29969c64892f</t>
  </si>
  <si>
    <t>225k+</t>
  </si>
  <si>
    <t>62a47947cec54911e9cbf6b2</t>
  </si>
  <si>
    <t>62a47c587dc029e2d66d9782</t>
  </si>
  <si>
    <t>62a47e3ef3072dd89263c8c0</t>
  </si>
  <si>
    <t>62a47e812e54c9003e54d789</t>
  </si>
  <si>
    <t>62a47ea87dc029e2d66d9b60</t>
  </si>
  <si>
    <t>62a47f1e0a77c1a77f677174</t>
  </si>
  <si>
    <t>62a48566b4da29969c64995a</t>
  </si>
  <si>
    <t>62a48612d8c00e9f541b86b8</t>
  </si>
  <si>
    <t>62a487167dc029e2d66da73e</t>
  </si>
  <si>
    <t>62a488197dc029e2d66da8a1</t>
  </si>
  <si>
    <t>62a48c4c24a262602739e141</t>
  </si>
  <si>
    <t>62a48cbdf408bae018eeeccf</t>
  </si>
  <si>
    <t>62a48d4df8d5efcc22f98308</t>
  </si>
  <si>
    <t>62a48d562e54c9003e54ea2b</t>
  </si>
  <si>
    <t>62a48da6b4da29969c64a3a5</t>
  </si>
  <si>
    <t>62a49012f408bae018eef16d</t>
  </si>
  <si>
    <t>62a491b3b4da29969c64a89e</t>
  </si>
  <si>
    <t>62a4926ef408bae018eef4ee</t>
  </si>
  <si>
    <t>62a495d724a262602739ee07</t>
  </si>
  <si>
    <t>62a49b3cb4da29969c64b5dc</t>
  </si>
  <si>
    <t>62a49e087dc029e2d66dc57e</t>
  </si>
  <si>
    <t>62a49e47b4da29969c64b9f9</t>
  </si>
  <si>
    <t>62a49e5f24a262602739f9af</t>
  </si>
  <si>
    <t>62a49fe7b4da29969c64bbe1</t>
  </si>
  <si>
    <t>62a4a3d4f8d5efcc22f9a051</t>
  </si>
  <si>
    <t>62a4a8cb0a77c1a77f67a405</t>
  </si>
  <si>
    <t>62a4abb30f8c8599d5b0fc24</t>
  </si>
  <si>
    <t>62a4afd87dc029e2d66ddb24</t>
  </si>
  <si>
    <t>62a4b085cec54911e9cc3afe</t>
  </si>
  <si>
    <t>62a4b23f5d257a28a30f6b8c</t>
  </si>
  <si>
    <t>62a4b29a5d257a28a30f6c63</t>
  </si>
  <si>
    <t>62a4b2e5f8f75616458712af</t>
  </si>
  <si>
    <t>62a4b6c30a77c1a77f67b54c</t>
  </si>
  <si>
    <t>62a4bf07b4da29969c64e4f8</t>
  </si>
  <si>
    <t>62a4bf3a0a77c1a77f67bef2</t>
  </si>
  <si>
    <t>62a4c49a575fa3a5ae8aadf4</t>
  </si>
  <si>
    <t>62a4c57af3072dd8926421ac</t>
  </si>
  <si>
    <t>62a4c6060a77c1a77f67c772</t>
  </si>
  <si>
    <t>62a4c7d0f8f7561645872912</t>
  </si>
  <si>
    <t>62a4cdfad8c00e9f541bdc6b</t>
  </si>
  <si>
    <t>62a4ce2bbae91e4b8b84f3db</t>
  </si>
  <si>
    <t>62a4cffeb4da29969c64f6a1</t>
  </si>
  <si>
    <t>62a4d08bf3072dd892642d2c</t>
  </si>
  <si>
    <t>62a4d13bbae91e4b8b84f89b</t>
  </si>
  <si>
    <t>62a4d74c5d257a28a30f97fc</t>
  </si>
  <si>
    <t>62a4d7f6bae91e4b8b84ffed</t>
  </si>
  <si>
    <t>62a4d9d4bae91e4b8b8501f1</t>
  </si>
  <si>
    <t>62a4dd63f408bae018ef4e51</t>
  </si>
  <si>
    <t>62a4e34d7dc029e2d66e10b9</t>
  </si>
  <si>
    <t>62a4e4c90f8c8599d5b13d8f</t>
  </si>
  <si>
    <t>62a4e5aed8c00e9f541bf48c</t>
  </si>
  <si>
    <t>62a4f6eef3072dd892645775</t>
  </si>
  <si>
    <t>62a4fe370f8c8599d5b158c4</t>
  </si>
  <si>
    <t>62a5008c5d257a28a30fbde5</t>
  </si>
  <si>
    <t>62a5038acec54911e9cc9526</t>
  </si>
  <si>
    <t>62a50775f8f756164587677b</t>
  </si>
  <si>
    <t>62a50eddf8d5efcc22fa1a4e</t>
  </si>
  <si>
    <t>62a511acbc6861bf3179178a</t>
  </si>
  <si>
    <t>62a5177d18134ddc75d0e9d8</t>
  </si>
  <si>
    <t>62a51aaacec54911e9cca93b</t>
  </si>
  <si>
    <t>62a51dc6575fa3a5ae8b09f3</t>
  </si>
  <si>
    <t>62a51fe0575fa3a5ae8b0c06</t>
  </si>
  <si>
    <t>62a525aff8f75616458784dd</t>
  </si>
  <si>
    <t>62a52629b4da29969c654a94</t>
  </si>
  <si>
    <t>62a52725d8c00e9f541c3b4a</t>
  </si>
  <si>
    <t>62a5390cb4da29969c655ccc</t>
  </si>
  <si>
    <t>62a53bc0bc6861bf31793947</t>
  </si>
  <si>
    <t>62a53c84f3072dd8926495c9</t>
  </si>
  <si>
    <t>62a54bccf3072dd89264a13b</t>
  </si>
  <si>
    <t>62a54f20d8c00e9f541c5cfa</t>
  </si>
  <si>
    <t>62a552e1cf2555431732922d</t>
  </si>
  <si>
    <t>62a557d10f8c8599d5b1a81c</t>
  </si>
  <si>
    <t>62a55b05f8d5efcc22fa5b65</t>
  </si>
  <si>
    <t>62a55fe1f8d5efcc22fa5fe4</t>
  </si>
  <si>
    <t>62a56bc67dc029e2d66e86c0</t>
  </si>
  <si>
    <t>62a57116f408bae018efd56a</t>
  </si>
  <si>
    <t>62a57263cec54911e9ccf648</t>
  </si>
  <si>
    <t>62a574b3b4da29969c658eb4</t>
  </si>
  <si>
    <t>62a58b267dc029e2d66ea3f8</t>
  </si>
  <si>
    <t>62a58d20575fa3a5ae8b6969</t>
  </si>
  <si>
    <t>62a58faf2e54c9003e55ef2e</t>
  </si>
  <si>
    <t>62a5998fbc6861bf31798ef0</t>
  </si>
  <si>
    <t>62a59cd2cec54911e9cd251a</t>
  </si>
  <si>
    <t>62a59d007dc029e2d66eb8f9</t>
  </si>
  <si>
    <t>62a5a124cec54911e9cd29f5</t>
  </si>
  <si>
    <t>American Indian or Alaska Native</t>
  </si>
  <si>
    <t>62a5a44b24a26260273af0fc</t>
  </si>
  <si>
    <t>62a5a931cec54911e9cd3333</t>
  </si>
  <si>
    <t>62a5bea05d257a28a3106f7e</t>
  </si>
  <si>
    <t>62a5c571575fa3a5ae8baaa1</t>
  </si>
  <si>
    <t>62a5cb12cf25554317330d69</t>
  </si>
  <si>
    <t>62a5cba2575fa3a5ae8bb122</t>
  </si>
  <si>
    <t>62a5d350f3072dd892652c70</t>
  </si>
  <si>
    <t>62a5db29cf2555431733248f</t>
  </si>
  <si>
    <t>62a5e69f24a26260273b42bf</t>
  </si>
  <si>
    <t>62a5ea667dc029e2d66f153d</t>
  </si>
  <si>
    <t>62a5ebe05d257a28a310ac53</t>
  </si>
  <si>
    <t>62a5edb2575fa3a5ae8bdba5</t>
  </si>
  <si>
    <t>62a5edba0a77c1a77f68f1b5</t>
  </si>
  <si>
    <t>62a5f332bc6861bf3179f631</t>
  </si>
  <si>
    <t>62a5f872bae91e4b8b861e53</t>
  </si>
  <si>
    <t>62a609b8f8f75616458875b7</t>
  </si>
  <si>
    <t>62a609c4bc6861bf317a10a3</t>
  </si>
  <si>
    <t>62a61076f8f7561645887ded</t>
  </si>
  <si>
    <t>62a615fd18134ddc75d1f1fa</t>
  </si>
  <si>
    <t>62a617c30a77c1a77f6925fc</t>
  </si>
  <si>
    <t>62a618a9d8c00e9f541d3537</t>
  </si>
  <si>
    <t>62a61eb02e54c9003e5697f7</t>
  </si>
  <si>
    <t>62a6246df3072dd892659218</t>
  </si>
  <si>
    <t>62a62a7124a26260273b94fa</t>
  </si>
  <si>
    <t>62a631782e54c9003e56ac36</t>
  </si>
  <si>
    <t>62a633b4d8c00e9f541d54a4</t>
  </si>
  <si>
    <t>62a639e05d257a28a3110ef5</t>
  </si>
  <si>
    <t>62a642690f8c8599d5b2ab37</t>
  </si>
  <si>
    <t>62a64b4dd8c00e9f541d6d81</t>
  </si>
  <si>
    <t>62a64c6ecf2555431733a7a4</t>
  </si>
  <si>
    <t>62a654165d257a28a3112ac9</t>
  </si>
  <si>
    <t>62a65618d8c00e9f541d783a</t>
  </si>
  <si>
    <t>62a65db824a26260273bc9ff</t>
  </si>
  <si>
    <t>62a66558cf2555431733c0f9</t>
  </si>
  <si>
    <t>62a6772c18134ddc75d25895</t>
  </si>
  <si>
    <t>62a68f1e0a77c1a77f69a381</t>
  </si>
  <si>
    <t>62a6a11a0a77c1a77f69b7cb</t>
  </si>
  <si>
    <t>62a6ac1524a26260273c1cd0</t>
  </si>
  <si>
    <t>62a6b0790a77c1a77f69cb15</t>
  </si>
  <si>
    <t>62a6bc6a18134ddc75d2a726</t>
  </si>
  <si>
    <t>62a6c3d9cec54911e9ce7669</t>
  </si>
  <si>
    <t>62a6d037cec54911e9ce862a</t>
  </si>
  <si>
    <t>62a6d2532e54c9003e575d9c</t>
  </si>
  <si>
    <t>62a6dbcad8c00e9f541e1050</t>
  </si>
  <si>
    <t>62a6e2815d257a28a311c8f9</t>
  </si>
  <si>
    <t>62a6ea03d8c00e9f541e3594</t>
  </si>
  <si>
    <t>62a7029ff8f7561645899bae</t>
  </si>
  <si>
    <t>62a7047c24a26260273c9646</t>
  </si>
  <si>
    <t>62a70b55cec54911e9cedd98</t>
  </si>
  <si>
    <t>62a71930bae91e4b8b878b2b</t>
  </si>
  <si>
    <t>62a73a37f8d5efcc22fcb724</t>
  </si>
  <si>
    <t>62a73aa824a26260273d0172</t>
  </si>
  <si>
    <t>62a73c5b0a77c1a77f6aba65</t>
  </si>
  <si>
    <t>62a749ebd8c00e9f541efa36</t>
  </si>
  <si>
    <t>62a74e28b4da29969c681108</t>
  </si>
  <si>
    <t>62a758185d257a28a312bc94</t>
  </si>
  <si>
    <t>62a75a5418134ddc75d3d2f1</t>
  </si>
  <si>
    <t>62a75ed0f8f75616458a5d1a</t>
  </si>
  <si>
    <t>62a75f1b575fa3a5ae8e0010</t>
  </si>
  <si>
    <t>62a764ffd8c00e9f541f3cc3</t>
  </si>
  <si>
    <t>62a76c962e54c9003e588661</t>
  </si>
  <si>
    <t>62a772da575fa3a5ae8e2a4a</t>
  </si>
  <si>
    <t>62a7738a2e54c9003e589598</t>
  </si>
  <si>
    <t>62a77967f8d5efcc22fd4c81</t>
  </si>
  <si>
    <t>62a77a37f8d5efcc22fd4e47</t>
  </si>
  <si>
    <t>62a77cb7b4da29969c68743a</t>
  </si>
  <si>
    <t>62a78743f8f75616458ab6bb</t>
  </si>
  <si>
    <t>62a789015d257a28a3132977</t>
  </si>
  <si>
    <t>62a78f3bf408bae018f2ef51</t>
  </si>
  <si>
    <t>62a7988bbae91e4b8b88b8ee</t>
  </si>
  <si>
    <t>62a79c9c2e54c9003e58f0d5</t>
  </si>
  <si>
    <t>62a7b0ae0f8c8599d5b51cd0</t>
  </si>
  <si>
    <t>62a7b283f8d5efcc22fdc189</t>
  </si>
  <si>
    <t>62a7b296f8d5efcc22fdc1ef</t>
  </si>
  <si>
    <t>62a7bd0e5d257a28a313855c</t>
  </si>
  <si>
    <t>62a7be5e5d257a28a313876a</t>
  </si>
  <si>
    <t>62a7ce44575fa3a5ae8ece5f</t>
  </si>
  <si>
    <t>62a7e1380f8c8599d5b55fcf</t>
  </si>
  <si>
    <t>62a7e2d024a26260273e4448</t>
  </si>
  <si>
    <t>62a7ed9c0f8c8599d5b57132</t>
  </si>
  <si>
    <t>62a7f09a0f8c8599d5b57526</t>
  </si>
  <si>
    <t>62a7fb02f8d5efcc22fe2486</t>
  </si>
  <si>
    <t>62a816907dc029e2d6725a33</t>
  </si>
  <si>
    <t>62a84764bc6861bf317d7b86</t>
  </si>
  <si>
    <t>62a84f9af408bae018f41e34</t>
  </si>
  <si>
    <t>62a85803f8d5efcc22fea92f</t>
  </si>
  <si>
    <t>62a8592f7dc029e2d672c0a8</t>
  </si>
  <si>
    <t>62a8643bcec54911e9d14297</t>
  </si>
  <si>
    <t>62a8665c5d257a28a31474f7</t>
  </si>
  <si>
    <t>62a868c5cf2555431737094b</t>
  </si>
  <si>
    <t>62a88e9ff8d5efcc22ff1eb6</t>
  </si>
  <si>
    <t>62a89e365d257a28a314fd36</t>
  </si>
  <si>
    <t>62a8b6ffbae91e4b8b8aa5c2</t>
  </si>
  <si>
    <t>62a8bf9e575fa3a5ae907617</t>
  </si>
  <si>
    <t>62a8cd29bc6861bf317ea9a2</t>
  </si>
  <si>
    <t>62a8f477f408bae018f5869d</t>
  </si>
  <si>
    <t>62a8fcf5cf25554317384604</t>
  </si>
  <si>
    <t>62a8fe9abc6861bf317f0c01</t>
  </si>
  <si>
    <t>62a9024d18134ddc75d6e76d</t>
  </si>
  <si>
    <t>62a95253bae91e4b8b8b91d9</t>
  </si>
  <si>
    <t>62a960567dc029e2d6749dd8</t>
  </si>
  <si>
    <t>62a9612bf8d5efcc22007c09</t>
  </si>
  <si>
    <t>62a962380f8c8599d5b7e3fb</t>
  </si>
  <si>
    <t>62a993537dc029e2d674e9b5</t>
  </si>
  <si>
    <t>62a9bb81bc6861bf3180079c</t>
  </si>
  <si>
    <t>62a9c880f408bae018f6aa1b</t>
  </si>
  <si>
    <t>62a9e206f3072dd8926bce70</t>
  </si>
  <si>
    <t>62a9f0172e54c9003e5cdc25</t>
  </si>
  <si>
    <t>62a9f8a4cf2555431739d694</t>
  </si>
  <si>
    <t>62aa121dcec54911e9d446cc</t>
  </si>
  <si>
    <t>62aa1734f3072dd8926c4168</t>
  </si>
  <si>
    <t>62aa21e218134ddc75d8be11</t>
  </si>
  <si>
    <t>62aa29852e54c9003e5d50b5</t>
  </si>
  <si>
    <t>62aa2f44bc6861bf3180fd06</t>
  </si>
  <si>
    <t>62aa3454bae91e4b8b8d3249</t>
  </si>
  <si>
    <t>62aa34e8f3072dd8926c7d56</t>
  </si>
  <si>
    <t>62aa356ff8d5efcc22020832</t>
  </si>
  <si>
    <t>62aa3e6824a26260274264da</t>
  </si>
  <si>
    <t>62aa4790f8d5efcc2202266e</t>
  </si>
  <si>
    <t>62aa5761bc6861bf318141fc</t>
  </si>
  <si>
    <t>62aa5c11f408bae018f7dec0</t>
  </si>
  <si>
    <t>62aa956ef8d5efcc22028e3d</t>
  </si>
  <si>
    <t>62aa95970a77c1a77f709268</t>
  </si>
  <si>
    <t>62aa98bfcf255543173adbdc</t>
  </si>
  <si>
    <t>62aaa387f8d5efcc22029fcb</t>
  </si>
  <si>
    <t>62aaa86bbae91e4b8b8dc832</t>
  </si>
  <si>
    <t>62aacd922e54c9003e5e33c2</t>
  </si>
  <si>
    <t>62aaeecd0f8c8599d5ba6923</t>
  </si>
  <si>
    <t>62aaf8397dc029e2d6773cde</t>
  </si>
  <si>
    <t>62aaff342e54c9003e5e79b8</t>
  </si>
  <si>
    <t>62ab0bdc575fa3a5ae9413e5</t>
  </si>
  <si>
    <t>62ab1cb0cec54911e9d5d187</t>
  </si>
  <si>
    <t>62ab3e62bae91e4b8b8ebe14</t>
  </si>
  <si>
    <t>62ab6ab318134ddc75dabb09</t>
  </si>
  <si>
    <t>62ab83a7d8c00e9f54263d2e</t>
  </si>
  <si>
    <t>62ab8bf65d257a28a319e9cb</t>
  </si>
  <si>
    <t>62abec6cf3072dd8926f2ad0</t>
  </si>
  <si>
    <t>62abee280f8c8599d5bc246d</t>
  </si>
  <si>
    <t>62acc1f0cf255543173e59f7</t>
  </si>
  <si>
    <t>62ace61d575fa3a5ae972d57</t>
  </si>
  <si>
    <t>62acf0890f8c8599d5bdce87</t>
  </si>
  <si>
    <t>62ad591424a2626027471080</t>
  </si>
  <si>
    <t>62ade22318134ddc75de385f</t>
  </si>
  <si>
    <t>62adf26f18134ddc75de4bb4</t>
  </si>
  <si>
    <t>62ae680024a2626027483ebc</t>
  </si>
  <si>
    <t>62aee103f8f756164595adb8</t>
  </si>
  <si>
    <t>62af07be7dc029e2d67cc3c8</t>
  </si>
  <si>
    <t>62af10295d257a28a31e6ff8</t>
  </si>
  <si>
    <t>62af387018134ddc75df894e</t>
  </si>
  <si>
    <t>62af49025d257a28a31eb2f1</t>
  </si>
  <si>
    <t>62af53ce0f8c8599d5c04934</t>
  </si>
  <si>
    <t>62af6371f8d5efcc2208e923</t>
  </si>
  <si>
    <t>62af9ed7f3072dd892739279</t>
  </si>
  <si>
    <t>62b152960f8c8599d5c31550</t>
  </si>
  <si>
    <t>62b16a5c5d257a28a321a74c</t>
  </si>
  <si>
    <t>62b21d40bae91e4b8b985154</t>
  </si>
  <si>
    <t>62b27004bc6861bf318c9038</t>
  </si>
  <si>
    <t>62b2ea87f8d5efcc220e3e21</t>
  </si>
  <si>
    <t>62b35284cec54911e9e1818c</t>
  </si>
  <si>
    <t>62b4404df31287f32e14d1c1</t>
  </si>
  <si>
    <t>62b525563f28f20328aeee5c</t>
  </si>
  <si>
    <t>62b5a3e29bc428d5345f6e89</t>
  </si>
  <si>
    <t>62b71083f31287f32e189026</t>
  </si>
  <si>
    <t>62b795033b026e423f287ecd</t>
  </si>
  <si>
    <t>62b89039377223ff07b80fb5</t>
  </si>
  <si>
    <t>sum of avg.salaries</t>
  </si>
  <si>
    <t>Median of avg.salaries</t>
  </si>
  <si>
    <t>Mean of avg.salaries</t>
  </si>
  <si>
    <t xml:space="preserve">Mode </t>
  </si>
  <si>
    <t>Row Labels</t>
  </si>
  <si>
    <t>Grand Total</t>
  </si>
  <si>
    <t>(blank)</t>
  </si>
  <si>
    <t>Sum of avg.salaries</t>
  </si>
  <si>
    <t>5 highest-paying current roles</t>
  </si>
  <si>
    <t>blank</t>
  </si>
  <si>
    <t>Count of Switched_Careers</t>
  </si>
  <si>
    <t>switcher</t>
  </si>
  <si>
    <t>Non-Switcher</t>
  </si>
  <si>
    <t>avg. salary of switched emp</t>
  </si>
  <si>
    <t>avg.salary of not switched emp</t>
  </si>
  <si>
    <t>avg.age of switched</t>
  </si>
  <si>
    <t>avg.age of not switch</t>
  </si>
  <si>
    <t>Job role/salary</t>
  </si>
  <si>
    <t>switched /current role</t>
  </si>
  <si>
    <t>correlation</t>
  </si>
  <si>
    <t>Mobility</t>
  </si>
  <si>
    <t>Learning</t>
  </si>
  <si>
    <t>mean of avg.salaries</t>
  </si>
  <si>
    <t>median of  avg.salaries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</si>
</sst>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0" fillId="34" borderId="0" xfId="0" applyFill="1"/>
    <xf numFmtId="44" fontId="0" fillId="0" borderId="0" xfId="1" applyFon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16" fillId="0" borderId="0" xfId="0" applyFont="1"/>
    <xf numFmtId="0" fontId="0" fillId="34" borderId="0" xfId="0" applyFill="1" applyAlignment="1">
      <alignment horizontal="center" wrapText="1"/>
    </xf>
    <xf numFmtId="0" fontId="0" fillId="34" borderId="0" xfId="0" applyFill="1" applyAlignment="1">
      <alignment wrapText="1"/>
    </xf>
    <xf numFmtId="0" fontId="0" fillId="33" borderId="0" xfId="0" applyFill="1" applyAlignment="1">
      <alignment wrapText="1"/>
    </xf>
    <xf numFmtId="0" fontId="0" fillId="0" borderId="0" xfId="0" applyFill="1"/>
    <xf numFmtId="0" fontId="0" fillId="0" borderId="0" xfId="0" applyFont="1" applyFill="1"/>
    <xf numFmtId="9" fontId="0" fillId="0" borderId="0" xfId="2" applyFont="1"/>
    <xf numFmtId="0" fontId="16" fillId="34" borderId="0" xfId="0" applyFont="1" applyFill="1"/>
    <xf numFmtId="1" fontId="0" fillId="0" borderId="0" xfId="0" applyNumberFormat="1"/>
    <xf numFmtId="0" fontId="16" fillId="34" borderId="0" xfId="0" applyFont="1" applyFill="1" applyAlignment="1">
      <alignment wrapText="1"/>
    </xf>
    <xf numFmtId="0" fontId="0" fillId="0" borderId="0" xfId="0" pivotButton="1" applyAlignment="1">
      <alignment wrapText="1"/>
    </xf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'Learning &amp; Growth'!$D$1</c:f>
              <c:strCache>
                <c:ptCount val="1"/>
                <c:pt idx="0">
                  <c:v>Learning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Ref>
              <c:f>'Learning &amp; Growth'!$C$2:$C$640</c:f>
              <c:numCache>
                <c:formatCode>General</c:formatCode>
                <c:ptCount val="639"/>
                <c:pt idx="0">
                  <c:v>5</c:v>
                </c:pt>
                <c:pt idx="1">
                  <c:v>1</c:v>
                </c:pt>
                <c:pt idx="2">
                  <c:v>7</c:v>
                </c:pt>
                <c:pt idx="3">
                  <c:v>7</c:v>
                </c:pt>
                <c:pt idx="4">
                  <c:v>0</c:v>
                </c:pt>
                <c:pt idx="5">
                  <c:v>3</c:v>
                </c:pt>
                <c:pt idx="6">
                  <c:v>6</c:v>
                </c:pt>
                <c:pt idx="7">
                  <c:v>5</c:v>
                </c:pt>
                <c:pt idx="8">
                  <c:v>5</c:v>
                </c:pt>
                <c:pt idx="9">
                  <c:v>0</c:v>
                </c:pt>
                <c:pt idx="10">
                  <c:v>8</c:v>
                </c:pt>
                <c:pt idx="11">
                  <c:v>7</c:v>
                </c:pt>
                <c:pt idx="12">
                  <c:v>5</c:v>
                </c:pt>
                <c:pt idx="13">
                  <c:v>7</c:v>
                </c:pt>
                <c:pt idx="14">
                  <c:v>4</c:v>
                </c:pt>
                <c:pt idx="15">
                  <c:v>7</c:v>
                </c:pt>
                <c:pt idx="16">
                  <c:v>2</c:v>
                </c:pt>
                <c:pt idx="17">
                  <c:v>4</c:v>
                </c:pt>
                <c:pt idx="18">
                  <c:v>8</c:v>
                </c:pt>
                <c:pt idx="19">
                  <c:v>2</c:v>
                </c:pt>
                <c:pt idx="20">
                  <c:v>5</c:v>
                </c:pt>
                <c:pt idx="21">
                  <c:v>10</c:v>
                </c:pt>
                <c:pt idx="22">
                  <c:v>7</c:v>
                </c:pt>
                <c:pt idx="23">
                  <c:v>4</c:v>
                </c:pt>
                <c:pt idx="24">
                  <c:v>3</c:v>
                </c:pt>
                <c:pt idx="25">
                  <c:v>7</c:v>
                </c:pt>
                <c:pt idx="26">
                  <c:v>5</c:v>
                </c:pt>
                <c:pt idx="27">
                  <c:v>0</c:v>
                </c:pt>
                <c:pt idx="28">
                  <c:v>7</c:v>
                </c:pt>
                <c:pt idx="29">
                  <c:v>0</c:v>
                </c:pt>
                <c:pt idx="30">
                  <c:v>5</c:v>
                </c:pt>
                <c:pt idx="31">
                  <c:v>4</c:v>
                </c:pt>
                <c:pt idx="32">
                  <c:v>7</c:v>
                </c:pt>
                <c:pt idx="33">
                  <c:v>9</c:v>
                </c:pt>
                <c:pt idx="34">
                  <c:v>5</c:v>
                </c:pt>
                <c:pt idx="35">
                  <c:v>8</c:v>
                </c:pt>
                <c:pt idx="36">
                  <c:v>5</c:v>
                </c:pt>
                <c:pt idx="37">
                  <c:v>4</c:v>
                </c:pt>
                <c:pt idx="38">
                  <c:v>3</c:v>
                </c:pt>
                <c:pt idx="39">
                  <c:v>0</c:v>
                </c:pt>
                <c:pt idx="40">
                  <c:v>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</c:v>
                </c:pt>
                <c:pt idx="45">
                  <c:v>6</c:v>
                </c:pt>
                <c:pt idx="46">
                  <c:v>0</c:v>
                </c:pt>
                <c:pt idx="47">
                  <c:v>9</c:v>
                </c:pt>
                <c:pt idx="48">
                  <c:v>6</c:v>
                </c:pt>
                <c:pt idx="49">
                  <c:v>8</c:v>
                </c:pt>
                <c:pt idx="50">
                  <c:v>5</c:v>
                </c:pt>
                <c:pt idx="51">
                  <c:v>6</c:v>
                </c:pt>
                <c:pt idx="52">
                  <c:v>3</c:v>
                </c:pt>
                <c:pt idx="54">
                  <c:v>5</c:v>
                </c:pt>
                <c:pt idx="55">
                  <c:v>0</c:v>
                </c:pt>
                <c:pt idx="56">
                  <c:v>9</c:v>
                </c:pt>
                <c:pt idx="57">
                  <c:v>9</c:v>
                </c:pt>
                <c:pt idx="58">
                  <c:v>3</c:v>
                </c:pt>
                <c:pt idx="59">
                  <c:v>1</c:v>
                </c:pt>
                <c:pt idx="60">
                  <c:v>4</c:v>
                </c:pt>
                <c:pt idx="61">
                  <c:v>9</c:v>
                </c:pt>
                <c:pt idx="62">
                  <c:v>0</c:v>
                </c:pt>
                <c:pt idx="63">
                  <c:v>5</c:v>
                </c:pt>
                <c:pt idx="64">
                  <c:v>5</c:v>
                </c:pt>
                <c:pt idx="65">
                  <c:v>7</c:v>
                </c:pt>
                <c:pt idx="66">
                  <c:v>3</c:v>
                </c:pt>
                <c:pt idx="67">
                  <c:v>9</c:v>
                </c:pt>
                <c:pt idx="68">
                  <c:v>5</c:v>
                </c:pt>
                <c:pt idx="69">
                  <c:v>7</c:v>
                </c:pt>
                <c:pt idx="70">
                  <c:v>6</c:v>
                </c:pt>
                <c:pt idx="71">
                  <c:v>5</c:v>
                </c:pt>
                <c:pt idx="72">
                  <c:v>8</c:v>
                </c:pt>
                <c:pt idx="73">
                  <c:v>5</c:v>
                </c:pt>
                <c:pt idx="74">
                  <c:v>3</c:v>
                </c:pt>
                <c:pt idx="75">
                  <c:v>10</c:v>
                </c:pt>
                <c:pt idx="76">
                  <c:v>5</c:v>
                </c:pt>
                <c:pt idx="77">
                  <c:v>3</c:v>
                </c:pt>
                <c:pt idx="78">
                  <c:v>7</c:v>
                </c:pt>
                <c:pt idx="79">
                  <c:v>2</c:v>
                </c:pt>
                <c:pt idx="80">
                  <c:v>4</c:v>
                </c:pt>
                <c:pt idx="81">
                  <c:v>6</c:v>
                </c:pt>
                <c:pt idx="82">
                  <c:v>7</c:v>
                </c:pt>
                <c:pt idx="83">
                  <c:v>4</c:v>
                </c:pt>
                <c:pt idx="84">
                  <c:v>9</c:v>
                </c:pt>
                <c:pt idx="85">
                  <c:v>5</c:v>
                </c:pt>
                <c:pt idx="86">
                  <c:v>7</c:v>
                </c:pt>
                <c:pt idx="87">
                  <c:v>0</c:v>
                </c:pt>
                <c:pt idx="88">
                  <c:v>5</c:v>
                </c:pt>
                <c:pt idx="89">
                  <c:v>8</c:v>
                </c:pt>
                <c:pt idx="90">
                  <c:v>6</c:v>
                </c:pt>
                <c:pt idx="91">
                  <c:v>0</c:v>
                </c:pt>
                <c:pt idx="92">
                  <c:v>3</c:v>
                </c:pt>
                <c:pt idx="93">
                  <c:v>3</c:v>
                </c:pt>
                <c:pt idx="94">
                  <c:v>2</c:v>
                </c:pt>
                <c:pt idx="95">
                  <c:v>9</c:v>
                </c:pt>
                <c:pt idx="96">
                  <c:v>3</c:v>
                </c:pt>
                <c:pt idx="97">
                  <c:v>6</c:v>
                </c:pt>
                <c:pt idx="98">
                  <c:v>5</c:v>
                </c:pt>
                <c:pt idx="99">
                  <c:v>8</c:v>
                </c:pt>
                <c:pt idx="100">
                  <c:v>7</c:v>
                </c:pt>
                <c:pt idx="101">
                  <c:v>7</c:v>
                </c:pt>
                <c:pt idx="102">
                  <c:v>10</c:v>
                </c:pt>
                <c:pt idx="103">
                  <c:v>10</c:v>
                </c:pt>
                <c:pt idx="104">
                  <c:v>8</c:v>
                </c:pt>
                <c:pt idx="105">
                  <c:v>1</c:v>
                </c:pt>
                <c:pt idx="106">
                  <c:v>4</c:v>
                </c:pt>
                <c:pt idx="107">
                  <c:v>3</c:v>
                </c:pt>
                <c:pt idx="108">
                  <c:v>4</c:v>
                </c:pt>
                <c:pt idx="109">
                  <c:v>2</c:v>
                </c:pt>
                <c:pt idx="110">
                  <c:v>6</c:v>
                </c:pt>
                <c:pt idx="111">
                  <c:v>4</c:v>
                </c:pt>
                <c:pt idx="112">
                  <c:v>6</c:v>
                </c:pt>
                <c:pt idx="113">
                  <c:v>0</c:v>
                </c:pt>
                <c:pt idx="114">
                  <c:v>4</c:v>
                </c:pt>
                <c:pt idx="115">
                  <c:v>10</c:v>
                </c:pt>
                <c:pt idx="116">
                  <c:v>5</c:v>
                </c:pt>
                <c:pt idx="118">
                  <c:v>6</c:v>
                </c:pt>
                <c:pt idx="119">
                  <c:v>6</c:v>
                </c:pt>
                <c:pt idx="120">
                  <c:v>8</c:v>
                </c:pt>
                <c:pt idx="121">
                  <c:v>0</c:v>
                </c:pt>
                <c:pt idx="122">
                  <c:v>8</c:v>
                </c:pt>
                <c:pt idx="123">
                  <c:v>5</c:v>
                </c:pt>
                <c:pt idx="124">
                  <c:v>0</c:v>
                </c:pt>
                <c:pt idx="125">
                  <c:v>0</c:v>
                </c:pt>
                <c:pt idx="126">
                  <c:v>3</c:v>
                </c:pt>
                <c:pt idx="127">
                  <c:v>2</c:v>
                </c:pt>
                <c:pt idx="128">
                  <c:v>6</c:v>
                </c:pt>
                <c:pt idx="129">
                  <c:v>8</c:v>
                </c:pt>
                <c:pt idx="130">
                  <c:v>0</c:v>
                </c:pt>
                <c:pt idx="131">
                  <c:v>10</c:v>
                </c:pt>
                <c:pt idx="132">
                  <c:v>6</c:v>
                </c:pt>
                <c:pt idx="133">
                  <c:v>5</c:v>
                </c:pt>
                <c:pt idx="134">
                  <c:v>7</c:v>
                </c:pt>
                <c:pt idx="135">
                  <c:v>2</c:v>
                </c:pt>
                <c:pt idx="136">
                  <c:v>4</c:v>
                </c:pt>
                <c:pt idx="137">
                  <c:v>4</c:v>
                </c:pt>
                <c:pt idx="138">
                  <c:v>3</c:v>
                </c:pt>
                <c:pt idx="139">
                  <c:v>4</c:v>
                </c:pt>
                <c:pt idx="140">
                  <c:v>8</c:v>
                </c:pt>
                <c:pt idx="141">
                  <c:v>7</c:v>
                </c:pt>
                <c:pt idx="142">
                  <c:v>0</c:v>
                </c:pt>
                <c:pt idx="143">
                  <c:v>10</c:v>
                </c:pt>
                <c:pt idx="144">
                  <c:v>2</c:v>
                </c:pt>
                <c:pt idx="145">
                  <c:v>5</c:v>
                </c:pt>
                <c:pt idx="146">
                  <c:v>2</c:v>
                </c:pt>
                <c:pt idx="147">
                  <c:v>4</c:v>
                </c:pt>
                <c:pt idx="148">
                  <c:v>10</c:v>
                </c:pt>
                <c:pt idx="149">
                  <c:v>4</c:v>
                </c:pt>
                <c:pt idx="150">
                  <c:v>0</c:v>
                </c:pt>
                <c:pt idx="151">
                  <c:v>9</c:v>
                </c:pt>
                <c:pt idx="152">
                  <c:v>7</c:v>
                </c:pt>
                <c:pt idx="153">
                  <c:v>0</c:v>
                </c:pt>
                <c:pt idx="154">
                  <c:v>5</c:v>
                </c:pt>
                <c:pt idx="155">
                  <c:v>0</c:v>
                </c:pt>
                <c:pt idx="156">
                  <c:v>5</c:v>
                </c:pt>
                <c:pt idx="157">
                  <c:v>6</c:v>
                </c:pt>
                <c:pt idx="158">
                  <c:v>7</c:v>
                </c:pt>
                <c:pt idx="159">
                  <c:v>0</c:v>
                </c:pt>
                <c:pt idx="160">
                  <c:v>3</c:v>
                </c:pt>
                <c:pt idx="161">
                  <c:v>0</c:v>
                </c:pt>
                <c:pt idx="162">
                  <c:v>3</c:v>
                </c:pt>
                <c:pt idx="163">
                  <c:v>8</c:v>
                </c:pt>
                <c:pt idx="164">
                  <c:v>6</c:v>
                </c:pt>
                <c:pt idx="165">
                  <c:v>2</c:v>
                </c:pt>
                <c:pt idx="166">
                  <c:v>2</c:v>
                </c:pt>
                <c:pt idx="167">
                  <c:v>1</c:v>
                </c:pt>
                <c:pt idx="168">
                  <c:v>0</c:v>
                </c:pt>
                <c:pt idx="169">
                  <c:v>10</c:v>
                </c:pt>
                <c:pt idx="170">
                  <c:v>6</c:v>
                </c:pt>
                <c:pt idx="171">
                  <c:v>1</c:v>
                </c:pt>
                <c:pt idx="172">
                  <c:v>10</c:v>
                </c:pt>
                <c:pt idx="173">
                  <c:v>1</c:v>
                </c:pt>
                <c:pt idx="174">
                  <c:v>4</c:v>
                </c:pt>
                <c:pt idx="175">
                  <c:v>2</c:v>
                </c:pt>
                <c:pt idx="176">
                  <c:v>5</c:v>
                </c:pt>
                <c:pt idx="177">
                  <c:v>4</c:v>
                </c:pt>
                <c:pt idx="178">
                  <c:v>0</c:v>
                </c:pt>
                <c:pt idx="179">
                  <c:v>2</c:v>
                </c:pt>
                <c:pt idx="180">
                  <c:v>4</c:v>
                </c:pt>
                <c:pt idx="181">
                  <c:v>4</c:v>
                </c:pt>
                <c:pt idx="182">
                  <c:v>8</c:v>
                </c:pt>
                <c:pt idx="183">
                  <c:v>0</c:v>
                </c:pt>
                <c:pt idx="184">
                  <c:v>9</c:v>
                </c:pt>
                <c:pt idx="185">
                  <c:v>0</c:v>
                </c:pt>
                <c:pt idx="186">
                  <c:v>5</c:v>
                </c:pt>
                <c:pt idx="187">
                  <c:v>7</c:v>
                </c:pt>
                <c:pt idx="188">
                  <c:v>4</c:v>
                </c:pt>
                <c:pt idx="190">
                  <c:v>5</c:v>
                </c:pt>
                <c:pt idx="191">
                  <c:v>0</c:v>
                </c:pt>
                <c:pt idx="192">
                  <c:v>8</c:v>
                </c:pt>
                <c:pt idx="193">
                  <c:v>6</c:v>
                </c:pt>
                <c:pt idx="194">
                  <c:v>5</c:v>
                </c:pt>
                <c:pt idx="195">
                  <c:v>7</c:v>
                </c:pt>
                <c:pt idx="196">
                  <c:v>6</c:v>
                </c:pt>
                <c:pt idx="197">
                  <c:v>4</c:v>
                </c:pt>
                <c:pt idx="198">
                  <c:v>5</c:v>
                </c:pt>
                <c:pt idx="199">
                  <c:v>10</c:v>
                </c:pt>
                <c:pt idx="201">
                  <c:v>0</c:v>
                </c:pt>
                <c:pt idx="202">
                  <c:v>7</c:v>
                </c:pt>
                <c:pt idx="203">
                  <c:v>4</c:v>
                </c:pt>
                <c:pt idx="204">
                  <c:v>3</c:v>
                </c:pt>
                <c:pt idx="205">
                  <c:v>3</c:v>
                </c:pt>
                <c:pt idx="206">
                  <c:v>0</c:v>
                </c:pt>
                <c:pt idx="207">
                  <c:v>7</c:v>
                </c:pt>
                <c:pt idx="208">
                  <c:v>7</c:v>
                </c:pt>
                <c:pt idx="209">
                  <c:v>6</c:v>
                </c:pt>
                <c:pt idx="210">
                  <c:v>5</c:v>
                </c:pt>
                <c:pt idx="211">
                  <c:v>8</c:v>
                </c:pt>
                <c:pt idx="212">
                  <c:v>4</c:v>
                </c:pt>
                <c:pt idx="213">
                  <c:v>1</c:v>
                </c:pt>
                <c:pt idx="214">
                  <c:v>3</c:v>
                </c:pt>
                <c:pt idx="215">
                  <c:v>2</c:v>
                </c:pt>
                <c:pt idx="216">
                  <c:v>4</c:v>
                </c:pt>
                <c:pt idx="217">
                  <c:v>6</c:v>
                </c:pt>
                <c:pt idx="218">
                  <c:v>5</c:v>
                </c:pt>
                <c:pt idx="219">
                  <c:v>4</c:v>
                </c:pt>
                <c:pt idx="220">
                  <c:v>10</c:v>
                </c:pt>
                <c:pt idx="221">
                  <c:v>5</c:v>
                </c:pt>
                <c:pt idx="222">
                  <c:v>4</c:v>
                </c:pt>
                <c:pt idx="223">
                  <c:v>8</c:v>
                </c:pt>
                <c:pt idx="224">
                  <c:v>10</c:v>
                </c:pt>
                <c:pt idx="225">
                  <c:v>3</c:v>
                </c:pt>
                <c:pt idx="226">
                  <c:v>0</c:v>
                </c:pt>
                <c:pt idx="227">
                  <c:v>0</c:v>
                </c:pt>
                <c:pt idx="228">
                  <c:v>5</c:v>
                </c:pt>
                <c:pt idx="229">
                  <c:v>2</c:v>
                </c:pt>
                <c:pt idx="230">
                  <c:v>7</c:v>
                </c:pt>
                <c:pt idx="231">
                  <c:v>7</c:v>
                </c:pt>
                <c:pt idx="232">
                  <c:v>4</c:v>
                </c:pt>
                <c:pt idx="233">
                  <c:v>1</c:v>
                </c:pt>
                <c:pt idx="234">
                  <c:v>8</c:v>
                </c:pt>
                <c:pt idx="235">
                  <c:v>0</c:v>
                </c:pt>
                <c:pt idx="236">
                  <c:v>2</c:v>
                </c:pt>
                <c:pt idx="237">
                  <c:v>6</c:v>
                </c:pt>
                <c:pt idx="238">
                  <c:v>6</c:v>
                </c:pt>
                <c:pt idx="239">
                  <c:v>8</c:v>
                </c:pt>
                <c:pt idx="240">
                  <c:v>9</c:v>
                </c:pt>
                <c:pt idx="241">
                  <c:v>5</c:v>
                </c:pt>
                <c:pt idx="242">
                  <c:v>7</c:v>
                </c:pt>
                <c:pt idx="243">
                  <c:v>6</c:v>
                </c:pt>
                <c:pt idx="244">
                  <c:v>5</c:v>
                </c:pt>
                <c:pt idx="245">
                  <c:v>1</c:v>
                </c:pt>
                <c:pt idx="246">
                  <c:v>3</c:v>
                </c:pt>
                <c:pt idx="247">
                  <c:v>3</c:v>
                </c:pt>
                <c:pt idx="248">
                  <c:v>1</c:v>
                </c:pt>
                <c:pt idx="249">
                  <c:v>4</c:v>
                </c:pt>
                <c:pt idx="250">
                  <c:v>3</c:v>
                </c:pt>
                <c:pt idx="251">
                  <c:v>4</c:v>
                </c:pt>
                <c:pt idx="252">
                  <c:v>7</c:v>
                </c:pt>
                <c:pt idx="253">
                  <c:v>1</c:v>
                </c:pt>
                <c:pt idx="254">
                  <c:v>6</c:v>
                </c:pt>
                <c:pt idx="255">
                  <c:v>5</c:v>
                </c:pt>
                <c:pt idx="256">
                  <c:v>0</c:v>
                </c:pt>
                <c:pt idx="257">
                  <c:v>4</c:v>
                </c:pt>
                <c:pt idx="259">
                  <c:v>4</c:v>
                </c:pt>
                <c:pt idx="260">
                  <c:v>0</c:v>
                </c:pt>
                <c:pt idx="261">
                  <c:v>2</c:v>
                </c:pt>
                <c:pt idx="262">
                  <c:v>9</c:v>
                </c:pt>
                <c:pt idx="263">
                  <c:v>7</c:v>
                </c:pt>
                <c:pt idx="264">
                  <c:v>0</c:v>
                </c:pt>
                <c:pt idx="265">
                  <c:v>10</c:v>
                </c:pt>
                <c:pt idx="266">
                  <c:v>8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1">
                  <c:v>3</c:v>
                </c:pt>
                <c:pt idx="272">
                  <c:v>0</c:v>
                </c:pt>
                <c:pt idx="273">
                  <c:v>3</c:v>
                </c:pt>
                <c:pt idx="274">
                  <c:v>9</c:v>
                </c:pt>
                <c:pt idx="275">
                  <c:v>1</c:v>
                </c:pt>
                <c:pt idx="276">
                  <c:v>8</c:v>
                </c:pt>
                <c:pt idx="277">
                  <c:v>9</c:v>
                </c:pt>
                <c:pt idx="278">
                  <c:v>8</c:v>
                </c:pt>
                <c:pt idx="279">
                  <c:v>8</c:v>
                </c:pt>
                <c:pt idx="280">
                  <c:v>6</c:v>
                </c:pt>
                <c:pt idx="281">
                  <c:v>5</c:v>
                </c:pt>
                <c:pt idx="282">
                  <c:v>6</c:v>
                </c:pt>
                <c:pt idx="283">
                  <c:v>0</c:v>
                </c:pt>
                <c:pt idx="284">
                  <c:v>2</c:v>
                </c:pt>
                <c:pt idx="285">
                  <c:v>8</c:v>
                </c:pt>
                <c:pt idx="286">
                  <c:v>6</c:v>
                </c:pt>
                <c:pt idx="287">
                  <c:v>5</c:v>
                </c:pt>
                <c:pt idx="288">
                  <c:v>5</c:v>
                </c:pt>
                <c:pt idx="289">
                  <c:v>2</c:v>
                </c:pt>
                <c:pt idx="290">
                  <c:v>8</c:v>
                </c:pt>
                <c:pt idx="291">
                  <c:v>4</c:v>
                </c:pt>
                <c:pt idx="292">
                  <c:v>0</c:v>
                </c:pt>
                <c:pt idx="293">
                  <c:v>7</c:v>
                </c:pt>
                <c:pt idx="294">
                  <c:v>6</c:v>
                </c:pt>
                <c:pt idx="295">
                  <c:v>5</c:v>
                </c:pt>
                <c:pt idx="296">
                  <c:v>6</c:v>
                </c:pt>
                <c:pt idx="297">
                  <c:v>3</c:v>
                </c:pt>
                <c:pt idx="298">
                  <c:v>4</c:v>
                </c:pt>
                <c:pt idx="299">
                  <c:v>4</c:v>
                </c:pt>
                <c:pt idx="300">
                  <c:v>7</c:v>
                </c:pt>
                <c:pt idx="301">
                  <c:v>0</c:v>
                </c:pt>
                <c:pt idx="302">
                  <c:v>1</c:v>
                </c:pt>
                <c:pt idx="303">
                  <c:v>2</c:v>
                </c:pt>
                <c:pt idx="304">
                  <c:v>7</c:v>
                </c:pt>
                <c:pt idx="305">
                  <c:v>8</c:v>
                </c:pt>
                <c:pt idx="306">
                  <c:v>4</c:v>
                </c:pt>
                <c:pt idx="307">
                  <c:v>2</c:v>
                </c:pt>
                <c:pt idx="308">
                  <c:v>6</c:v>
                </c:pt>
                <c:pt idx="309">
                  <c:v>7</c:v>
                </c:pt>
                <c:pt idx="310">
                  <c:v>10</c:v>
                </c:pt>
                <c:pt idx="311">
                  <c:v>7</c:v>
                </c:pt>
                <c:pt idx="312">
                  <c:v>0</c:v>
                </c:pt>
                <c:pt idx="313">
                  <c:v>8</c:v>
                </c:pt>
                <c:pt idx="314">
                  <c:v>10</c:v>
                </c:pt>
                <c:pt idx="315">
                  <c:v>1</c:v>
                </c:pt>
                <c:pt idx="316">
                  <c:v>2</c:v>
                </c:pt>
                <c:pt idx="317">
                  <c:v>3</c:v>
                </c:pt>
                <c:pt idx="318">
                  <c:v>2</c:v>
                </c:pt>
                <c:pt idx="319">
                  <c:v>3</c:v>
                </c:pt>
                <c:pt idx="320">
                  <c:v>7</c:v>
                </c:pt>
                <c:pt idx="321">
                  <c:v>0</c:v>
                </c:pt>
                <c:pt idx="322">
                  <c:v>7</c:v>
                </c:pt>
                <c:pt idx="323">
                  <c:v>5</c:v>
                </c:pt>
                <c:pt idx="324">
                  <c:v>6</c:v>
                </c:pt>
                <c:pt idx="325">
                  <c:v>0</c:v>
                </c:pt>
                <c:pt idx="326">
                  <c:v>4</c:v>
                </c:pt>
                <c:pt idx="327">
                  <c:v>0</c:v>
                </c:pt>
                <c:pt idx="328">
                  <c:v>5</c:v>
                </c:pt>
                <c:pt idx="329">
                  <c:v>7</c:v>
                </c:pt>
                <c:pt idx="330">
                  <c:v>0</c:v>
                </c:pt>
                <c:pt idx="331">
                  <c:v>10</c:v>
                </c:pt>
                <c:pt idx="332">
                  <c:v>8</c:v>
                </c:pt>
                <c:pt idx="333">
                  <c:v>5</c:v>
                </c:pt>
                <c:pt idx="334">
                  <c:v>2</c:v>
                </c:pt>
                <c:pt idx="335">
                  <c:v>6</c:v>
                </c:pt>
                <c:pt idx="336">
                  <c:v>1</c:v>
                </c:pt>
                <c:pt idx="337">
                  <c:v>5</c:v>
                </c:pt>
                <c:pt idx="338">
                  <c:v>4</c:v>
                </c:pt>
                <c:pt idx="340">
                  <c:v>10</c:v>
                </c:pt>
                <c:pt idx="341">
                  <c:v>7</c:v>
                </c:pt>
                <c:pt idx="342">
                  <c:v>5</c:v>
                </c:pt>
                <c:pt idx="343">
                  <c:v>5</c:v>
                </c:pt>
                <c:pt idx="344">
                  <c:v>7</c:v>
                </c:pt>
                <c:pt idx="345">
                  <c:v>4</c:v>
                </c:pt>
                <c:pt idx="346">
                  <c:v>4</c:v>
                </c:pt>
                <c:pt idx="348">
                  <c:v>2</c:v>
                </c:pt>
                <c:pt idx="349">
                  <c:v>3</c:v>
                </c:pt>
                <c:pt idx="350">
                  <c:v>5</c:v>
                </c:pt>
                <c:pt idx="351">
                  <c:v>2</c:v>
                </c:pt>
                <c:pt idx="352">
                  <c:v>0</c:v>
                </c:pt>
                <c:pt idx="353">
                  <c:v>7</c:v>
                </c:pt>
                <c:pt idx="354">
                  <c:v>3</c:v>
                </c:pt>
                <c:pt idx="355">
                  <c:v>4</c:v>
                </c:pt>
                <c:pt idx="356">
                  <c:v>5</c:v>
                </c:pt>
                <c:pt idx="357">
                  <c:v>5</c:v>
                </c:pt>
                <c:pt idx="358">
                  <c:v>6</c:v>
                </c:pt>
                <c:pt idx="360">
                  <c:v>1</c:v>
                </c:pt>
                <c:pt idx="361">
                  <c:v>7</c:v>
                </c:pt>
                <c:pt idx="362">
                  <c:v>1</c:v>
                </c:pt>
                <c:pt idx="363">
                  <c:v>5</c:v>
                </c:pt>
                <c:pt idx="364">
                  <c:v>6</c:v>
                </c:pt>
                <c:pt idx="365">
                  <c:v>3</c:v>
                </c:pt>
                <c:pt idx="366">
                  <c:v>7</c:v>
                </c:pt>
                <c:pt idx="367">
                  <c:v>6</c:v>
                </c:pt>
                <c:pt idx="368">
                  <c:v>8</c:v>
                </c:pt>
                <c:pt idx="369">
                  <c:v>10</c:v>
                </c:pt>
                <c:pt idx="370">
                  <c:v>1</c:v>
                </c:pt>
                <c:pt idx="371">
                  <c:v>5</c:v>
                </c:pt>
                <c:pt idx="372">
                  <c:v>0</c:v>
                </c:pt>
                <c:pt idx="373">
                  <c:v>3</c:v>
                </c:pt>
                <c:pt idx="374">
                  <c:v>5</c:v>
                </c:pt>
                <c:pt idx="375">
                  <c:v>5</c:v>
                </c:pt>
                <c:pt idx="376">
                  <c:v>2</c:v>
                </c:pt>
                <c:pt idx="377">
                  <c:v>5</c:v>
                </c:pt>
                <c:pt idx="378">
                  <c:v>0</c:v>
                </c:pt>
                <c:pt idx="379">
                  <c:v>6</c:v>
                </c:pt>
                <c:pt idx="380">
                  <c:v>10</c:v>
                </c:pt>
                <c:pt idx="381">
                  <c:v>5</c:v>
                </c:pt>
                <c:pt idx="382">
                  <c:v>1</c:v>
                </c:pt>
                <c:pt idx="383">
                  <c:v>4</c:v>
                </c:pt>
                <c:pt idx="384">
                  <c:v>0</c:v>
                </c:pt>
                <c:pt idx="385">
                  <c:v>8</c:v>
                </c:pt>
                <c:pt idx="386">
                  <c:v>8</c:v>
                </c:pt>
                <c:pt idx="387">
                  <c:v>6</c:v>
                </c:pt>
                <c:pt idx="388">
                  <c:v>5</c:v>
                </c:pt>
                <c:pt idx="389">
                  <c:v>7</c:v>
                </c:pt>
                <c:pt idx="390">
                  <c:v>7</c:v>
                </c:pt>
                <c:pt idx="391">
                  <c:v>4</c:v>
                </c:pt>
                <c:pt idx="392">
                  <c:v>6</c:v>
                </c:pt>
                <c:pt idx="393">
                  <c:v>9</c:v>
                </c:pt>
                <c:pt idx="394">
                  <c:v>5</c:v>
                </c:pt>
                <c:pt idx="395">
                  <c:v>8</c:v>
                </c:pt>
                <c:pt idx="397">
                  <c:v>2</c:v>
                </c:pt>
                <c:pt idx="398">
                  <c:v>2</c:v>
                </c:pt>
                <c:pt idx="399">
                  <c:v>6</c:v>
                </c:pt>
                <c:pt idx="400">
                  <c:v>3</c:v>
                </c:pt>
                <c:pt idx="401">
                  <c:v>0</c:v>
                </c:pt>
                <c:pt idx="402">
                  <c:v>1</c:v>
                </c:pt>
                <c:pt idx="403">
                  <c:v>8</c:v>
                </c:pt>
                <c:pt idx="404">
                  <c:v>6</c:v>
                </c:pt>
                <c:pt idx="405">
                  <c:v>8</c:v>
                </c:pt>
                <c:pt idx="406">
                  <c:v>6</c:v>
                </c:pt>
                <c:pt idx="407">
                  <c:v>6</c:v>
                </c:pt>
                <c:pt idx="408">
                  <c:v>2</c:v>
                </c:pt>
                <c:pt idx="409">
                  <c:v>5</c:v>
                </c:pt>
                <c:pt idx="410">
                  <c:v>5</c:v>
                </c:pt>
                <c:pt idx="411">
                  <c:v>6</c:v>
                </c:pt>
                <c:pt idx="412">
                  <c:v>3</c:v>
                </c:pt>
                <c:pt idx="413">
                  <c:v>8</c:v>
                </c:pt>
                <c:pt idx="414">
                  <c:v>6</c:v>
                </c:pt>
                <c:pt idx="415">
                  <c:v>6</c:v>
                </c:pt>
                <c:pt idx="416">
                  <c:v>9</c:v>
                </c:pt>
                <c:pt idx="417">
                  <c:v>2</c:v>
                </c:pt>
                <c:pt idx="418">
                  <c:v>3</c:v>
                </c:pt>
                <c:pt idx="419">
                  <c:v>9</c:v>
                </c:pt>
                <c:pt idx="420">
                  <c:v>7</c:v>
                </c:pt>
                <c:pt idx="421">
                  <c:v>2</c:v>
                </c:pt>
                <c:pt idx="422">
                  <c:v>9</c:v>
                </c:pt>
                <c:pt idx="423">
                  <c:v>5</c:v>
                </c:pt>
                <c:pt idx="424">
                  <c:v>8</c:v>
                </c:pt>
                <c:pt idx="425">
                  <c:v>2</c:v>
                </c:pt>
                <c:pt idx="426">
                  <c:v>9</c:v>
                </c:pt>
                <c:pt idx="427">
                  <c:v>5</c:v>
                </c:pt>
                <c:pt idx="428">
                  <c:v>6</c:v>
                </c:pt>
                <c:pt idx="429">
                  <c:v>7</c:v>
                </c:pt>
                <c:pt idx="430">
                  <c:v>0</c:v>
                </c:pt>
                <c:pt idx="431">
                  <c:v>6</c:v>
                </c:pt>
                <c:pt idx="432">
                  <c:v>4</c:v>
                </c:pt>
                <c:pt idx="433">
                  <c:v>7</c:v>
                </c:pt>
                <c:pt idx="434">
                  <c:v>6</c:v>
                </c:pt>
                <c:pt idx="435">
                  <c:v>6</c:v>
                </c:pt>
                <c:pt idx="436">
                  <c:v>7</c:v>
                </c:pt>
                <c:pt idx="437">
                  <c:v>3</c:v>
                </c:pt>
                <c:pt idx="438">
                  <c:v>3</c:v>
                </c:pt>
                <c:pt idx="439">
                  <c:v>4</c:v>
                </c:pt>
                <c:pt idx="440">
                  <c:v>10</c:v>
                </c:pt>
                <c:pt idx="441">
                  <c:v>5</c:v>
                </c:pt>
                <c:pt idx="442">
                  <c:v>3</c:v>
                </c:pt>
                <c:pt idx="444">
                  <c:v>2</c:v>
                </c:pt>
                <c:pt idx="445">
                  <c:v>4</c:v>
                </c:pt>
                <c:pt idx="446">
                  <c:v>4</c:v>
                </c:pt>
                <c:pt idx="447">
                  <c:v>3</c:v>
                </c:pt>
                <c:pt idx="448">
                  <c:v>6</c:v>
                </c:pt>
                <c:pt idx="449">
                  <c:v>8</c:v>
                </c:pt>
                <c:pt idx="450">
                  <c:v>4</c:v>
                </c:pt>
                <c:pt idx="451">
                  <c:v>10</c:v>
                </c:pt>
                <c:pt idx="452">
                  <c:v>8</c:v>
                </c:pt>
                <c:pt idx="453">
                  <c:v>6</c:v>
                </c:pt>
                <c:pt idx="454">
                  <c:v>3</c:v>
                </c:pt>
                <c:pt idx="455">
                  <c:v>10</c:v>
                </c:pt>
                <c:pt idx="456">
                  <c:v>10</c:v>
                </c:pt>
                <c:pt idx="457">
                  <c:v>5</c:v>
                </c:pt>
                <c:pt idx="458">
                  <c:v>7</c:v>
                </c:pt>
                <c:pt idx="459">
                  <c:v>5</c:v>
                </c:pt>
                <c:pt idx="460">
                  <c:v>2</c:v>
                </c:pt>
                <c:pt idx="461">
                  <c:v>8</c:v>
                </c:pt>
                <c:pt idx="462">
                  <c:v>0</c:v>
                </c:pt>
                <c:pt idx="463">
                  <c:v>0</c:v>
                </c:pt>
                <c:pt idx="464">
                  <c:v>4</c:v>
                </c:pt>
                <c:pt idx="465">
                  <c:v>4</c:v>
                </c:pt>
                <c:pt idx="466">
                  <c:v>6</c:v>
                </c:pt>
                <c:pt idx="467">
                  <c:v>5</c:v>
                </c:pt>
                <c:pt idx="468">
                  <c:v>0</c:v>
                </c:pt>
                <c:pt idx="469">
                  <c:v>4</c:v>
                </c:pt>
                <c:pt idx="470">
                  <c:v>10</c:v>
                </c:pt>
                <c:pt idx="471">
                  <c:v>4</c:v>
                </c:pt>
                <c:pt idx="472">
                  <c:v>3</c:v>
                </c:pt>
                <c:pt idx="473">
                  <c:v>0</c:v>
                </c:pt>
                <c:pt idx="474">
                  <c:v>9</c:v>
                </c:pt>
                <c:pt idx="475">
                  <c:v>8</c:v>
                </c:pt>
                <c:pt idx="476">
                  <c:v>6</c:v>
                </c:pt>
                <c:pt idx="477">
                  <c:v>6</c:v>
                </c:pt>
                <c:pt idx="478">
                  <c:v>3</c:v>
                </c:pt>
                <c:pt idx="479">
                  <c:v>10</c:v>
                </c:pt>
                <c:pt idx="480">
                  <c:v>8</c:v>
                </c:pt>
                <c:pt idx="481">
                  <c:v>8</c:v>
                </c:pt>
                <c:pt idx="482">
                  <c:v>0</c:v>
                </c:pt>
                <c:pt idx="483">
                  <c:v>0</c:v>
                </c:pt>
                <c:pt idx="484">
                  <c:v>10</c:v>
                </c:pt>
                <c:pt idx="485">
                  <c:v>3</c:v>
                </c:pt>
                <c:pt idx="486">
                  <c:v>7</c:v>
                </c:pt>
                <c:pt idx="487">
                  <c:v>3</c:v>
                </c:pt>
                <c:pt idx="488">
                  <c:v>7</c:v>
                </c:pt>
                <c:pt idx="489">
                  <c:v>3</c:v>
                </c:pt>
                <c:pt idx="490">
                  <c:v>3</c:v>
                </c:pt>
                <c:pt idx="491">
                  <c:v>5</c:v>
                </c:pt>
                <c:pt idx="492">
                  <c:v>7</c:v>
                </c:pt>
                <c:pt idx="493">
                  <c:v>6</c:v>
                </c:pt>
                <c:pt idx="494">
                  <c:v>3</c:v>
                </c:pt>
                <c:pt idx="495">
                  <c:v>8</c:v>
                </c:pt>
                <c:pt idx="496">
                  <c:v>7</c:v>
                </c:pt>
                <c:pt idx="497">
                  <c:v>10</c:v>
                </c:pt>
                <c:pt idx="498">
                  <c:v>6</c:v>
                </c:pt>
                <c:pt idx="499">
                  <c:v>8</c:v>
                </c:pt>
                <c:pt idx="500">
                  <c:v>2</c:v>
                </c:pt>
                <c:pt idx="501">
                  <c:v>2</c:v>
                </c:pt>
                <c:pt idx="502">
                  <c:v>3</c:v>
                </c:pt>
                <c:pt idx="503">
                  <c:v>3</c:v>
                </c:pt>
                <c:pt idx="504">
                  <c:v>3</c:v>
                </c:pt>
                <c:pt idx="505">
                  <c:v>4</c:v>
                </c:pt>
                <c:pt idx="506">
                  <c:v>5</c:v>
                </c:pt>
                <c:pt idx="507">
                  <c:v>1</c:v>
                </c:pt>
                <c:pt idx="508">
                  <c:v>8</c:v>
                </c:pt>
                <c:pt idx="509">
                  <c:v>7</c:v>
                </c:pt>
                <c:pt idx="510">
                  <c:v>5</c:v>
                </c:pt>
                <c:pt idx="511">
                  <c:v>7</c:v>
                </c:pt>
                <c:pt idx="512">
                  <c:v>0</c:v>
                </c:pt>
                <c:pt idx="513">
                  <c:v>4</c:v>
                </c:pt>
                <c:pt idx="515">
                  <c:v>6</c:v>
                </c:pt>
                <c:pt idx="516">
                  <c:v>4</c:v>
                </c:pt>
                <c:pt idx="517">
                  <c:v>5</c:v>
                </c:pt>
                <c:pt idx="518">
                  <c:v>5</c:v>
                </c:pt>
                <c:pt idx="519">
                  <c:v>6</c:v>
                </c:pt>
                <c:pt idx="520">
                  <c:v>8</c:v>
                </c:pt>
                <c:pt idx="521">
                  <c:v>8</c:v>
                </c:pt>
                <c:pt idx="522">
                  <c:v>7</c:v>
                </c:pt>
                <c:pt idx="523">
                  <c:v>6</c:v>
                </c:pt>
                <c:pt idx="524">
                  <c:v>4</c:v>
                </c:pt>
                <c:pt idx="525">
                  <c:v>2</c:v>
                </c:pt>
                <c:pt idx="526">
                  <c:v>0</c:v>
                </c:pt>
                <c:pt idx="527">
                  <c:v>2</c:v>
                </c:pt>
                <c:pt idx="528">
                  <c:v>6</c:v>
                </c:pt>
                <c:pt idx="529">
                  <c:v>0</c:v>
                </c:pt>
                <c:pt idx="530">
                  <c:v>5</c:v>
                </c:pt>
                <c:pt idx="531">
                  <c:v>8</c:v>
                </c:pt>
                <c:pt idx="532">
                  <c:v>7</c:v>
                </c:pt>
                <c:pt idx="533">
                  <c:v>8</c:v>
                </c:pt>
                <c:pt idx="534">
                  <c:v>10</c:v>
                </c:pt>
                <c:pt idx="535">
                  <c:v>4</c:v>
                </c:pt>
                <c:pt idx="536">
                  <c:v>10</c:v>
                </c:pt>
                <c:pt idx="537">
                  <c:v>3</c:v>
                </c:pt>
                <c:pt idx="538">
                  <c:v>7</c:v>
                </c:pt>
                <c:pt idx="539">
                  <c:v>7</c:v>
                </c:pt>
                <c:pt idx="540">
                  <c:v>3</c:v>
                </c:pt>
                <c:pt idx="541">
                  <c:v>2</c:v>
                </c:pt>
                <c:pt idx="542">
                  <c:v>3</c:v>
                </c:pt>
                <c:pt idx="543">
                  <c:v>4</c:v>
                </c:pt>
                <c:pt idx="544">
                  <c:v>3</c:v>
                </c:pt>
                <c:pt idx="545">
                  <c:v>5</c:v>
                </c:pt>
                <c:pt idx="546">
                  <c:v>4</c:v>
                </c:pt>
                <c:pt idx="547">
                  <c:v>5</c:v>
                </c:pt>
                <c:pt idx="548">
                  <c:v>4</c:v>
                </c:pt>
                <c:pt idx="549">
                  <c:v>1</c:v>
                </c:pt>
                <c:pt idx="550">
                  <c:v>0</c:v>
                </c:pt>
                <c:pt idx="551">
                  <c:v>7</c:v>
                </c:pt>
                <c:pt idx="552">
                  <c:v>5</c:v>
                </c:pt>
                <c:pt idx="553">
                  <c:v>7</c:v>
                </c:pt>
                <c:pt idx="554">
                  <c:v>5</c:v>
                </c:pt>
                <c:pt idx="555">
                  <c:v>4</c:v>
                </c:pt>
                <c:pt idx="556">
                  <c:v>0</c:v>
                </c:pt>
                <c:pt idx="557">
                  <c:v>6</c:v>
                </c:pt>
                <c:pt idx="558">
                  <c:v>2</c:v>
                </c:pt>
                <c:pt idx="559">
                  <c:v>7</c:v>
                </c:pt>
                <c:pt idx="560">
                  <c:v>8</c:v>
                </c:pt>
                <c:pt idx="561">
                  <c:v>0</c:v>
                </c:pt>
                <c:pt idx="562">
                  <c:v>4</c:v>
                </c:pt>
                <c:pt idx="563">
                  <c:v>6</c:v>
                </c:pt>
                <c:pt idx="564">
                  <c:v>5</c:v>
                </c:pt>
                <c:pt idx="565">
                  <c:v>5</c:v>
                </c:pt>
                <c:pt idx="566">
                  <c:v>8</c:v>
                </c:pt>
                <c:pt idx="567">
                  <c:v>0</c:v>
                </c:pt>
                <c:pt idx="568">
                  <c:v>3</c:v>
                </c:pt>
                <c:pt idx="569">
                  <c:v>6</c:v>
                </c:pt>
                <c:pt idx="570">
                  <c:v>9</c:v>
                </c:pt>
                <c:pt idx="571">
                  <c:v>7</c:v>
                </c:pt>
                <c:pt idx="572">
                  <c:v>8</c:v>
                </c:pt>
                <c:pt idx="573">
                  <c:v>9</c:v>
                </c:pt>
                <c:pt idx="574">
                  <c:v>5</c:v>
                </c:pt>
                <c:pt idx="575">
                  <c:v>4</c:v>
                </c:pt>
                <c:pt idx="576">
                  <c:v>2</c:v>
                </c:pt>
                <c:pt idx="577">
                  <c:v>5</c:v>
                </c:pt>
                <c:pt idx="578">
                  <c:v>4</c:v>
                </c:pt>
                <c:pt idx="579">
                  <c:v>1</c:v>
                </c:pt>
                <c:pt idx="580">
                  <c:v>0</c:v>
                </c:pt>
                <c:pt idx="581">
                  <c:v>4</c:v>
                </c:pt>
                <c:pt idx="582">
                  <c:v>1</c:v>
                </c:pt>
                <c:pt idx="583">
                  <c:v>5</c:v>
                </c:pt>
                <c:pt idx="584">
                  <c:v>0</c:v>
                </c:pt>
                <c:pt idx="585">
                  <c:v>5</c:v>
                </c:pt>
                <c:pt idx="586">
                  <c:v>5</c:v>
                </c:pt>
                <c:pt idx="587">
                  <c:v>4</c:v>
                </c:pt>
                <c:pt idx="588">
                  <c:v>3</c:v>
                </c:pt>
                <c:pt idx="589">
                  <c:v>7</c:v>
                </c:pt>
                <c:pt idx="591">
                  <c:v>3</c:v>
                </c:pt>
                <c:pt idx="592">
                  <c:v>7</c:v>
                </c:pt>
                <c:pt idx="593">
                  <c:v>10</c:v>
                </c:pt>
                <c:pt idx="594">
                  <c:v>1</c:v>
                </c:pt>
                <c:pt idx="595">
                  <c:v>2</c:v>
                </c:pt>
                <c:pt idx="596">
                  <c:v>8</c:v>
                </c:pt>
                <c:pt idx="597">
                  <c:v>5</c:v>
                </c:pt>
                <c:pt idx="598">
                  <c:v>3</c:v>
                </c:pt>
                <c:pt idx="599">
                  <c:v>5</c:v>
                </c:pt>
                <c:pt idx="600">
                  <c:v>0</c:v>
                </c:pt>
                <c:pt idx="601">
                  <c:v>1</c:v>
                </c:pt>
                <c:pt idx="602">
                  <c:v>8</c:v>
                </c:pt>
                <c:pt idx="603">
                  <c:v>6</c:v>
                </c:pt>
                <c:pt idx="604">
                  <c:v>3</c:v>
                </c:pt>
                <c:pt idx="605">
                  <c:v>5</c:v>
                </c:pt>
                <c:pt idx="606">
                  <c:v>1</c:v>
                </c:pt>
                <c:pt idx="607">
                  <c:v>7</c:v>
                </c:pt>
                <c:pt idx="608">
                  <c:v>9</c:v>
                </c:pt>
                <c:pt idx="609">
                  <c:v>10</c:v>
                </c:pt>
                <c:pt idx="610">
                  <c:v>9</c:v>
                </c:pt>
                <c:pt idx="611">
                  <c:v>9</c:v>
                </c:pt>
                <c:pt idx="612">
                  <c:v>4</c:v>
                </c:pt>
                <c:pt idx="613">
                  <c:v>7</c:v>
                </c:pt>
                <c:pt idx="614">
                  <c:v>5</c:v>
                </c:pt>
                <c:pt idx="615">
                  <c:v>6</c:v>
                </c:pt>
                <c:pt idx="616">
                  <c:v>8</c:v>
                </c:pt>
                <c:pt idx="617">
                  <c:v>9</c:v>
                </c:pt>
                <c:pt idx="618">
                  <c:v>4</c:v>
                </c:pt>
                <c:pt idx="619">
                  <c:v>4</c:v>
                </c:pt>
                <c:pt idx="620">
                  <c:v>3</c:v>
                </c:pt>
                <c:pt idx="621">
                  <c:v>7</c:v>
                </c:pt>
                <c:pt idx="622">
                  <c:v>4</c:v>
                </c:pt>
                <c:pt idx="623">
                  <c:v>0</c:v>
                </c:pt>
                <c:pt idx="624">
                  <c:v>4</c:v>
                </c:pt>
                <c:pt idx="625">
                  <c:v>5</c:v>
                </c:pt>
                <c:pt idx="626">
                  <c:v>4</c:v>
                </c:pt>
                <c:pt idx="627">
                  <c:v>1</c:v>
                </c:pt>
                <c:pt idx="628">
                  <c:v>4</c:v>
                </c:pt>
                <c:pt idx="629">
                  <c:v>6</c:v>
                </c:pt>
              </c:numCache>
            </c:numRef>
          </c:xVal>
          <c:yVal>
            <c:numRef>
              <c:f>'Learning &amp; Growth'!$D$2:$D$640</c:f>
              <c:numCache>
                <c:formatCode>General</c:formatCode>
                <c:ptCount val="639"/>
                <c:pt idx="0">
                  <c:v>7</c:v>
                </c:pt>
                <c:pt idx="1">
                  <c:v>3</c:v>
                </c:pt>
                <c:pt idx="2">
                  <c:v>7</c:v>
                </c:pt>
                <c:pt idx="3">
                  <c:v>10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9</c:v>
                </c:pt>
                <c:pt idx="8">
                  <c:v>5</c:v>
                </c:pt>
                <c:pt idx="9">
                  <c:v>4</c:v>
                </c:pt>
                <c:pt idx="10">
                  <c:v>10</c:v>
                </c:pt>
                <c:pt idx="11">
                  <c:v>8</c:v>
                </c:pt>
                <c:pt idx="12">
                  <c:v>10</c:v>
                </c:pt>
                <c:pt idx="13">
                  <c:v>8</c:v>
                </c:pt>
                <c:pt idx="14">
                  <c:v>5</c:v>
                </c:pt>
                <c:pt idx="15">
                  <c:v>5</c:v>
                </c:pt>
                <c:pt idx="16">
                  <c:v>2</c:v>
                </c:pt>
                <c:pt idx="17">
                  <c:v>1</c:v>
                </c:pt>
                <c:pt idx="18">
                  <c:v>3</c:v>
                </c:pt>
                <c:pt idx="19">
                  <c:v>0</c:v>
                </c:pt>
                <c:pt idx="20">
                  <c:v>5</c:v>
                </c:pt>
                <c:pt idx="21">
                  <c:v>10</c:v>
                </c:pt>
                <c:pt idx="22">
                  <c:v>1</c:v>
                </c:pt>
                <c:pt idx="23">
                  <c:v>4</c:v>
                </c:pt>
                <c:pt idx="24">
                  <c:v>8</c:v>
                </c:pt>
                <c:pt idx="25">
                  <c:v>7</c:v>
                </c:pt>
                <c:pt idx="26">
                  <c:v>2</c:v>
                </c:pt>
                <c:pt idx="27">
                  <c:v>2</c:v>
                </c:pt>
                <c:pt idx="28">
                  <c:v>4</c:v>
                </c:pt>
                <c:pt idx="29">
                  <c:v>0</c:v>
                </c:pt>
                <c:pt idx="30">
                  <c:v>3</c:v>
                </c:pt>
                <c:pt idx="31">
                  <c:v>4</c:v>
                </c:pt>
                <c:pt idx="32">
                  <c:v>7</c:v>
                </c:pt>
                <c:pt idx="33">
                  <c:v>9</c:v>
                </c:pt>
                <c:pt idx="34">
                  <c:v>5</c:v>
                </c:pt>
                <c:pt idx="35">
                  <c:v>7</c:v>
                </c:pt>
                <c:pt idx="36">
                  <c:v>6</c:v>
                </c:pt>
                <c:pt idx="37">
                  <c:v>5</c:v>
                </c:pt>
                <c:pt idx="38">
                  <c:v>1</c:v>
                </c:pt>
                <c:pt idx="39">
                  <c:v>0</c:v>
                </c:pt>
                <c:pt idx="40">
                  <c:v>6</c:v>
                </c:pt>
                <c:pt idx="41">
                  <c:v>0</c:v>
                </c:pt>
                <c:pt idx="42">
                  <c:v>3</c:v>
                </c:pt>
                <c:pt idx="43">
                  <c:v>0</c:v>
                </c:pt>
                <c:pt idx="44">
                  <c:v>6</c:v>
                </c:pt>
                <c:pt idx="45">
                  <c:v>7</c:v>
                </c:pt>
                <c:pt idx="46">
                  <c:v>8</c:v>
                </c:pt>
                <c:pt idx="47">
                  <c:v>9</c:v>
                </c:pt>
                <c:pt idx="48">
                  <c:v>6</c:v>
                </c:pt>
                <c:pt idx="49">
                  <c:v>10</c:v>
                </c:pt>
                <c:pt idx="50">
                  <c:v>10</c:v>
                </c:pt>
                <c:pt idx="51">
                  <c:v>9</c:v>
                </c:pt>
                <c:pt idx="52">
                  <c:v>7</c:v>
                </c:pt>
                <c:pt idx="53">
                  <c:v>7</c:v>
                </c:pt>
                <c:pt idx="54">
                  <c:v>6</c:v>
                </c:pt>
                <c:pt idx="55">
                  <c:v>3</c:v>
                </c:pt>
                <c:pt idx="56">
                  <c:v>10</c:v>
                </c:pt>
                <c:pt idx="57">
                  <c:v>7</c:v>
                </c:pt>
                <c:pt idx="58">
                  <c:v>3</c:v>
                </c:pt>
                <c:pt idx="59">
                  <c:v>1</c:v>
                </c:pt>
                <c:pt idx="60">
                  <c:v>4</c:v>
                </c:pt>
                <c:pt idx="61">
                  <c:v>8</c:v>
                </c:pt>
                <c:pt idx="62">
                  <c:v>0</c:v>
                </c:pt>
                <c:pt idx="63">
                  <c:v>7</c:v>
                </c:pt>
                <c:pt idx="64">
                  <c:v>6</c:v>
                </c:pt>
                <c:pt idx="65">
                  <c:v>6</c:v>
                </c:pt>
                <c:pt idx="66">
                  <c:v>5</c:v>
                </c:pt>
                <c:pt idx="67">
                  <c:v>9</c:v>
                </c:pt>
                <c:pt idx="68">
                  <c:v>5</c:v>
                </c:pt>
                <c:pt idx="69">
                  <c:v>7</c:v>
                </c:pt>
                <c:pt idx="70">
                  <c:v>2</c:v>
                </c:pt>
                <c:pt idx="71">
                  <c:v>5</c:v>
                </c:pt>
                <c:pt idx="72">
                  <c:v>7</c:v>
                </c:pt>
                <c:pt idx="73">
                  <c:v>1</c:v>
                </c:pt>
                <c:pt idx="74">
                  <c:v>6</c:v>
                </c:pt>
                <c:pt idx="75">
                  <c:v>10</c:v>
                </c:pt>
                <c:pt idx="76">
                  <c:v>5</c:v>
                </c:pt>
                <c:pt idx="77">
                  <c:v>4</c:v>
                </c:pt>
                <c:pt idx="78">
                  <c:v>8</c:v>
                </c:pt>
                <c:pt idx="79">
                  <c:v>4</c:v>
                </c:pt>
                <c:pt idx="80">
                  <c:v>2</c:v>
                </c:pt>
                <c:pt idx="81">
                  <c:v>7</c:v>
                </c:pt>
                <c:pt idx="82">
                  <c:v>8</c:v>
                </c:pt>
                <c:pt idx="83">
                  <c:v>7</c:v>
                </c:pt>
                <c:pt idx="84">
                  <c:v>10</c:v>
                </c:pt>
                <c:pt idx="85">
                  <c:v>9</c:v>
                </c:pt>
                <c:pt idx="86">
                  <c:v>7</c:v>
                </c:pt>
                <c:pt idx="87">
                  <c:v>0</c:v>
                </c:pt>
                <c:pt idx="88">
                  <c:v>6</c:v>
                </c:pt>
                <c:pt idx="89">
                  <c:v>9</c:v>
                </c:pt>
                <c:pt idx="90">
                  <c:v>9</c:v>
                </c:pt>
                <c:pt idx="91">
                  <c:v>4</c:v>
                </c:pt>
                <c:pt idx="92">
                  <c:v>6</c:v>
                </c:pt>
                <c:pt idx="93">
                  <c:v>4</c:v>
                </c:pt>
                <c:pt idx="94">
                  <c:v>6</c:v>
                </c:pt>
                <c:pt idx="95">
                  <c:v>8</c:v>
                </c:pt>
                <c:pt idx="96">
                  <c:v>4</c:v>
                </c:pt>
                <c:pt idx="97">
                  <c:v>6</c:v>
                </c:pt>
                <c:pt idx="98">
                  <c:v>6</c:v>
                </c:pt>
                <c:pt idx="99">
                  <c:v>10</c:v>
                </c:pt>
                <c:pt idx="100">
                  <c:v>4</c:v>
                </c:pt>
                <c:pt idx="101">
                  <c:v>7</c:v>
                </c:pt>
                <c:pt idx="102">
                  <c:v>10</c:v>
                </c:pt>
                <c:pt idx="103">
                  <c:v>8</c:v>
                </c:pt>
                <c:pt idx="104">
                  <c:v>10</c:v>
                </c:pt>
                <c:pt idx="105">
                  <c:v>2</c:v>
                </c:pt>
                <c:pt idx="106">
                  <c:v>4</c:v>
                </c:pt>
                <c:pt idx="107">
                  <c:v>4</c:v>
                </c:pt>
                <c:pt idx="108">
                  <c:v>5</c:v>
                </c:pt>
                <c:pt idx="109">
                  <c:v>5</c:v>
                </c:pt>
                <c:pt idx="110">
                  <c:v>6</c:v>
                </c:pt>
                <c:pt idx="111">
                  <c:v>4</c:v>
                </c:pt>
                <c:pt idx="112">
                  <c:v>7</c:v>
                </c:pt>
                <c:pt idx="113">
                  <c:v>5</c:v>
                </c:pt>
                <c:pt idx="114">
                  <c:v>4</c:v>
                </c:pt>
                <c:pt idx="115">
                  <c:v>10</c:v>
                </c:pt>
                <c:pt idx="116">
                  <c:v>9</c:v>
                </c:pt>
                <c:pt idx="117">
                  <c:v>5</c:v>
                </c:pt>
                <c:pt idx="118">
                  <c:v>6</c:v>
                </c:pt>
                <c:pt idx="119">
                  <c:v>7</c:v>
                </c:pt>
                <c:pt idx="120">
                  <c:v>8</c:v>
                </c:pt>
                <c:pt idx="121">
                  <c:v>0</c:v>
                </c:pt>
                <c:pt idx="122">
                  <c:v>8</c:v>
                </c:pt>
                <c:pt idx="123">
                  <c:v>7</c:v>
                </c:pt>
                <c:pt idx="124">
                  <c:v>3</c:v>
                </c:pt>
                <c:pt idx="125">
                  <c:v>0</c:v>
                </c:pt>
                <c:pt idx="126">
                  <c:v>1</c:v>
                </c:pt>
                <c:pt idx="127">
                  <c:v>7</c:v>
                </c:pt>
                <c:pt idx="128">
                  <c:v>4</c:v>
                </c:pt>
                <c:pt idx="129">
                  <c:v>10</c:v>
                </c:pt>
                <c:pt idx="130">
                  <c:v>0</c:v>
                </c:pt>
                <c:pt idx="131">
                  <c:v>10</c:v>
                </c:pt>
                <c:pt idx="132">
                  <c:v>8</c:v>
                </c:pt>
                <c:pt idx="133">
                  <c:v>6</c:v>
                </c:pt>
                <c:pt idx="134">
                  <c:v>8</c:v>
                </c:pt>
                <c:pt idx="135">
                  <c:v>2</c:v>
                </c:pt>
                <c:pt idx="136">
                  <c:v>6</c:v>
                </c:pt>
                <c:pt idx="137">
                  <c:v>4</c:v>
                </c:pt>
                <c:pt idx="138">
                  <c:v>3</c:v>
                </c:pt>
                <c:pt idx="139">
                  <c:v>5</c:v>
                </c:pt>
                <c:pt idx="140">
                  <c:v>7</c:v>
                </c:pt>
                <c:pt idx="141">
                  <c:v>9</c:v>
                </c:pt>
                <c:pt idx="142">
                  <c:v>2</c:v>
                </c:pt>
                <c:pt idx="143">
                  <c:v>10</c:v>
                </c:pt>
                <c:pt idx="144">
                  <c:v>2</c:v>
                </c:pt>
                <c:pt idx="145">
                  <c:v>5</c:v>
                </c:pt>
                <c:pt idx="146">
                  <c:v>4</c:v>
                </c:pt>
                <c:pt idx="147">
                  <c:v>5</c:v>
                </c:pt>
                <c:pt idx="148">
                  <c:v>10</c:v>
                </c:pt>
                <c:pt idx="149">
                  <c:v>3</c:v>
                </c:pt>
                <c:pt idx="150">
                  <c:v>6</c:v>
                </c:pt>
                <c:pt idx="151">
                  <c:v>10</c:v>
                </c:pt>
                <c:pt idx="152">
                  <c:v>7</c:v>
                </c:pt>
                <c:pt idx="153">
                  <c:v>7</c:v>
                </c:pt>
                <c:pt idx="154">
                  <c:v>10</c:v>
                </c:pt>
                <c:pt idx="155">
                  <c:v>7</c:v>
                </c:pt>
                <c:pt idx="156">
                  <c:v>6</c:v>
                </c:pt>
                <c:pt idx="157">
                  <c:v>0</c:v>
                </c:pt>
                <c:pt idx="158">
                  <c:v>8</c:v>
                </c:pt>
                <c:pt idx="159">
                  <c:v>10</c:v>
                </c:pt>
                <c:pt idx="160">
                  <c:v>3</c:v>
                </c:pt>
                <c:pt idx="161">
                  <c:v>0</c:v>
                </c:pt>
                <c:pt idx="162">
                  <c:v>7</c:v>
                </c:pt>
                <c:pt idx="163">
                  <c:v>9</c:v>
                </c:pt>
                <c:pt idx="164">
                  <c:v>7</c:v>
                </c:pt>
                <c:pt idx="165">
                  <c:v>0</c:v>
                </c:pt>
                <c:pt idx="166">
                  <c:v>1</c:v>
                </c:pt>
                <c:pt idx="167">
                  <c:v>3</c:v>
                </c:pt>
                <c:pt idx="168">
                  <c:v>9</c:v>
                </c:pt>
                <c:pt idx="169">
                  <c:v>10</c:v>
                </c:pt>
                <c:pt idx="170">
                  <c:v>9</c:v>
                </c:pt>
                <c:pt idx="171">
                  <c:v>1</c:v>
                </c:pt>
                <c:pt idx="172">
                  <c:v>10</c:v>
                </c:pt>
                <c:pt idx="173">
                  <c:v>7</c:v>
                </c:pt>
                <c:pt idx="174">
                  <c:v>6</c:v>
                </c:pt>
                <c:pt idx="175">
                  <c:v>2</c:v>
                </c:pt>
                <c:pt idx="176">
                  <c:v>7</c:v>
                </c:pt>
                <c:pt idx="177">
                  <c:v>4</c:v>
                </c:pt>
                <c:pt idx="178">
                  <c:v>0</c:v>
                </c:pt>
                <c:pt idx="179">
                  <c:v>3</c:v>
                </c:pt>
                <c:pt idx="180">
                  <c:v>5</c:v>
                </c:pt>
                <c:pt idx="181">
                  <c:v>10</c:v>
                </c:pt>
                <c:pt idx="182">
                  <c:v>10</c:v>
                </c:pt>
                <c:pt idx="183">
                  <c:v>0</c:v>
                </c:pt>
                <c:pt idx="184">
                  <c:v>10</c:v>
                </c:pt>
                <c:pt idx="185">
                  <c:v>0</c:v>
                </c:pt>
                <c:pt idx="186">
                  <c:v>5</c:v>
                </c:pt>
                <c:pt idx="187">
                  <c:v>9</c:v>
                </c:pt>
                <c:pt idx="188">
                  <c:v>5</c:v>
                </c:pt>
                <c:pt idx="189">
                  <c:v>8</c:v>
                </c:pt>
                <c:pt idx="190">
                  <c:v>7</c:v>
                </c:pt>
                <c:pt idx="191">
                  <c:v>2</c:v>
                </c:pt>
                <c:pt idx="192">
                  <c:v>9</c:v>
                </c:pt>
                <c:pt idx="193">
                  <c:v>6</c:v>
                </c:pt>
                <c:pt idx="194">
                  <c:v>7</c:v>
                </c:pt>
                <c:pt idx="195">
                  <c:v>10</c:v>
                </c:pt>
                <c:pt idx="196">
                  <c:v>6</c:v>
                </c:pt>
                <c:pt idx="197">
                  <c:v>4</c:v>
                </c:pt>
                <c:pt idx="198">
                  <c:v>5</c:v>
                </c:pt>
                <c:pt idx="199">
                  <c:v>10</c:v>
                </c:pt>
                <c:pt idx="200">
                  <c:v>6</c:v>
                </c:pt>
                <c:pt idx="201">
                  <c:v>6</c:v>
                </c:pt>
                <c:pt idx="202">
                  <c:v>7</c:v>
                </c:pt>
                <c:pt idx="203">
                  <c:v>4</c:v>
                </c:pt>
                <c:pt idx="205">
                  <c:v>4</c:v>
                </c:pt>
                <c:pt idx="206">
                  <c:v>0</c:v>
                </c:pt>
                <c:pt idx="207">
                  <c:v>8</c:v>
                </c:pt>
                <c:pt idx="208">
                  <c:v>9</c:v>
                </c:pt>
                <c:pt idx="209">
                  <c:v>10</c:v>
                </c:pt>
                <c:pt idx="210">
                  <c:v>5</c:v>
                </c:pt>
                <c:pt idx="211">
                  <c:v>10</c:v>
                </c:pt>
                <c:pt idx="212">
                  <c:v>0</c:v>
                </c:pt>
                <c:pt idx="213">
                  <c:v>1</c:v>
                </c:pt>
                <c:pt idx="214">
                  <c:v>4</c:v>
                </c:pt>
                <c:pt idx="215">
                  <c:v>8</c:v>
                </c:pt>
                <c:pt idx="216">
                  <c:v>7</c:v>
                </c:pt>
                <c:pt idx="217">
                  <c:v>6</c:v>
                </c:pt>
                <c:pt idx="218">
                  <c:v>6</c:v>
                </c:pt>
                <c:pt idx="219">
                  <c:v>4</c:v>
                </c:pt>
                <c:pt idx="220">
                  <c:v>10</c:v>
                </c:pt>
                <c:pt idx="221">
                  <c:v>6</c:v>
                </c:pt>
                <c:pt idx="222">
                  <c:v>10</c:v>
                </c:pt>
                <c:pt idx="223">
                  <c:v>8</c:v>
                </c:pt>
                <c:pt idx="224">
                  <c:v>10</c:v>
                </c:pt>
                <c:pt idx="225">
                  <c:v>3</c:v>
                </c:pt>
                <c:pt idx="226">
                  <c:v>6</c:v>
                </c:pt>
                <c:pt idx="227">
                  <c:v>1</c:v>
                </c:pt>
                <c:pt idx="228">
                  <c:v>10</c:v>
                </c:pt>
                <c:pt idx="229">
                  <c:v>3</c:v>
                </c:pt>
                <c:pt idx="230">
                  <c:v>9</c:v>
                </c:pt>
                <c:pt idx="231">
                  <c:v>5</c:v>
                </c:pt>
                <c:pt idx="232">
                  <c:v>5</c:v>
                </c:pt>
                <c:pt idx="233">
                  <c:v>1</c:v>
                </c:pt>
                <c:pt idx="234">
                  <c:v>10</c:v>
                </c:pt>
                <c:pt idx="235">
                  <c:v>2</c:v>
                </c:pt>
                <c:pt idx="236">
                  <c:v>4</c:v>
                </c:pt>
                <c:pt idx="237">
                  <c:v>7</c:v>
                </c:pt>
                <c:pt idx="238">
                  <c:v>6</c:v>
                </c:pt>
                <c:pt idx="239">
                  <c:v>7</c:v>
                </c:pt>
                <c:pt idx="240">
                  <c:v>10</c:v>
                </c:pt>
                <c:pt idx="241">
                  <c:v>5</c:v>
                </c:pt>
                <c:pt idx="242">
                  <c:v>5</c:v>
                </c:pt>
                <c:pt idx="243">
                  <c:v>8</c:v>
                </c:pt>
                <c:pt idx="244">
                  <c:v>8</c:v>
                </c:pt>
                <c:pt idx="245">
                  <c:v>1</c:v>
                </c:pt>
                <c:pt idx="246">
                  <c:v>5</c:v>
                </c:pt>
                <c:pt idx="247">
                  <c:v>2</c:v>
                </c:pt>
                <c:pt idx="248">
                  <c:v>2</c:v>
                </c:pt>
                <c:pt idx="249">
                  <c:v>3</c:v>
                </c:pt>
                <c:pt idx="250">
                  <c:v>5</c:v>
                </c:pt>
                <c:pt idx="251">
                  <c:v>2</c:v>
                </c:pt>
                <c:pt idx="252">
                  <c:v>7</c:v>
                </c:pt>
                <c:pt idx="253">
                  <c:v>1</c:v>
                </c:pt>
                <c:pt idx="254">
                  <c:v>7</c:v>
                </c:pt>
                <c:pt idx="255">
                  <c:v>10</c:v>
                </c:pt>
                <c:pt idx="256">
                  <c:v>3</c:v>
                </c:pt>
                <c:pt idx="257">
                  <c:v>4</c:v>
                </c:pt>
                <c:pt idx="258">
                  <c:v>4</c:v>
                </c:pt>
                <c:pt idx="259">
                  <c:v>5</c:v>
                </c:pt>
                <c:pt idx="260">
                  <c:v>10</c:v>
                </c:pt>
                <c:pt idx="261">
                  <c:v>1</c:v>
                </c:pt>
                <c:pt idx="262">
                  <c:v>8</c:v>
                </c:pt>
                <c:pt idx="263">
                  <c:v>7</c:v>
                </c:pt>
                <c:pt idx="264">
                  <c:v>1</c:v>
                </c:pt>
                <c:pt idx="265">
                  <c:v>10</c:v>
                </c:pt>
                <c:pt idx="266">
                  <c:v>7</c:v>
                </c:pt>
                <c:pt idx="267">
                  <c:v>7</c:v>
                </c:pt>
                <c:pt idx="268">
                  <c:v>4</c:v>
                </c:pt>
                <c:pt idx="269">
                  <c:v>5</c:v>
                </c:pt>
                <c:pt idx="270">
                  <c:v>0</c:v>
                </c:pt>
                <c:pt idx="271">
                  <c:v>2</c:v>
                </c:pt>
                <c:pt idx="272">
                  <c:v>3</c:v>
                </c:pt>
                <c:pt idx="273">
                  <c:v>2</c:v>
                </c:pt>
                <c:pt idx="274">
                  <c:v>8</c:v>
                </c:pt>
                <c:pt idx="275">
                  <c:v>6</c:v>
                </c:pt>
                <c:pt idx="276">
                  <c:v>10</c:v>
                </c:pt>
                <c:pt idx="277">
                  <c:v>8</c:v>
                </c:pt>
                <c:pt idx="278">
                  <c:v>7</c:v>
                </c:pt>
                <c:pt idx="279">
                  <c:v>10</c:v>
                </c:pt>
                <c:pt idx="280">
                  <c:v>8</c:v>
                </c:pt>
                <c:pt idx="281">
                  <c:v>5</c:v>
                </c:pt>
                <c:pt idx="282">
                  <c:v>8</c:v>
                </c:pt>
                <c:pt idx="283">
                  <c:v>0</c:v>
                </c:pt>
                <c:pt idx="284">
                  <c:v>2</c:v>
                </c:pt>
                <c:pt idx="285">
                  <c:v>10</c:v>
                </c:pt>
                <c:pt idx="286">
                  <c:v>10</c:v>
                </c:pt>
                <c:pt idx="287">
                  <c:v>5</c:v>
                </c:pt>
                <c:pt idx="288">
                  <c:v>0</c:v>
                </c:pt>
                <c:pt idx="289">
                  <c:v>1</c:v>
                </c:pt>
                <c:pt idx="290">
                  <c:v>8</c:v>
                </c:pt>
                <c:pt idx="291">
                  <c:v>2</c:v>
                </c:pt>
                <c:pt idx="292">
                  <c:v>0</c:v>
                </c:pt>
                <c:pt idx="293">
                  <c:v>8</c:v>
                </c:pt>
                <c:pt idx="294">
                  <c:v>4</c:v>
                </c:pt>
                <c:pt idx="295">
                  <c:v>10</c:v>
                </c:pt>
                <c:pt idx="296">
                  <c:v>10</c:v>
                </c:pt>
                <c:pt idx="297">
                  <c:v>4</c:v>
                </c:pt>
                <c:pt idx="298">
                  <c:v>5</c:v>
                </c:pt>
                <c:pt idx="299">
                  <c:v>2</c:v>
                </c:pt>
                <c:pt idx="300">
                  <c:v>5</c:v>
                </c:pt>
                <c:pt idx="301">
                  <c:v>2</c:v>
                </c:pt>
                <c:pt idx="302">
                  <c:v>1</c:v>
                </c:pt>
                <c:pt idx="303">
                  <c:v>4</c:v>
                </c:pt>
                <c:pt idx="304">
                  <c:v>9</c:v>
                </c:pt>
                <c:pt idx="305">
                  <c:v>8</c:v>
                </c:pt>
                <c:pt idx="306">
                  <c:v>4</c:v>
                </c:pt>
                <c:pt idx="307">
                  <c:v>2</c:v>
                </c:pt>
                <c:pt idx="308">
                  <c:v>4</c:v>
                </c:pt>
                <c:pt idx="309">
                  <c:v>6</c:v>
                </c:pt>
                <c:pt idx="310">
                  <c:v>3</c:v>
                </c:pt>
                <c:pt idx="311">
                  <c:v>7</c:v>
                </c:pt>
                <c:pt idx="312">
                  <c:v>10</c:v>
                </c:pt>
                <c:pt idx="313">
                  <c:v>7</c:v>
                </c:pt>
                <c:pt idx="314">
                  <c:v>10</c:v>
                </c:pt>
                <c:pt idx="315">
                  <c:v>2</c:v>
                </c:pt>
                <c:pt idx="316">
                  <c:v>4</c:v>
                </c:pt>
                <c:pt idx="317">
                  <c:v>1</c:v>
                </c:pt>
                <c:pt idx="318">
                  <c:v>8</c:v>
                </c:pt>
                <c:pt idx="319">
                  <c:v>3</c:v>
                </c:pt>
                <c:pt idx="320">
                  <c:v>6</c:v>
                </c:pt>
                <c:pt idx="321">
                  <c:v>10</c:v>
                </c:pt>
                <c:pt idx="322">
                  <c:v>8</c:v>
                </c:pt>
                <c:pt idx="323">
                  <c:v>4</c:v>
                </c:pt>
                <c:pt idx="324">
                  <c:v>7</c:v>
                </c:pt>
                <c:pt idx="325">
                  <c:v>0</c:v>
                </c:pt>
                <c:pt idx="326">
                  <c:v>6</c:v>
                </c:pt>
                <c:pt idx="327">
                  <c:v>4</c:v>
                </c:pt>
                <c:pt idx="328">
                  <c:v>1</c:v>
                </c:pt>
                <c:pt idx="329">
                  <c:v>10</c:v>
                </c:pt>
                <c:pt idx="330">
                  <c:v>0</c:v>
                </c:pt>
                <c:pt idx="331">
                  <c:v>10</c:v>
                </c:pt>
                <c:pt idx="332">
                  <c:v>8</c:v>
                </c:pt>
                <c:pt idx="333">
                  <c:v>7</c:v>
                </c:pt>
                <c:pt idx="334">
                  <c:v>3</c:v>
                </c:pt>
                <c:pt idx="335">
                  <c:v>8</c:v>
                </c:pt>
                <c:pt idx="336">
                  <c:v>2</c:v>
                </c:pt>
                <c:pt idx="337">
                  <c:v>9</c:v>
                </c:pt>
                <c:pt idx="338">
                  <c:v>8</c:v>
                </c:pt>
                <c:pt idx="340">
                  <c:v>10</c:v>
                </c:pt>
                <c:pt idx="341">
                  <c:v>9</c:v>
                </c:pt>
                <c:pt idx="342">
                  <c:v>6</c:v>
                </c:pt>
                <c:pt idx="343">
                  <c:v>6</c:v>
                </c:pt>
                <c:pt idx="344">
                  <c:v>8</c:v>
                </c:pt>
                <c:pt idx="345">
                  <c:v>2</c:v>
                </c:pt>
                <c:pt idx="346">
                  <c:v>6</c:v>
                </c:pt>
                <c:pt idx="348">
                  <c:v>7</c:v>
                </c:pt>
                <c:pt idx="349">
                  <c:v>5</c:v>
                </c:pt>
                <c:pt idx="350">
                  <c:v>10</c:v>
                </c:pt>
                <c:pt idx="351">
                  <c:v>3</c:v>
                </c:pt>
                <c:pt idx="352">
                  <c:v>0</c:v>
                </c:pt>
                <c:pt idx="353">
                  <c:v>1</c:v>
                </c:pt>
                <c:pt idx="354">
                  <c:v>4</c:v>
                </c:pt>
                <c:pt idx="355">
                  <c:v>6</c:v>
                </c:pt>
                <c:pt idx="356">
                  <c:v>2</c:v>
                </c:pt>
                <c:pt idx="357">
                  <c:v>10</c:v>
                </c:pt>
                <c:pt idx="358">
                  <c:v>6</c:v>
                </c:pt>
                <c:pt idx="359">
                  <c:v>5</c:v>
                </c:pt>
                <c:pt idx="360">
                  <c:v>3</c:v>
                </c:pt>
                <c:pt idx="361">
                  <c:v>8</c:v>
                </c:pt>
                <c:pt idx="362">
                  <c:v>1</c:v>
                </c:pt>
                <c:pt idx="363">
                  <c:v>10</c:v>
                </c:pt>
                <c:pt idx="364">
                  <c:v>6</c:v>
                </c:pt>
                <c:pt idx="365">
                  <c:v>3</c:v>
                </c:pt>
                <c:pt idx="366">
                  <c:v>6</c:v>
                </c:pt>
                <c:pt idx="367">
                  <c:v>7</c:v>
                </c:pt>
                <c:pt idx="368">
                  <c:v>10</c:v>
                </c:pt>
                <c:pt idx="369">
                  <c:v>10</c:v>
                </c:pt>
                <c:pt idx="370">
                  <c:v>3</c:v>
                </c:pt>
                <c:pt idx="371">
                  <c:v>6</c:v>
                </c:pt>
                <c:pt idx="372">
                  <c:v>0</c:v>
                </c:pt>
                <c:pt idx="373">
                  <c:v>4</c:v>
                </c:pt>
                <c:pt idx="374">
                  <c:v>7</c:v>
                </c:pt>
                <c:pt idx="375">
                  <c:v>6</c:v>
                </c:pt>
                <c:pt idx="376">
                  <c:v>1</c:v>
                </c:pt>
                <c:pt idx="377">
                  <c:v>1</c:v>
                </c:pt>
                <c:pt idx="378">
                  <c:v>3</c:v>
                </c:pt>
                <c:pt idx="379">
                  <c:v>6</c:v>
                </c:pt>
                <c:pt idx="380">
                  <c:v>10</c:v>
                </c:pt>
                <c:pt idx="381">
                  <c:v>6</c:v>
                </c:pt>
                <c:pt idx="382">
                  <c:v>1</c:v>
                </c:pt>
                <c:pt idx="383">
                  <c:v>4</c:v>
                </c:pt>
                <c:pt idx="384">
                  <c:v>0</c:v>
                </c:pt>
                <c:pt idx="385">
                  <c:v>8</c:v>
                </c:pt>
                <c:pt idx="386">
                  <c:v>10</c:v>
                </c:pt>
                <c:pt idx="387">
                  <c:v>9</c:v>
                </c:pt>
                <c:pt idx="388">
                  <c:v>6</c:v>
                </c:pt>
                <c:pt idx="389">
                  <c:v>5</c:v>
                </c:pt>
                <c:pt idx="390">
                  <c:v>8</c:v>
                </c:pt>
                <c:pt idx="391">
                  <c:v>9</c:v>
                </c:pt>
                <c:pt idx="392">
                  <c:v>6</c:v>
                </c:pt>
                <c:pt idx="393">
                  <c:v>10</c:v>
                </c:pt>
                <c:pt idx="394">
                  <c:v>6</c:v>
                </c:pt>
                <c:pt idx="395">
                  <c:v>8</c:v>
                </c:pt>
                <c:pt idx="397">
                  <c:v>2</c:v>
                </c:pt>
                <c:pt idx="398">
                  <c:v>3</c:v>
                </c:pt>
                <c:pt idx="399">
                  <c:v>5</c:v>
                </c:pt>
                <c:pt idx="400">
                  <c:v>6</c:v>
                </c:pt>
                <c:pt idx="401">
                  <c:v>0</c:v>
                </c:pt>
                <c:pt idx="402">
                  <c:v>5</c:v>
                </c:pt>
                <c:pt idx="403">
                  <c:v>6</c:v>
                </c:pt>
                <c:pt idx="404">
                  <c:v>7</c:v>
                </c:pt>
                <c:pt idx="405">
                  <c:v>4</c:v>
                </c:pt>
                <c:pt idx="406">
                  <c:v>9</c:v>
                </c:pt>
                <c:pt idx="407">
                  <c:v>4</c:v>
                </c:pt>
                <c:pt idx="408">
                  <c:v>3</c:v>
                </c:pt>
                <c:pt idx="409">
                  <c:v>6</c:v>
                </c:pt>
                <c:pt idx="410">
                  <c:v>6</c:v>
                </c:pt>
                <c:pt idx="411">
                  <c:v>4</c:v>
                </c:pt>
                <c:pt idx="412">
                  <c:v>4</c:v>
                </c:pt>
                <c:pt idx="413">
                  <c:v>9</c:v>
                </c:pt>
                <c:pt idx="414">
                  <c:v>7</c:v>
                </c:pt>
                <c:pt idx="415">
                  <c:v>7</c:v>
                </c:pt>
                <c:pt idx="416">
                  <c:v>10</c:v>
                </c:pt>
                <c:pt idx="417">
                  <c:v>4</c:v>
                </c:pt>
                <c:pt idx="418">
                  <c:v>4</c:v>
                </c:pt>
                <c:pt idx="419">
                  <c:v>10</c:v>
                </c:pt>
                <c:pt idx="420">
                  <c:v>8</c:v>
                </c:pt>
                <c:pt idx="421">
                  <c:v>3</c:v>
                </c:pt>
                <c:pt idx="422">
                  <c:v>9</c:v>
                </c:pt>
                <c:pt idx="423">
                  <c:v>7</c:v>
                </c:pt>
                <c:pt idx="424">
                  <c:v>1</c:v>
                </c:pt>
                <c:pt idx="425">
                  <c:v>3</c:v>
                </c:pt>
                <c:pt idx="426">
                  <c:v>10</c:v>
                </c:pt>
                <c:pt idx="427">
                  <c:v>7</c:v>
                </c:pt>
                <c:pt idx="428">
                  <c:v>6</c:v>
                </c:pt>
                <c:pt idx="429">
                  <c:v>7</c:v>
                </c:pt>
                <c:pt idx="430">
                  <c:v>3</c:v>
                </c:pt>
                <c:pt idx="431">
                  <c:v>6</c:v>
                </c:pt>
                <c:pt idx="432">
                  <c:v>9</c:v>
                </c:pt>
                <c:pt idx="433">
                  <c:v>10</c:v>
                </c:pt>
                <c:pt idx="434">
                  <c:v>4</c:v>
                </c:pt>
                <c:pt idx="435">
                  <c:v>6</c:v>
                </c:pt>
                <c:pt idx="436">
                  <c:v>9</c:v>
                </c:pt>
                <c:pt idx="437">
                  <c:v>2</c:v>
                </c:pt>
                <c:pt idx="438">
                  <c:v>4</c:v>
                </c:pt>
                <c:pt idx="439">
                  <c:v>4</c:v>
                </c:pt>
                <c:pt idx="440">
                  <c:v>10</c:v>
                </c:pt>
                <c:pt idx="441">
                  <c:v>6</c:v>
                </c:pt>
                <c:pt idx="442">
                  <c:v>4</c:v>
                </c:pt>
                <c:pt idx="443">
                  <c:v>6</c:v>
                </c:pt>
                <c:pt idx="444">
                  <c:v>3</c:v>
                </c:pt>
                <c:pt idx="445">
                  <c:v>5</c:v>
                </c:pt>
                <c:pt idx="446">
                  <c:v>4</c:v>
                </c:pt>
                <c:pt idx="447">
                  <c:v>3</c:v>
                </c:pt>
                <c:pt idx="448">
                  <c:v>8</c:v>
                </c:pt>
                <c:pt idx="449">
                  <c:v>10</c:v>
                </c:pt>
                <c:pt idx="450">
                  <c:v>6</c:v>
                </c:pt>
                <c:pt idx="451">
                  <c:v>10</c:v>
                </c:pt>
                <c:pt idx="452">
                  <c:v>5</c:v>
                </c:pt>
                <c:pt idx="453">
                  <c:v>6</c:v>
                </c:pt>
                <c:pt idx="454">
                  <c:v>5</c:v>
                </c:pt>
                <c:pt idx="455">
                  <c:v>6</c:v>
                </c:pt>
                <c:pt idx="456">
                  <c:v>3</c:v>
                </c:pt>
                <c:pt idx="457">
                  <c:v>6</c:v>
                </c:pt>
                <c:pt idx="458">
                  <c:v>9</c:v>
                </c:pt>
                <c:pt idx="459">
                  <c:v>10</c:v>
                </c:pt>
                <c:pt idx="460">
                  <c:v>4</c:v>
                </c:pt>
                <c:pt idx="461">
                  <c:v>7</c:v>
                </c:pt>
                <c:pt idx="462">
                  <c:v>3</c:v>
                </c:pt>
                <c:pt idx="463">
                  <c:v>2</c:v>
                </c:pt>
                <c:pt idx="464">
                  <c:v>4</c:v>
                </c:pt>
                <c:pt idx="465">
                  <c:v>4</c:v>
                </c:pt>
                <c:pt idx="466">
                  <c:v>7</c:v>
                </c:pt>
                <c:pt idx="467">
                  <c:v>6</c:v>
                </c:pt>
                <c:pt idx="468">
                  <c:v>0</c:v>
                </c:pt>
                <c:pt idx="469">
                  <c:v>3</c:v>
                </c:pt>
                <c:pt idx="470">
                  <c:v>10</c:v>
                </c:pt>
                <c:pt idx="471">
                  <c:v>8</c:v>
                </c:pt>
                <c:pt idx="472">
                  <c:v>6</c:v>
                </c:pt>
                <c:pt idx="473">
                  <c:v>0</c:v>
                </c:pt>
                <c:pt idx="474">
                  <c:v>10</c:v>
                </c:pt>
                <c:pt idx="475">
                  <c:v>9</c:v>
                </c:pt>
                <c:pt idx="476">
                  <c:v>6</c:v>
                </c:pt>
                <c:pt idx="477">
                  <c:v>5</c:v>
                </c:pt>
                <c:pt idx="478">
                  <c:v>7</c:v>
                </c:pt>
                <c:pt idx="479">
                  <c:v>10</c:v>
                </c:pt>
                <c:pt idx="480">
                  <c:v>9</c:v>
                </c:pt>
                <c:pt idx="481">
                  <c:v>7</c:v>
                </c:pt>
                <c:pt idx="482">
                  <c:v>0</c:v>
                </c:pt>
                <c:pt idx="483">
                  <c:v>8</c:v>
                </c:pt>
                <c:pt idx="484">
                  <c:v>10</c:v>
                </c:pt>
                <c:pt idx="485">
                  <c:v>9</c:v>
                </c:pt>
                <c:pt idx="486">
                  <c:v>7</c:v>
                </c:pt>
                <c:pt idx="487">
                  <c:v>3</c:v>
                </c:pt>
                <c:pt idx="488">
                  <c:v>9</c:v>
                </c:pt>
                <c:pt idx="489">
                  <c:v>4</c:v>
                </c:pt>
                <c:pt idx="490">
                  <c:v>3</c:v>
                </c:pt>
                <c:pt idx="491">
                  <c:v>6</c:v>
                </c:pt>
                <c:pt idx="492">
                  <c:v>9</c:v>
                </c:pt>
                <c:pt idx="493">
                  <c:v>9</c:v>
                </c:pt>
                <c:pt idx="494">
                  <c:v>2</c:v>
                </c:pt>
                <c:pt idx="495">
                  <c:v>8</c:v>
                </c:pt>
                <c:pt idx="496">
                  <c:v>9</c:v>
                </c:pt>
                <c:pt idx="497">
                  <c:v>10</c:v>
                </c:pt>
                <c:pt idx="498">
                  <c:v>6</c:v>
                </c:pt>
                <c:pt idx="499">
                  <c:v>10</c:v>
                </c:pt>
                <c:pt idx="500">
                  <c:v>2</c:v>
                </c:pt>
                <c:pt idx="501">
                  <c:v>3</c:v>
                </c:pt>
                <c:pt idx="502">
                  <c:v>5</c:v>
                </c:pt>
                <c:pt idx="503">
                  <c:v>2</c:v>
                </c:pt>
                <c:pt idx="504">
                  <c:v>4</c:v>
                </c:pt>
                <c:pt idx="505">
                  <c:v>8</c:v>
                </c:pt>
                <c:pt idx="506">
                  <c:v>3</c:v>
                </c:pt>
                <c:pt idx="507">
                  <c:v>4</c:v>
                </c:pt>
                <c:pt idx="508">
                  <c:v>7</c:v>
                </c:pt>
                <c:pt idx="509">
                  <c:v>7</c:v>
                </c:pt>
                <c:pt idx="510">
                  <c:v>7</c:v>
                </c:pt>
                <c:pt idx="511">
                  <c:v>8</c:v>
                </c:pt>
                <c:pt idx="512">
                  <c:v>0</c:v>
                </c:pt>
                <c:pt idx="513">
                  <c:v>4</c:v>
                </c:pt>
                <c:pt idx="514">
                  <c:v>10</c:v>
                </c:pt>
                <c:pt idx="515">
                  <c:v>7</c:v>
                </c:pt>
                <c:pt idx="516">
                  <c:v>4</c:v>
                </c:pt>
                <c:pt idx="517">
                  <c:v>4</c:v>
                </c:pt>
                <c:pt idx="518">
                  <c:v>6</c:v>
                </c:pt>
                <c:pt idx="519">
                  <c:v>7</c:v>
                </c:pt>
                <c:pt idx="520">
                  <c:v>10</c:v>
                </c:pt>
                <c:pt idx="521">
                  <c:v>8</c:v>
                </c:pt>
                <c:pt idx="522">
                  <c:v>8</c:v>
                </c:pt>
                <c:pt idx="523">
                  <c:v>9</c:v>
                </c:pt>
                <c:pt idx="524">
                  <c:v>2</c:v>
                </c:pt>
                <c:pt idx="525">
                  <c:v>3</c:v>
                </c:pt>
                <c:pt idx="526">
                  <c:v>0</c:v>
                </c:pt>
                <c:pt idx="527">
                  <c:v>2</c:v>
                </c:pt>
                <c:pt idx="528">
                  <c:v>7</c:v>
                </c:pt>
                <c:pt idx="529">
                  <c:v>0</c:v>
                </c:pt>
                <c:pt idx="530">
                  <c:v>6</c:v>
                </c:pt>
                <c:pt idx="531">
                  <c:v>8</c:v>
                </c:pt>
                <c:pt idx="532">
                  <c:v>10</c:v>
                </c:pt>
                <c:pt idx="533">
                  <c:v>8</c:v>
                </c:pt>
                <c:pt idx="534">
                  <c:v>8</c:v>
                </c:pt>
                <c:pt idx="535">
                  <c:v>5</c:v>
                </c:pt>
                <c:pt idx="536">
                  <c:v>10</c:v>
                </c:pt>
                <c:pt idx="537">
                  <c:v>5</c:v>
                </c:pt>
                <c:pt idx="538">
                  <c:v>9</c:v>
                </c:pt>
                <c:pt idx="539">
                  <c:v>6</c:v>
                </c:pt>
                <c:pt idx="540">
                  <c:v>6</c:v>
                </c:pt>
                <c:pt idx="541">
                  <c:v>4</c:v>
                </c:pt>
                <c:pt idx="542">
                  <c:v>3</c:v>
                </c:pt>
                <c:pt idx="543">
                  <c:v>6</c:v>
                </c:pt>
                <c:pt idx="544">
                  <c:v>3</c:v>
                </c:pt>
                <c:pt idx="545">
                  <c:v>9</c:v>
                </c:pt>
                <c:pt idx="546">
                  <c:v>6</c:v>
                </c:pt>
                <c:pt idx="547">
                  <c:v>3</c:v>
                </c:pt>
                <c:pt idx="548">
                  <c:v>4</c:v>
                </c:pt>
                <c:pt idx="549">
                  <c:v>1</c:v>
                </c:pt>
                <c:pt idx="550">
                  <c:v>0</c:v>
                </c:pt>
                <c:pt idx="551">
                  <c:v>9</c:v>
                </c:pt>
                <c:pt idx="552">
                  <c:v>6</c:v>
                </c:pt>
                <c:pt idx="553">
                  <c:v>9</c:v>
                </c:pt>
                <c:pt idx="554">
                  <c:v>5</c:v>
                </c:pt>
                <c:pt idx="555">
                  <c:v>5</c:v>
                </c:pt>
                <c:pt idx="556">
                  <c:v>0</c:v>
                </c:pt>
                <c:pt idx="557">
                  <c:v>6</c:v>
                </c:pt>
                <c:pt idx="558">
                  <c:v>0</c:v>
                </c:pt>
                <c:pt idx="559">
                  <c:v>6</c:v>
                </c:pt>
                <c:pt idx="560">
                  <c:v>9</c:v>
                </c:pt>
                <c:pt idx="561">
                  <c:v>4</c:v>
                </c:pt>
                <c:pt idx="562">
                  <c:v>4</c:v>
                </c:pt>
                <c:pt idx="563">
                  <c:v>3</c:v>
                </c:pt>
                <c:pt idx="564">
                  <c:v>5</c:v>
                </c:pt>
                <c:pt idx="565">
                  <c:v>5</c:v>
                </c:pt>
                <c:pt idx="566">
                  <c:v>9</c:v>
                </c:pt>
                <c:pt idx="567">
                  <c:v>3</c:v>
                </c:pt>
                <c:pt idx="568">
                  <c:v>4</c:v>
                </c:pt>
                <c:pt idx="569">
                  <c:v>6</c:v>
                </c:pt>
                <c:pt idx="570">
                  <c:v>9</c:v>
                </c:pt>
                <c:pt idx="571">
                  <c:v>9</c:v>
                </c:pt>
                <c:pt idx="572">
                  <c:v>9</c:v>
                </c:pt>
                <c:pt idx="573">
                  <c:v>10</c:v>
                </c:pt>
                <c:pt idx="574">
                  <c:v>3</c:v>
                </c:pt>
                <c:pt idx="575">
                  <c:v>5</c:v>
                </c:pt>
                <c:pt idx="576">
                  <c:v>2</c:v>
                </c:pt>
                <c:pt idx="577">
                  <c:v>9</c:v>
                </c:pt>
                <c:pt idx="578">
                  <c:v>6</c:v>
                </c:pt>
                <c:pt idx="579">
                  <c:v>2</c:v>
                </c:pt>
                <c:pt idx="580">
                  <c:v>0</c:v>
                </c:pt>
                <c:pt idx="581">
                  <c:v>7</c:v>
                </c:pt>
                <c:pt idx="582">
                  <c:v>1</c:v>
                </c:pt>
                <c:pt idx="583">
                  <c:v>6</c:v>
                </c:pt>
                <c:pt idx="584">
                  <c:v>0</c:v>
                </c:pt>
                <c:pt idx="585">
                  <c:v>8</c:v>
                </c:pt>
                <c:pt idx="586">
                  <c:v>6</c:v>
                </c:pt>
                <c:pt idx="587">
                  <c:v>2</c:v>
                </c:pt>
                <c:pt idx="588">
                  <c:v>3</c:v>
                </c:pt>
                <c:pt idx="589">
                  <c:v>7</c:v>
                </c:pt>
                <c:pt idx="591">
                  <c:v>3</c:v>
                </c:pt>
                <c:pt idx="592">
                  <c:v>9</c:v>
                </c:pt>
                <c:pt idx="593">
                  <c:v>10</c:v>
                </c:pt>
                <c:pt idx="594">
                  <c:v>3</c:v>
                </c:pt>
                <c:pt idx="595">
                  <c:v>1</c:v>
                </c:pt>
                <c:pt idx="596">
                  <c:v>9</c:v>
                </c:pt>
                <c:pt idx="597">
                  <c:v>8</c:v>
                </c:pt>
                <c:pt idx="598">
                  <c:v>6</c:v>
                </c:pt>
                <c:pt idx="599">
                  <c:v>5</c:v>
                </c:pt>
                <c:pt idx="600">
                  <c:v>10</c:v>
                </c:pt>
                <c:pt idx="601">
                  <c:v>0</c:v>
                </c:pt>
                <c:pt idx="602">
                  <c:v>10</c:v>
                </c:pt>
                <c:pt idx="603">
                  <c:v>3</c:v>
                </c:pt>
                <c:pt idx="604">
                  <c:v>4</c:v>
                </c:pt>
                <c:pt idx="605">
                  <c:v>3</c:v>
                </c:pt>
                <c:pt idx="606">
                  <c:v>1</c:v>
                </c:pt>
                <c:pt idx="607">
                  <c:v>8</c:v>
                </c:pt>
                <c:pt idx="608">
                  <c:v>10</c:v>
                </c:pt>
                <c:pt idx="609">
                  <c:v>10</c:v>
                </c:pt>
                <c:pt idx="610">
                  <c:v>10</c:v>
                </c:pt>
                <c:pt idx="611">
                  <c:v>9</c:v>
                </c:pt>
                <c:pt idx="612">
                  <c:v>2</c:v>
                </c:pt>
                <c:pt idx="613">
                  <c:v>7</c:v>
                </c:pt>
                <c:pt idx="614">
                  <c:v>9</c:v>
                </c:pt>
                <c:pt idx="615">
                  <c:v>6</c:v>
                </c:pt>
                <c:pt idx="616">
                  <c:v>8</c:v>
                </c:pt>
                <c:pt idx="617">
                  <c:v>4</c:v>
                </c:pt>
                <c:pt idx="618">
                  <c:v>4</c:v>
                </c:pt>
                <c:pt idx="619">
                  <c:v>5</c:v>
                </c:pt>
                <c:pt idx="620">
                  <c:v>4</c:v>
                </c:pt>
                <c:pt idx="621">
                  <c:v>7</c:v>
                </c:pt>
                <c:pt idx="622">
                  <c:v>3</c:v>
                </c:pt>
                <c:pt idx="623">
                  <c:v>0</c:v>
                </c:pt>
                <c:pt idx="624">
                  <c:v>5</c:v>
                </c:pt>
                <c:pt idx="625">
                  <c:v>7</c:v>
                </c:pt>
                <c:pt idx="626">
                  <c:v>6</c:v>
                </c:pt>
                <c:pt idx="627">
                  <c:v>2</c:v>
                </c:pt>
                <c:pt idx="628">
                  <c:v>3</c:v>
                </c:pt>
                <c:pt idx="629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A9-428A-94BD-29E513776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2361504"/>
        <c:axId val="1412346528"/>
      </c:scatterChart>
      <c:valAx>
        <c:axId val="1412361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346528"/>
        <c:crosses val="autoZero"/>
        <c:crossBetween val="midCat"/>
      </c:valAx>
      <c:valAx>
        <c:axId val="1412346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361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 Switching comparison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'career switch'!$A$1:$B$1</c:f>
              <c:strCache>
                <c:ptCount val="2"/>
                <c:pt idx="0">
                  <c:v>switcher</c:v>
                </c:pt>
                <c:pt idx="1">
                  <c:v>Non-Switcher</c:v>
                </c:pt>
              </c:strCache>
            </c:strRef>
          </c:cat>
          <c:val>
            <c:numRef>
              <c:f>'career switch'!$A$2:$B$2</c:f>
              <c:numCache>
                <c:formatCode>0%</c:formatCode>
                <c:ptCount val="2"/>
                <c:pt idx="0">
                  <c:v>0.58954041204437402</c:v>
                </c:pt>
                <c:pt idx="1">
                  <c:v>0.40887480190174325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18-4A6E-AF58-C1F6361DBE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</c:dPt>
                <c:cat>
                  <c:strRef>
                    <c:extLst>
                      <c:ext uri="{02D57815-91ED-43cb-92C2-25804820EDAC}">
                        <c15:formulaRef>
                          <c15:sqref>'career switch'!$A$1:$B$1</c15:sqref>
                        </c15:formulaRef>
                      </c:ext>
                    </c:extLst>
                    <c:strCache>
                      <c:ptCount val="2"/>
                      <c:pt idx="0">
                        <c:v>switcher</c:v>
                      </c:pt>
                      <c:pt idx="1">
                        <c:v>Non-Switcher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'career switch'!$A$3:$B$3</c15:sqref>
                        </c15:formulaRef>
                      </c:ext>
                    </c:extLst>
                    <c:numCache>
                      <c:formatCode>General</c:formatCode>
                      <c:ptCount val="2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918-4A6E-AF58-C1F6361DBE62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salary</a:t>
            </a:r>
            <a:r>
              <a:rPr lang="en-US" baseline="0"/>
              <a:t> comparison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'career switch'!$D$1:$E$1</c:f>
              <c:strCache>
                <c:ptCount val="2"/>
                <c:pt idx="0">
                  <c:v>avg. salary of switched emp</c:v>
                </c:pt>
                <c:pt idx="1">
                  <c:v>avg.salary of not switched emp</c:v>
                </c:pt>
              </c:strCache>
            </c:strRef>
          </c:cat>
          <c:val>
            <c:numRef>
              <c:f>'career switch'!$D$2:$E$2</c:f>
              <c:numCache>
                <c:formatCode>0.00</c:formatCode>
                <c:ptCount val="2"/>
                <c:pt idx="0">
                  <c:v>54.075675675675676</c:v>
                </c:pt>
                <c:pt idx="1">
                  <c:v>52.724806201550386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DB-482B-9438-1CF378F3B6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2108480"/>
        <c:axId val="1502098080"/>
      </c:barChart>
      <c:catAx>
        <c:axId val="1502108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098080"/>
        <c:crosses val="autoZero"/>
        <c:auto val="1"/>
        <c:lblAlgn val="ctr"/>
        <c:lblOffset val="100"/>
        <c:noMultiLvlLbl val="0"/>
      </c:catAx>
      <c:valAx>
        <c:axId val="150209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10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comparison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'career switch'!$G$1:$H$1</c:f>
              <c:strCache>
                <c:ptCount val="2"/>
                <c:pt idx="0">
                  <c:v>avg.age of switched</c:v>
                </c:pt>
                <c:pt idx="1">
                  <c:v>avg.age of not switch</c:v>
                </c:pt>
              </c:strCache>
            </c:strRef>
          </c:cat>
          <c:val>
            <c:numRef>
              <c:f>'career switch'!$G$2:$H$2</c:f>
              <c:numCache>
                <c:formatCode>0</c:formatCode>
                <c:ptCount val="2"/>
                <c:pt idx="0">
                  <c:v>30.637096774193548</c:v>
                </c:pt>
                <c:pt idx="1">
                  <c:v>28.755813953488371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67-4FC7-8CE0-76AC7EC1F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2353600"/>
        <c:axId val="1412356928"/>
      </c:barChart>
      <c:catAx>
        <c:axId val="141235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356928"/>
        <c:crosses val="autoZero"/>
        <c:auto val="1"/>
        <c:lblAlgn val="ctr"/>
        <c:lblOffset val="100"/>
        <c:noMultiLvlLbl val="0"/>
      </c:catAx>
      <c:valAx>
        <c:axId val="141235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35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data.xlsx]shift_satisfy!PivotTable32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Switched_Careers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shift_satisfy!$C$3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shift_satisfy!$A$4:$B$5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shift_satisfy!$C$4:$C$5</c:f>
              <c:numCache>
                <c:formatCode>General</c:formatCode>
                <c:ptCount val="2"/>
                <c:pt idx="0">
                  <c:v>258</c:v>
                </c:pt>
                <c:pt idx="1">
                  <c:v>372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97-4F6A-BE90-E389CD5978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0330640"/>
        <c:axId val="1410315248"/>
      </c:barChart>
      <c:catAx>
        <c:axId val="141033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15248"/>
        <c:crosses val="autoZero"/>
        <c:auto val="1"/>
        <c:lblAlgn val="ctr"/>
        <c:lblOffset val="100"/>
        <c:noMultiLvlLbl val="0"/>
      </c:catAx>
      <c:valAx>
        <c:axId val="1410315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0330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606425</xdr:colOff>
      <xdr:row>2</xdr:row>
      <xdr:rowOff>63499</xdr:rowOff>
    </xdr:from>
    <xdr:to>
      <xdr:col>10</xdr:col>
      <xdr:colOff>19050</xdr:colOff>
      <xdr:row>16</xdr:row>
      <xdr:rowOff>174624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146050</xdr:rowOff>
    </xdr:from>
    <xdr:to>
      <xdr:col>2</xdr:col>
      <xdr:colOff>63500</xdr:colOff>
      <xdr:row>15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254000</xdr:colOff>
      <xdr:row>3</xdr:row>
      <xdr:rowOff>95250</xdr:rowOff>
    </xdr:from>
    <xdr:to>
      <xdr:col>5</xdr:col>
      <xdr:colOff>63500</xdr:colOff>
      <xdr:row>17</xdr:row>
      <xdr:rowOff>34924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419100</xdr:colOff>
      <xdr:row>3</xdr:row>
      <xdr:rowOff>101600</xdr:rowOff>
    </xdr:from>
    <xdr:to>
      <xdr:col>8</xdr:col>
      <xdr:colOff>203200</xdr:colOff>
      <xdr:row>17</xdr:row>
      <xdr:rowOff>12700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549275</xdr:colOff>
      <xdr:row>1</xdr:row>
      <xdr:rowOff>123825</xdr:rowOff>
    </xdr:from>
    <xdr:to>
      <xdr:col>11</xdr:col>
      <xdr:colOff>355600</xdr:colOff>
      <xdr:row>16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MLS" refreshedDate="45967.881810763887" createdVersion="6" refreshedVersion="6" minRefreshableVersion="3" recordCount="630">
  <cacheSource type="worksheet">
    <worksheetSource ref="A1:AC631" sheet="data"/>
  </cacheSource>
  <cacheFields count="32">
    <cacheField name="Unique ID" numFmtId="0">
      <sharedItems/>
    </cacheField>
    <cacheField name="Email" numFmtId="0">
      <sharedItems/>
    </cacheField>
    <cacheField name="Date_Taken" numFmtId="14">
      <sharedItems containsSemiMixedTypes="0" containsNonDate="0" containsDate="1" containsString="0" minDate="2022-06-10T00:00:00" maxDate="2022-06-27T00:00:00" count="16"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1T00:00:00"/>
        <d v="2022-06-22T00:00:00"/>
        <d v="2022-06-23T00:00:00"/>
        <d v="2022-06-24T00:00:00"/>
        <d v="2022-06-25T00:00:00"/>
        <d v="2022-06-26T00:00:00"/>
      </sharedItems>
    </cacheField>
    <cacheField name="Time_Taken" numFmtId="19">
      <sharedItems containsSemiMixedTypes="0" containsNonDate="0" containsDate="1" containsString="0" minDate="1899-12-30T00:18:00" maxDate="1899-12-30T23:51:00" count="453">
        <d v="1899-12-30T08:38:00"/>
        <d v="1899-12-30T08:40:00"/>
        <d v="1899-12-30T08:42:00"/>
        <d v="1899-12-30T08:43:00"/>
        <d v="1899-12-30T08:44:00"/>
        <d v="1899-12-30T08:45:00"/>
        <d v="1899-12-30T08:46:00"/>
        <d v="1899-12-30T08:47:00"/>
        <d v="1899-12-30T08:48:00"/>
        <d v="1899-12-30T08:49:00"/>
        <d v="1899-12-30T08:50:00"/>
        <d v="1899-12-30T08:51:00"/>
        <d v="1899-12-30T08:52:00"/>
        <d v="1899-12-30T08:53:00"/>
        <d v="1899-12-30T08:54:00"/>
        <d v="1899-12-30T08:55:00"/>
        <d v="1899-12-30T08:57:00"/>
        <d v="1899-12-30T08:58:00"/>
        <d v="1899-12-30T08:59:00"/>
        <d v="1899-12-30T09:00:00"/>
        <d v="1899-12-30T09:02:00"/>
        <d v="1899-12-30T09:03:00"/>
        <d v="1899-12-30T09:05:00"/>
        <d v="1899-12-30T09:06:00"/>
        <d v="1899-12-30T09:07:00"/>
        <d v="1899-12-30T09:08:00"/>
        <d v="1899-12-30T09:09:00"/>
        <d v="1899-12-30T09:12:00"/>
        <d v="1899-12-30T09:13:00"/>
        <d v="1899-12-30T09:14:00"/>
        <d v="1899-12-30T09:15:00"/>
        <d v="1899-12-30T09:16:00"/>
        <d v="1899-12-30T09:17:00"/>
        <d v="1899-12-30T09:18:00"/>
        <d v="1899-12-30T09:19:00"/>
        <d v="1899-12-30T09:20:00"/>
        <d v="1899-12-30T09:21:00"/>
        <d v="1899-12-30T09:22:00"/>
        <d v="1899-12-30T09:23:00"/>
        <d v="1899-12-30T09:25:00"/>
        <d v="1899-12-30T09:26:00"/>
        <d v="1899-12-30T09:27:00"/>
        <d v="1899-12-30T09:29:00"/>
        <d v="1899-12-30T09:30:00"/>
        <d v="1899-12-30T09:31:00"/>
        <d v="1899-12-30T09:32:00"/>
        <d v="1899-12-30T09:33:00"/>
        <d v="1899-12-30T09:34:00"/>
        <d v="1899-12-30T09:35:00"/>
        <d v="1899-12-30T09:36:00"/>
        <d v="1899-12-30T09:37:00"/>
        <d v="1899-12-30T09:38:00"/>
        <d v="1899-12-30T09:39:00"/>
        <d v="1899-12-30T09:40:00"/>
        <d v="1899-12-30T09:41:00"/>
        <d v="1899-12-30T09:44:00"/>
        <d v="1899-12-30T09:45:00"/>
        <d v="1899-12-30T09:46:00"/>
        <d v="1899-12-30T09:47:00"/>
        <d v="1899-12-30T09:48:00"/>
        <d v="1899-12-30T09:49:00"/>
        <d v="1899-12-30T09:51:00"/>
        <d v="1899-12-30T09:54:00"/>
        <d v="1899-12-30T09:55:00"/>
        <d v="1899-12-30T09:56:00"/>
        <d v="1899-12-30T09:57:00"/>
        <d v="1899-12-30T09:58:00"/>
        <d v="1899-12-30T10:01:00"/>
        <d v="1899-12-30T10:03:00"/>
        <d v="1899-12-30T10:05:00"/>
        <d v="1899-12-30T10:06:00"/>
        <d v="1899-12-30T10:08:00"/>
        <d v="1899-12-30T10:11:00"/>
        <d v="1899-12-30T10:12:00"/>
        <d v="1899-12-30T10:13:00"/>
        <d v="1899-12-30T10:16:00"/>
        <d v="1899-12-30T10:18:00"/>
        <d v="1899-12-30T10:19:00"/>
        <d v="1899-12-30T10:20:00"/>
        <d v="1899-12-30T10:21:00"/>
        <d v="1899-12-30T10:23:00"/>
        <d v="1899-12-30T10:25:00"/>
        <d v="1899-12-30T10:27:00"/>
        <d v="1899-12-30T10:29:00"/>
        <d v="1899-12-30T10:33:00"/>
        <d v="1899-12-30T10:37:00"/>
        <d v="1899-12-30T10:39:00"/>
        <d v="1899-12-30T10:40:00"/>
        <d v="1899-12-30T10:41:00"/>
        <d v="1899-12-30T10:43:00"/>
        <d v="1899-12-30T10:47:00"/>
        <d v="1899-12-30T10:50:00"/>
        <d v="1899-12-30T10:52:00"/>
        <d v="1899-12-30T10:53:00"/>
        <d v="1899-12-30T10:54:00"/>
        <d v="1899-12-30T10:55:00"/>
        <d v="1899-12-30T10:56:00"/>
        <d v="1899-12-30T11:00:00"/>
        <d v="1899-12-30T11:04:00"/>
        <d v="1899-12-30T11:09:00"/>
        <d v="1899-12-30T11:11:00"/>
        <d v="1899-12-30T11:13:00"/>
        <d v="1899-12-30T11:14:00"/>
        <d v="1899-12-30T11:15:00"/>
        <d v="1899-12-30T11:18:00"/>
        <d v="1899-12-30T11:20:00"/>
        <d v="1899-12-30T11:22:00"/>
        <d v="1899-12-30T11:23:00"/>
        <d v="1899-12-30T11:25:00"/>
        <d v="1899-12-30T11:29:00"/>
        <d v="1899-12-30T11:39:00"/>
        <d v="1899-12-30T11:40:00"/>
        <d v="1899-12-30T11:45:00"/>
        <d v="1899-12-30T11:46:00"/>
        <d v="1899-12-30T11:47:00"/>
        <d v="1899-12-30T11:48:00"/>
        <d v="1899-12-30T11:49:00"/>
        <d v="1899-12-30T11:50:00"/>
        <d v="1899-12-30T11:51:00"/>
        <d v="1899-12-30T11:53:00"/>
        <d v="1899-12-30T11:54:00"/>
        <d v="1899-12-30T11:55:00"/>
        <d v="1899-12-30T12:01:00"/>
        <d v="1899-12-30T12:03:00"/>
        <d v="1899-12-30T12:04:00"/>
        <d v="1899-12-30T12:10:00"/>
        <d v="1899-12-30T12:11:00"/>
        <d v="1899-12-30T12:16:00"/>
        <d v="1899-12-30T12:23:00"/>
        <d v="1899-12-30T12:25:00"/>
        <d v="1899-12-30T12:28:00"/>
        <d v="1899-12-30T12:29:00"/>
        <d v="1899-12-30T12:32:00"/>
        <d v="1899-12-30T12:40:00"/>
        <d v="1899-12-30T12:47:00"/>
        <d v="1899-12-30T12:55:00"/>
        <d v="1899-12-30T12:57:00"/>
        <d v="1899-12-30T12:58:00"/>
        <d v="1899-12-30T13:07:00"/>
        <d v="1899-12-30T13:08:00"/>
        <d v="1899-12-30T13:09:00"/>
        <d v="1899-12-30T13:12:00"/>
        <d v="1899-12-30T13:13:00"/>
        <d v="1899-12-30T13:16:00"/>
        <d v="1899-12-30T13:20:00"/>
        <d v="1899-12-30T13:29:00"/>
        <d v="1899-12-30T13:31:00"/>
        <d v="1899-12-30T13:32:00"/>
        <d v="1899-12-30T13:37:00"/>
        <d v="1899-12-30T13:39:00"/>
        <d v="1899-12-30T13:40:00"/>
        <d v="1899-12-30T13:51:00"/>
        <d v="1899-12-30T13:52:00"/>
        <d v="1899-12-30T13:54:00"/>
        <d v="1899-12-30T13:56:00"/>
        <d v="1899-12-30T14:01:00"/>
        <d v="1899-12-30T14:02:00"/>
        <d v="1899-12-30T14:05:00"/>
        <d v="1899-12-30T14:09:00"/>
        <d v="1899-12-30T14:12:00"/>
        <d v="1899-12-30T14:13:00"/>
        <d v="1899-12-30T14:14:00"/>
        <d v="1899-12-30T14:15:00"/>
        <d v="1899-12-30T14:16:00"/>
        <d v="1899-12-30T14:23:00"/>
        <d v="1899-12-30T14:25:00"/>
        <d v="1899-12-30T14:31:00"/>
        <d v="1899-12-30T14:41:00"/>
        <d v="1899-12-30T14:42:00"/>
        <d v="1899-12-30T14:43:00"/>
        <d v="1899-12-30T14:47:00"/>
        <d v="1899-12-30T14:48:00"/>
        <d v="1899-12-30T14:51:00"/>
        <d v="1899-12-30T14:53:00"/>
        <d v="1899-12-30T14:58:00"/>
        <d v="1899-12-30T15:01:00"/>
        <d v="1899-12-30T15:03:00"/>
        <d v="1899-12-30T15:10:00"/>
        <d v="1899-12-30T15:11:00"/>
        <d v="1899-12-30T15:14:00"/>
        <d v="1899-12-30T15:23:00"/>
        <d v="1899-12-30T15:25:00"/>
        <d v="1899-12-30T15:27:00"/>
        <d v="1899-12-30T15:28:00"/>
        <d v="1899-12-30T15:30:00"/>
        <d v="1899-12-30T15:39:00"/>
        <d v="1899-12-30T15:41:00"/>
        <d v="1899-12-30T15:51:00"/>
        <d v="1899-12-30T15:55:00"/>
        <d v="1899-12-30T15:57:00"/>
        <d v="1899-12-30T16:03:00"/>
        <d v="1899-12-30T16:09:00"/>
        <d v="1899-12-30T16:22:00"/>
        <d v="1899-12-30T16:26:00"/>
        <d v="1899-12-30T16:30:00"/>
        <d v="1899-12-30T16:33:00"/>
        <d v="1899-12-30T16:36:00"/>
        <d v="1899-12-30T16:38:00"/>
        <d v="1899-12-30T16:40:00"/>
        <d v="1899-12-30T16:44:00"/>
        <d v="1899-12-30T16:49:00"/>
        <d v="1899-12-30T16:52:00"/>
        <d v="1899-12-30T16:53:00"/>
        <d v="1899-12-30T17:01:00"/>
        <d v="1899-12-30T17:06:00"/>
        <d v="1899-12-30T17:09:00"/>
        <d v="1899-12-30T17:13:00"/>
        <d v="1899-12-30T17:40:00"/>
        <d v="1899-12-30T17:41:00"/>
        <d v="1899-12-30T17:47:00"/>
        <d v="1899-12-30T18:00:00"/>
        <d v="1899-12-30T18:05:00"/>
        <d v="1899-12-30T18:12:00"/>
        <d v="1899-12-30T18:17:00"/>
        <d v="1899-12-30T18:23:00"/>
        <d v="1899-12-30T18:30:00"/>
        <d v="1899-12-30T18:38:00"/>
        <d v="1899-12-30T18:40:00"/>
        <d v="1899-12-30T18:48:00"/>
        <d v="1899-12-30T18:51:00"/>
        <d v="1899-12-30T18:55:00"/>
        <d v="1899-12-30T19:04:00"/>
        <d v="1899-12-30T19:12:00"/>
        <d v="1899-12-30T19:22:00"/>
        <d v="1899-12-30T19:27:00"/>
        <d v="1899-12-30T19:50:00"/>
        <d v="1899-12-30T19:53:00"/>
        <d v="1899-12-30T19:59:00"/>
        <d v="1899-12-30T20:05:00"/>
        <d v="1899-12-30T20:32:00"/>
        <d v="1899-12-30T20:34:00"/>
        <d v="1899-12-30T21:16:00"/>
        <d v="1899-12-30T21:23:00"/>
        <d v="1899-12-30T21:45:00"/>
        <d v="1899-12-30T21:57:00"/>
        <d v="1899-12-30T21:58:00"/>
        <d v="1899-12-30T22:22:00"/>
        <d v="1899-12-30T22:29:00"/>
        <d v="1899-12-30T22:32:00"/>
        <d v="1899-12-30T22:48:00"/>
        <d v="1899-12-30T22:53:00"/>
        <d v="1899-12-30T22:54:00"/>
        <d v="1899-12-30T22:56:00"/>
        <d v="1899-12-30T23:03:00"/>
        <d v="1899-12-30T23:08:00"/>
        <d v="1899-12-30T23:18:00"/>
        <d v="1899-12-30T23:31:00"/>
        <d v="1899-12-30T23:35:00"/>
        <d v="1899-12-30T23:36:00"/>
        <d v="1899-12-30T23:37:00"/>
        <d v="1899-12-30T23:49:00"/>
        <d v="1899-12-30T23:51:00"/>
        <d v="1899-12-30T00:18:00"/>
        <d v="1899-12-30T00:26:00"/>
        <d v="1899-12-30T00:46:00"/>
        <d v="1899-12-30T01:02:00"/>
        <d v="1899-12-30T01:04:00"/>
        <d v="1899-12-30T01:14:00"/>
        <d v="1899-12-30T01:16:00"/>
        <d v="1899-12-30T01:19:00"/>
        <d v="1899-12-30T01:24:00"/>
        <d v="1899-12-30T01:36:00"/>
        <d v="1899-12-30T01:51:00"/>
        <d v="1899-12-30T02:32:00"/>
        <d v="1899-12-30T03:04:00"/>
        <d v="1899-12-30T03:05:00"/>
        <d v="1899-12-30T03:07:00"/>
        <d v="1899-12-30T03:13:00"/>
        <d v="1899-12-30T03:18:00"/>
        <d v="1899-12-30T03:40:00"/>
        <d v="1899-12-30T03:47:00"/>
        <d v="1899-12-30T03:57:00"/>
        <d v="1899-12-30T04:01:00"/>
        <d v="1899-12-30T04:13:00"/>
        <d v="1899-12-30T04:24:00"/>
        <d v="1899-12-30T05:02:00"/>
        <d v="1899-12-30T05:12:00"/>
        <d v="1899-12-30T05:25:00"/>
        <d v="1899-12-30T05:28:00"/>
        <d v="1899-12-30T06:11:00"/>
        <d v="1899-12-30T06:13:00"/>
        <d v="1899-12-30T06:26:00"/>
        <d v="1899-12-30T07:00:00"/>
        <d v="1899-12-30T07:09:00"/>
        <d v="1899-12-30T07:15:00"/>
        <d v="1899-12-30T07:28:00"/>
        <d v="1899-12-30T07:36:00"/>
        <d v="1899-12-30T07:37:00"/>
        <d v="1899-12-30T07:38:00"/>
        <d v="1899-12-30T07:40:00"/>
        <d v="1899-12-30T08:07:00"/>
        <d v="1899-12-30T08:09:00"/>
        <d v="1899-12-30T08:14:00"/>
        <d v="1899-12-30T08:18:00"/>
        <d v="1899-12-30T08:36:00"/>
        <d v="1899-12-30T09:52:00"/>
        <d v="1899-12-30T09:53:00"/>
        <d v="1899-12-30T10:00:00"/>
        <d v="1899-12-30T10:38:00"/>
        <d v="1899-12-30T11:08:00"/>
        <d v="1899-12-30T11:19:00"/>
        <d v="1899-12-30T11:21:00"/>
        <d v="1899-12-30T11:37:00"/>
        <d v="1899-12-30T12:12:00"/>
        <d v="1899-12-30T12:13:00"/>
        <d v="1899-12-30T12:36:00"/>
        <d v="1899-12-30T12:42:00"/>
        <d v="1899-12-30T12:50:00"/>
        <d v="1899-12-30T13:17:00"/>
        <d v="1899-12-30T13:25:00"/>
        <d v="1899-12-30T13:27:00"/>
        <d v="1899-12-30T13:30:00"/>
        <d v="1899-12-30T13:59:00"/>
        <d v="1899-12-30T14:07:00"/>
        <d v="1899-12-30T14:22:00"/>
        <d v="1899-12-30T14:54:00"/>
        <d v="1899-12-30T14:57:00"/>
        <d v="1899-12-30T16:11:00"/>
        <d v="1899-12-30T16:42:00"/>
        <d v="1899-12-30T17:05:00"/>
        <d v="1899-12-30T17:21:00"/>
        <d v="1899-12-30T17:53:00"/>
        <d v="1899-12-30T18:43:00"/>
        <d v="1899-12-30T18:57:00"/>
        <d v="1899-12-30T19:06:00"/>
        <d v="1899-12-30T19:30:00"/>
        <d v="1899-12-30T19:32:00"/>
        <d v="1899-12-30T19:37:00"/>
        <d v="1899-12-30T20:53:00"/>
        <d v="1899-12-30T21:05:00"/>
        <d v="1899-12-30T21:08:00"/>
        <d v="1899-12-30T22:13:00"/>
        <d v="1899-12-30T22:27:00"/>
        <d v="1899-12-30T22:43:00"/>
        <d v="1899-12-30T23:04:00"/>
        <d v="1899-12-30T23:39:00"/>
        <d v="1899-12-30T00:29:00"/>
        <d v="1899-12-30T00:52:00"/>
        <d v="1899-12-30T00:58:00"/>
        <d v="1899-12-30T01:08:00"/>
        <d v="1899-12-30T02:43:00"/>
        <d v="1899-12-30T02:52:00"/>
        <d v="1899-12-30T03:03:00"/>
        <d v="1899-12-30T03:45:00"/>
        <d v="1899-12-30T03:59:00"/>
        <d v="1899-12-30T04:00:00"/>
        <d v="1899-12-30T04:17:00"/>
        <d v="1899-12-30T04:31:00"/>
        <d v="1899-12-30T04:52:00"/>
        <d v="1899-12-30T06:23:00"/>
        <d v="1899-12-30T06:52:00"/>
        <d v="1899-12-30T07:16:00"/>
        <d v="1899-12-30T07:18:00"/>
        <d v="1899-12-30T07:51:00"/>
        <d v="1899-12-30T08:25:00"/>
        <d v="1899-12-30T10:07:00"/>
        <d v="1899-12-30T10:30:00"/>
        <d v="1899-12-30T11:43:00"/>
        <d v="1899-12-30T11:44:00"/>
        <d v="1899-12-30T12:43:00"/>
        <d v="1899-12-30T14:03:00"/>
        <d v="1899-12-30T14:33:00"/>
        <d v="1899-12-30T15:09:00"/>
        <d v="1899-12-30T15:45:00"/>
        <d v="1899-12-30T16:23:00"/>
        <d v="1899-12-30T16:28:00"/>
        <d v="1899-12-30T17:42:00"/>
        <d v="1899-12-30T18:14:00"/>
        <d v="1899-12-30T21:13:00"/>
        <d v="1899-12-30T23:16:00"/>
        <d v="1899-12-30T01:50:00"/>
        <d v="1899-12-30T01:59:00"/>
        <d v="1899-12-30T02:40:00"/>
        <d v="1899-12-30T03:08:00"/>
        <d v="1899-12-30T05:33:00"/>
        <d v="1899-12-30T06:03:00"/>
        <d v="1899-12-30T07:02:00"/>
        <d v="1899-12-30T09:24:00"/>
        <d v="1899-12-30T10:48:00"/>
        <d v="1899-12-30T11:30:00"/>
        <d v="1899-12-30T11:59:00"/>
        <d v="1899-12-30T12:00:00"/>
        <d v="1899-12-30T13:24:00"/>
        <d v="1899-12-30T14:06:00"/>
        <d v="1899-12-30T14:59:00"/>
        <d v="1899-12-30T16:05:00"/>
        <d v="1899-12-30T17:48:00"/>
        <d v="1899-12-30T17:56:00"/>
        <d v="1899-12-30T18:41:00"/>
        <d v="1899-12-30T18:46:00"/>
        <d v="1899-12-30T19:54:00"/>
        <d v="1899-12-30T21:15:00"/>
        <d v="1899-12-30T21:22:00"/>
        <d v="1899-12-30T22:08:00"/>
        <d v="1899-12-30T22:21:00"/>
        <d v="1899-12-30T23:05:00"/>
        <d v="1899-12-30T01:03:00"/>
        <d v="1899-12-30T05:06:00"/>
        <d v="1899-12-30T05:42:00"/>
        <d v="1899-12-30T05:47:00"/>
        <d v="1899-12-30T06:34:00"/>
        <d v="1899-12-30T06:43:00"/>
        <d v="1899-12-30T06:53:00"/>
        <d v="1899-12-30T12:27:00"/>
        <d v="1899-12-30T13:04:00"/>
        <d v="1899-12-30T17:26:00"/>
        <d v="1899-12-30T17:33:00"/>
        <d v="1899-12-30T17:49:00"/>
        <d v="1899-12-30T23:30:00"/>
        <d v="1899-12-30T00:30:00"/>
        <d v="1899-12-30T00:33:00"/>
        <d v="1899-12-30T00:38:00"/>
        <d v="1899-12-30T04:07:00"/>
        <d v="1899-12-30T06:59:00"/>
        <d v="1899-12-30T07:54:00"/>
        <d v="1899-12-30T09:43:00"/>
        <d v="1899-12-30T15:13:00"/>
        <d v="1899-12-30T15:34:00"/>
        <d v="1899-12-30T15:37:00"/>
        <d v="1899-12-30T16:17:00"/>
        <d v="1899-12-30T16:56:00"/>
        <d v="1899-12-30T18:04:00"/>
        <d v="1899-12-30T18:24:00"/>
        <d v="1899-12-30T23:29:00"/>
        <d v="1899-12-30T23:50:00"/>
        <d v="1899-12-30T02:28:00"/>
        <d v="1899-12-30T04:50:00"/>
        <d v="1899-12-30T05:30:00"/>
        <d v="1899-12-30T06:00:00"/>
        <d v="1899-12-30T06:54:00"/>
        <d v="1899-12-30T08:06:00"/>
        <d v="1899-12-30T13:38:00"/>
        <d v="1899-12-30T16:00:00"/>
        <d v="1899-12-30T22:52:00"/>
        <d v="1899-12-30T22:59:00"/>
        <d v="1899-12-30T16:37:00"/>
        <d v="1899-12-30T17:22:00"/>
        <d v="1899-12-30T00:48:00"/>
        <d v="1899-12-30T11:42:00"/>
        <d v="1899-12-30T20:04:00"/>
        <d v="1899-12-30T04:40:00"/>
        <d v="1899-12-30T07:25:00"/>
        <d v="1899-12-30T08:01:00"/>
        <d v="1899-12-30T13:57:00"/>
        <d v="1899-12-30T18:10:00"/>
        <d v="1899-12-30T01:09:00"/>
        <d v="1899-12-30T02:51:00"/>
        <d v="1899-12-30T21:27:00"/>
        <d v="1899-12-30T06:10:00"/>
        <d v="1899-12-30T13:33:00"/>
        <d v="1899-12-30T06:28:00"/>
        <d v="1899-12-30T22:45:00"/>
        <d v="1899-12-30T07:45:00"/>
      </sharedItems>
      <fieldGroup par="29" base="3">
        <rangePr groupBy="minutes" startDate="1899-12-30T00:18:00" endDate="1899-12-30T23:51:00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Time_Spent" numFmtId="19">
      <sharedItems containsSemiMixedTypes="0" containsNonDate="0" containsDate="1" containsString="0" minDate="1899-12-30T00:00:28" maxDate="1899-12-30T10:34:43" count="203">
        <d v="1899-12-30T00:00:44"/>
        <d v="1899-12-30T00:01:30"/>
        <d v="1899-12-30T00:02:18"/>
        <d v="1899-12-30T00:02:10"/>
        <d v="1899-12-30T00:01:51"/>
        <d v="1899-12-30T00:02:34"/>
        <d v="1899-12-30T00:01:15"/>
        <d v="1899-12-30T00:01:25"/>
        <d v="1899-12-30T00:01:27"/>
        <d v="1899-12-30T00:01:29"/>
        <d v="1899-12-30T00:02:31"/>
        <d v="1899-12-30T00:03:20"/>
        <d v="1899-12-30T00:00:55"/>
        <d v="1899-12-30T00:01:24"/>
        <d v="1899-12-30T00:00:47"/>
        <d v="1899-12-30T00:01:06"/>
        <d v="1899-12-30T00:01:04"/>
        <d v="1899-12-30T00:01:05"/>
        <d v="1899-12-30T00:01:21"/>
        <d v="1899-12-30T00:01:23"/>
        <d v="1899-12-30T00:01:35"/>
        <d v="1899-12-30T00:01:47"/>
        <d v="1899-12-30T00:02:14"/>
        <d v="1899-12-30T00:02:21"/>
        <d v="1899-12-30T00:02:07"/>
        <d v="1899-12-30T00:01:20"/>
        <d v="1899-12-30T00:01:34"/>
        <d v="1899-12-30T00:01:38"/>
        <d v="1899-12-30T00:03:30"/>
        <d v="1899-12-30T00:01:37"/>
        <d v="1899-12-30T00:02:08"/>
        <d v="1899-12-30T00:03:54"/>
        <d v="1899-12-30T00:02:28"/>
        <d v="1899-12-30T00:01:33"/>
        <d v="1899-12-30T00:00:56"/>
        <d v="1899-12-30T00:02:38"/>
        <d v="1899-12-30T00:01:52"/>
        <d v="1899-12-30T00:02:03"/>
        <d v="1899-12-30T00:02:32"/>
        <d v="1899-12-30T00:02:39"/>
        <d v="1899-12-30T00:01:11"/>
        <d v="1899-12-30T00:03:55"/>
        <d v="1899-12-30T00:02:47"/>
        <d v="1899-12-30T00:01:57"/>
        <d v="1899-12-30T00:01:59"/>
        <d v="1899-12-30T00:01:18"/>
        <d v="1899-12-30T00:08:11"/>
        <d v="1899-12-30T00:01:44"/>
        <d v="1899-12-30T00:01:58"/>
        <d v="1899-12-30T00:02:15"/>
        <d v="1899-12-30T00:02:04"/>
        <d v="1899-12-30T00:01:46"/>
        <d v="1899-12-30T00:01:09"/>
        <d v="1899-12-30T00:04:03"/>
        <d v="1899-12-30T00:01:03"/>
        <d v="1899-12-30T00:01:01"/>
        <d v="1899-12-30T00:02:43"/>
        <d v="1899-12-30T00:03:15"/>
        <d v="1899-12-30T00:01:28"/>
        <d v="1899-12-30T00:02:36"/>
        <d v="1899-12-30T00:02:41"/>
        <d v="1899-12-30T00:04:14"/>
        <d v="1899-12-30T00:02:17"/>
        <d v="1899-12-30T00:01:32"/>
        <d v="1899-12-30T00:01:19"/>
        <d v="1899-12-30T00:01:08"/>
        <d v="1899-12-30T00:01:41"/>
        <d v="1899-12-30T00:01:36"/>
        <d v="1899-12-30T00:03:09"/>
        <d v="1899-12-30T00:01:22"/>
        <d v="1899-12-30T00:03:05"/>
        <d v="1899-12-30T00:00:58"/>
        <d v="1899-12-30T00:02:29"/>
        <d v="1899-12-30T00:01:14"/>
        <d v="1899-12-30T00:03:00"/>
        <d v="1899-12-30T00:02:02"/>
        <d v="1899-12-30T00:01:45"/>
        <d v="1899-12-30T00:02:22"/>
        <d v="1899-12-30T00:01:56"/>
        <d v="1899-12-30T00:01:10"/>
        <d v="1899-12-30T00:00:28"/>
        <d v="1899-12-30T00:03:18"/>
        <d v="1899-12-30T00:01:55"/>
        <d v="1899-12-30T00:04:27"/>
        <d v="1899-12-30T00:02:00"/>
        <d v="1899-12-30T00:00:48"/>
        <d v="1899-12-30T00:03:57"/>
        <d v="1899-12-30T00:01:26"/>
        <d v="1899-12-30T00:02:24"/>
        <d v="1899-12-30T00:02:51"/>
        <d v="1899-12-30T00:01:13"/>
        <d v="1899-12-30T00:03:29"/>
        <d v="1899-12-30T00:01:17"/>
        <d v="1899-12-30T00:01:16"/>
        <d v="1899-12-30T00:01:39"/>
        <d v="1899-12-30T00:00:53"/>
        <d v="1899-12-30T00:02:45"/>
        <d v="1899-12-30T00:05:11"/>
        <d v="1899-12-30T00:01:48"/>
        <d v="1899-12-30T00:03:42"/>
        <d v="1899-12-30T00:22:47"/>
        <d v="1899-12-30T00:02:50"/>
        <d v="1899-12-30T00:03:01"/>
        <d v="1899-12-30T00:04:22"/>
        <d v="1899-12-30T00:01:07"/>
        <d v="1899-12-30T00:01:31"/>
        <d v="1899-12-30T00:02:19"/>
        <d v="1899-12-30T00:03:59"/>
        <d v="1899-12-30T00:02:01"/>
        <d v="1899-12-30T00:03:38"/>
        <d v="1899-12-30T00:02:40"/>
        <d v="1899-12-30T00:00:57"/>
        <d v="1899-12-30T00:03:43"/>
        <d v="1899-12-30T00:02:59"/>
        <d v="1899-12-30T00:04:44"/>
        <d v="1899-12-30T00:01:40"/>
        <d v="1899-12-30T00:02:58"/>
        <d v="1899-12-30T00:02:23"/>
        <d v="1899-12-30T00:00:59"/>
        <d v="1899-12-30T00:02:52"/>
        <d v="1899-12-30T00:01:54"/>
        <d v="1899-12-30T00:03:34"/>
        <d v="1899-12-30T00:02:09"/>
        <d v="1899-12-30T00:24:18"/>
        <d v="1899-12-30T00:04:08"/>
        <d v="1899-12-30T00:02:05"/>
        <d v="1899-12-30T00:02:11"/>
        <d v="1899-12-30T00:03:13"/>
        <d v="1899-12-30T00:02:27"/>
        <d v="1899-12-30T00:01:43"/>
        <d v="1899-12-30T00:01:42"/>
        <d v="1899-12-30T00:04:30"/>
        <d v="1899-12-30T00:03:06"/>
        <d v="1899-12-30T00:05:13"/>
        <d v="1899-12-30T00:01:49"/>
        <d v="1899-12-30T00:03:49"/>
        <d v="1899-12-30T00:02:55"/>
        <d v="1899-12-30T00:03:52"/>
        <d v="1899-12-30T00:02:16"/>
        <d v="1899-12-30T00:01:02"/>
        <d v="1899-12-30T00:04:19"/>
        <d v="1899-12-30T00:05:36"/>
        <d v="1899-12-30T00:04:17"/>
        <d v="1899-12-30T00:04:51"/>
        <d v="1899-12-30T00:03:19"/>
        <d v="1899-12-30T01:09:45"/>
        <d v="1899-12-30T00:04:54"/>
        <d v="1899-12-30T00:02:26"/>
        <d v="1899-12-30T00:12:09"/>
        <d v="1899-12-30T00:00:43"/>
        <d v="1899-12-30T00:04:01"/>
        <d v="1899-12-30T00:03:27"/>
        <d v="1899-12-30T00:00:51"/>
        <d v="1899-12-30T00:02:12"/>
        <d v="1899-12-30T00:05:15"/>
        <d v="1899-12-30T00:02:20"/>
        <d v="1899-12-30T00:03:23"/>
        <d v="1899-12-30T00:02:33"/>
        <d v="1899-12-30T00:03:39"/>
        <d v="1899-12-30T00:04:04"/>
        <d v="1899-12-30T00:05:51"/>
        <d v="1899-12-30T00:04:48"/>
        <d v="1899-12-30T00:03:11"/>
        <d v="1899-12-30T00:02:30"/>
        <d v="1899-12-30T00:01:53"/>
        <d v="1899-12-30T00:02:06"/>
        <d v="1899-12-30T00:04:32"/>
        <d v="1899-12-30T00:01:00"/>
        <d v="1899-12-30T00:03:12"/>
        <d v="1899-12-30T00:02:44"/>
        <d v="1899-12-30T00:05:32"/>
        <d v="1899-12-30T10:34:43"/>
        <d v="1899-12-30T00:05:09"/>
        <d v="1899-12-30T00:03:26"/>
        <d v="1899-12-30T00:03:17"/>
        <d v="1899-12-30T00:03:25"/>
        <d v="1899-12-30T00:09:42"/>
        <d v="1899-12-30T00:02:37"/>
        <d v="1899-12-30T00:02:25"/>
        <d v="1899-12-30T00:04:47"/>
        <d v="1899-12-30T00:03:44"/>
        <d v="1899-12-30T00:02:42"/>
        <d v="1899-12-30T00:03:02"/>
        <d v="1899-12-30T00:02:48"/>
        <d v="1899-12-30T00:10:34"/>
        <d v="1899-12-30T00:02:53"/>
        <d v="1899-12-30T00:03:50"/>
        <d v="1899-12-30T00:04:36"/>
        <d v="1899-12-30T00:03:16"/>
        <d v="1899-12-30T00:04:53"/>
        <d v="1899-12-30T00:04:45"/>
        <d v="1899-12-30T00:01:50"/>
        <d v="1899-12-30T00:02:49"/>
        <d v="1899-12-30T00:01:12"/>
        <d v="1899-12-30T00:00:50"/>
        <d v="1899-12-30T00:04:29"/>
        <d v="1899-12-30T00:03:51"/>
        <d v="1899-12-30T00:06:20"/>
        <d v="1899-12-30T00:02:13"/>
        <d v="1899-12-30T00:02:35"/>
        <d v="1899-12-30T00:06:15"/>
        <d v="1899-12-30T00:12:16"/>
        <d v="1899-12-30T00:04:43"/>
      </sharedItems>
      <fieldGroup par="31" base="4">
        <rangePr groupBy="seconds" startDate="1899-12-30T00:00:28" endDate="1899-12-30T10:34:43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Browser" numFmtId="0">
      <sharedItems containsNonDate="0" containsString="0" containsBlank="1" count="1">
        <m/>
      </sharedItems>
    </cacheField>
    <cacheField name="OS" numFmtId="0">
      <sharedItems containsNonDate="0" containsString="0" containsBlank="1" count="1">
        <m/>
      </sharedItems>
    </cacheField>
    <cacheField name="City" numFmtId="0">
      <sharedItems containsNonDate="0" containsString="0" containsBlank="1"/>
    </cacheField>
    <cacheField name="Country" numFmtId="0">
      <sharedItems containsNonDate="0" containsString="0" containsBlank="1" count="1">
        <m/>
      </sharedItems>
    </cacheField>
    <cacheField name="Referrer" numFmtId="0">
      <sharedItems containsNonDate="0" containsString="0" containsBlank="1" count="1">
        <m/>
      </sharedItems>
    </cacheField>
    <cacheField name="Current_Role" numFmtId="0">
      <sharedItems count="7">
        <s v="Data Analyst"/>
        <s v="Data Engineer"/>
        <s v="Other"/>
        <s v="Data Scientist"/>
        <s v="Student"/>
        <s v="Data Architect"/>
        <s v="Database Developer"/>
      </sharedItems>
    </cacheField>
    <cacheField name="Switched_Careers" numFmtId="0">
      <sharedItems count="2">
        <s v="Yes"/>
        <s v="No"/>
      </sharedItems>
    </cacheField>
    <cacheField name="Yearly_Salary" numFmtId="0">
      <sharedItems containsMixedTypes="1" containsNumber="1" containsInteger="1" minValue="0" maxValue="0" count="9">
        <s v="106k-125k"/>
        <s v="41k-65k"/>
        <s v="0-40k"/>
        <s v="150k-225k"/>
        <s v="125k-150k"/>
        <s v="86k-105k"/>
        <s v="66k-85k"/>
        <s v="225k+"/>
        <n v="0"/>
      </sharedItems>
    </cacheField>
    <cacheField name="Average_yearly_Salary" numFmtId="0">
      <sharedItems containsMixedTypes="1" containsNumber="1" containsInteger="1" minValue="20" maxValue="188" count="8">
        <n v="116"/>
        <n v="53"/>
        <n v="20"/>
        <n v="188"/>
        <n v="138"/>
        <n v="96"/>
        <n v="76"/>
        <s v="null"/>
      </sharedItems>
    </cacheField>
    <cacheField name="Industry" numFmtId="0">
      <sharedItems count="9">
        <s v="Healthcare"/>
        <s v="Finance"/>
        <s v="Other"/>
        <s v="Telecommunication"/>
        <s v="Tech"/>
        <s v="Education"/>
        <s v="Construction"/>
        <s v="Real Estate"/>
        <s v="Agriculture"/>
      </sharedItems>
    </cacheField>
    <cacheField name="Programming_Language" numFmtId="0">
      <sharedItems count="6">
        <s v="Python"/>
        <s v="R"/>
        <s v="Other"/>
        <s v="JavaScript"/>
        <s v="C/C++"/>
        <s v="Java"/>
      </sharedItems>
    </cacheField>
    <cacheField name="Salary_Satisfaction" numFmtId="0">
      <sharedItems containsMixedTypes="1" containsNumber="1" containsInteger="1" minValue="0" maxValue="10" count="12">
        <n v="9"/>
        <n v="1"/>
        <n v="0"/>
        <n v="10"/>
        <n v="2"/>
        <n v="4"/>
        <n v="3"/>
        <n v="7"/>
        <n v="5"/>
        <n v="6"/>
        <n v="8"/>
        <s v="null"/>
      </sharedItems>
    </cacheField>
    <cacheField name="Work/Life_Balance_Satisfaction" numFmtId="0">
      <sharedItems containsString="0" containsBlank="1" containsNumber="1" containsInteger="1" minValue="0" maxValue="10" count="12">
        <n v="9"/>
        <n v="2"/>
        <n v="8"/>
        <n v="6"/>
        <n v="4"/>
        <n v="3"/>
        <n v="5"/>
        <n v="0"/>
        <n v="10"/>
        <n v="1"/>
        <n v="7"/>
        <m/>
      </sharedItems>
    </cacheField>
    <cacheField name="Coworkers_Satisfaction" numFmtId="0">
      <sharedItems containsString="0" containsBlank="1" containsNumber="1" containsInteger="1" minValue="0" maxValue="10" count="12">
        <n v="7"/>
        <n v="5"/>
        <n v="4"/>
        <n v="3"/>
        <n v="6"/>
        <n v="8"/>
        <n v="10"/>
        <n v="9"/>
        <n v="2"/>
        <n v="1"/>
        <n v="0"/>
        <m/>
      </sharedItems>
    </cacheField>
    <cacheField name="Management_Satisfaction" numFmtId="0">
      <sharedItems containsString="0" containsBlank="1" containsNumber="1" containsInteger="1" minValue="0" maxValue="10" count="12">
        <n v="5"/>
        <n v="2"/>
        <n v="10"/>
        <n v="4"/>
        <n v="3"/>
        <n v="6"/>
        <n v="8"/>
        <n v="9"/>
        <n v="7"/>
        <n v="1"/>
        <n v="0"/>
        <m/>
      </sharedItems>
    </cacheField>
    <cacheField name="Upward_Mobility_Satisfaction" numFmtId="0">
      <sharedItems containsString="0" containsBlank="1" containsNumber="1" containsInteger="1" minValue="0" maxValue="10" count="12">
        <n v="5"/>
        <n v="1"/>
        <n v="7"/>
        <n v="0"/>
        <n v="3"/>
        <n v="6"/>
        <n v="8"/>
        <n v="4"/>
        <n v="2"/>
        <n v="10"/>
        <n v="9"/>
        <m/>
      </sharedItems>
    </cacheField>
    <cacheField name="Learning_New_Things_Satisfaction" numFmtId="0">
      <sharedItems containsString="0" containsBlank="1" containsNumber="1" containsInteger="1" minValue="0" maxValue="10" count="12">
        <n v="7"/>
        <n v="3"/>
        <n v="10"/>
        <n v="1"/>
        <n v="2"/>
        <n v="5"/>
        <n v="9"/>
        <n v="4"/>
        <n v="8"/>
        <n v="0"/>
        <n v="6"/>
        <m/>
      </sharedItems>
    </cacheField>
    <cacheField name="Break_into_Data" numFmtId="0">
      <sharedItems count="5">
        <s v="Very Difficult"/>
        <s v="Easy"/>
        <s v="Very Easy"/>
        <s v="Difficult"/>
        <s v="Neither easy nor difficult"/>
      </sharedItems>
    </cacheField>
    <cacheField name="New_Job_Type" numFmtId="0">
      <sharedItems count="5">
        <s v="Remote Work"/>
        <s v="Good Work/Life Balance"/>
        <s v="Better Salary"/>
        <s v="Good Culture"/>
        <s v="Other"/>
      </sharedItems>
    </cacheField>
    <cacheField name="Sex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18" maxValue="92"/>
    </cacheField>
    <cacheField name="Country2" numFmtId="0">
      <sharedItems count="5">
        <s v="United States"/>
        <s v="Canada"/>
        <s v="Other"/>
        <s v="United Kingdom"/>
        <s v="India"/>
      </sharedItems>
    </cacheField>
    <cacheField name="Education_Level" numFmtId="0">
      <sharedItems containsBlank="1" count="6">
        <m/>
        <s v="High School"/>
        <s v="Bachelors"/>
        <s v="Masters"/>
        <s v="Associates"/>
        <s v="PhD"/>
      </sharedItems>
    </cacheField>
    <cacheField name="Ethnicity" numFmtId="0">
      <sharedItems count="7">
        <s v="White or Caucasian"/>
        <s v="Asian or Asian American"/>
        <s v="Black or African American"/>
        <s v="Hispanic or Latino"/>
        <s v="Other"/>
        <s v="Native Hawaiian or other Pacific Islander"/>
        <s v="American Indian or Alaska Native"/>
      </sharedItems>
    </cacheField>
    <cacheField name="Hours" numFmtId="0" databaseField="0">
      <fieldGroup base="3">
        <rangePr groupBy="hours" startDate="1899-12-30T00:18:00" endDate="1899-12-30T23:51:00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  <cacheField name="Minutes" numFmtId="0" databaseField="0">
      <fieldGroup base="4">
        <rangePr groupBy="minutes" startDate="1899-12-30T00:00:28" endDate="1899-12-30T10:34:43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Hours2" numFmtId="0" databaseField="0">
      <fieldGroup base="4">
        <rangePr groupBy="hours" startDate="1899-12-30T00:00:28" endDate="1899-12-30T10:34:43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PMLS" refreshedDate="45967.899130439815" createdVersion="6" refreshedVersion="6" minRefreshableVersion="3" recordCount="640">
  <cacheSource type="worksheet">
    <worksheetSource ref="A1:AC1048576" sheet="data"/>
  </cacheSource>
  <cacheFields count="29">
    <cacheField name="Unique ID" numFmtId="0">
      <sharedItems containsBlank="1"/>
    </cacheField>
    <cacheField name="Email" numFmtId="0">
      <sharedItems containsBlank="1"/>
    </cacheField>
    <cacheField name="Date_Taken" numFmtId="0">
      <sharedItems containsNonDate="0" containsDate="1" containsString="0" containsBlank="1" minDate="2022-06-10T00:00:00" maxDate="2022-06-27T00:00:00"/>
    </cacheField>
    <cacheField name="Time_Taken" numFmtId="0">
      <sharedItems containsNonDate="0" containsDate="1" containsString="0" containsBlank="1" minDate="1899-12-30T00:18:00" maxDate="1899-12-30T23:51:00"/>
    </cacheField>
    <cacheField name="Time_Spent" numFmtId="0">
      <sharedItems containsNonDate="0" containsDate="1" containsString="0" containsBlank="1" minDate="1899-12-30T00:00:28" maxDate="1899-12-30T10:34:43"/>
    </cacheField>
    <cacheField name="Browser" numFmtId="0">
      <sharedItems containsNonDate="0" containsString="0" containsBlank="1"/>
    </cacheField>
    <cacheField name="OS" numFmtId="0">
      <sharedItems containsNonDate="0" containsString="0" containsBlank="1"/>
    </cacheField>
    <cacheField name="City" numFmtId="0">
      <sharedItems containsNonDate="0" containsString="0" containsBlank="1"/>
    </cacheField>
    <cacheField name="Country" numFmtId="0">
      <sharedItems containsNonDate="0" containsString="0" containsBlank="1"/>
    </cacheField>
    <cacheField name="Referrer" numFmtId="0">
      <sharedItems containsNonDate="0" containsString="0" containsBlank="1"/>
    </cacheField>
    <cacheField name="Current_Role" numFmtId="0">
      <sharedItems containsBlank="1" count="8">
        <s v="Data Analyst"/>
        <s v="Data Engineer"/>
        <s v="Other"/>
        <s v="Data Scientist"/>
        <s v="Student"/>
        <s v="Data Architect"/>
        <s v="Database Developer"/>
        <m/>
      </sharedItems>
    </cacheField>
    <cacheField name="Switched_Careers" numFmtId="0">
      <sharedItems containsBlank="1"/>
    </cacheField>
    <cacheField name="Yearly_Salary" numFmtId="0">
      <sharedItems containsBlank="1" containsMixedTypes="1" containsNumber="1" containsInteger="1" minValue="0" maxValue="0"/>
    </cacheField>
    <cacheField name="Average_yearly_Salary" numFmtId="0">
      <sharedItems containsBlank="1" containsMixedTypes="1" containsNumber="1" minValue="20" maxValue="33611" count="14">
        <n v="116"/>
        <n v="53"/>
        <n v="20"/>
        <n v="188"/>
        <n v="138"/>
        <n v="96"/>
        <n v="76"/>
        <s v="null"/>
        <m/>
        <s v="sum of avg.salaries"/>
        <n v="33611"/>
        <s v="Median of avg.salaries"/>
        <s v="Mean of avg.salaries"/>
        <n v="53.350793650793648"/>
      </sharedItems>
    </cacheField>
    <cacheField name="Industry" numFmtId="0">
      <sharedItems containsBlank="1"/>
    </cacheField>
    <cacheField name="Programming_Language" numFmtId="0">
      <sharedItems containsBlank="1"/>
    </cacheField>
    <cacheField name="Salary_Satisfaction" numFmtId="0">
      <sharedItems containsBlank="1" containsMixedTypes="1" containsNumber="1" containsInteger="1" minValue="0" maxValue="10"/>
    </cacheField>
    <cacheField name="Work/Life_Balance_Satisfaction" numFmtId="0">
      <sharedItems containsString="0" containsBlank="1" containsNumber="1" containsInteger="1" minValue="0" maxValue="10"/>
    </cacheField>
    <cacheField name="Coworkers_Satisfaction" numFmtId="0">
      <sharedItems containsString="0" containsBlank="1" containsNumber="1" containsInteger="1" minValue="0" maxValue="10"/>
    </cacheField>
    <cacheField name="Management_Satisfaction" numFmtId="0">
      <sharedItems containsString="0" containsBlank="1" containsNumber="1" containsInteger="1" minValue="0" maxValue="10"/>
    </cacheField>
    <cacheField name="Upward_Mobility_Satisfaction" numFmtId="0">
      <sharedItems containsString="0" containsBlank="1" containsNumber="1" containsInteger="1" minValue="0" maxValue="10" count="12">
        <n v="5"/>
        <n v="1"/>
        <n v="7"/>
        <n v="0"/>
        <n v="3"/>
        <n v="6"/>
        <n v="8"/>
        <n v="4"/>
        <n v="2"/>
        <n v="10"/>
        <n v="9"/>
        <m/>
      </sharedItems>
    </cacheField>
    <cacheField name="Learning_New_Things_Satisfaction" numFmtId="0">
      <sharedItems containsString="0" containsBlank="1" containsNumber="1" containsInteger="1" minValue="0" maxValue="10" count="12">
        <n v="7"/>
        <n v="3"/>
        <n v="10"/>
        <n v="1"/>
        <n v="2"/>
        <n v="5"/>
        <n v="9"/>
        <n v="4"/>
        <n v="8"/>
        <n v="0"/>
        <n v="6"/>
        <m/>
      </sharedItems>
    </cacheField>
    <cacheField name="Break_into_Data" numFmtId="0">
      <sharedItems containsBlank="1"/>
    </cacheField>
    <cacheField name="New_Job_Type" numFmtId="0">
      <sharedItems containsBlank="1"/>
    </cacheField>
    <cacheField name="Sex" numFmtId="0">
      <sharedItems containsBlank="1"/>
    </cacheField>
    <cacheField name="Age" numFmtId="0">
      <sharedItems containsString="0" containsBlank="1" containsNumber="1" containsInteger="1" minValue="18" maxValue="92"/>
    </cacheField>
    <cacheField name="Country2" numFmtId="0">
      <sharedItems containsBlank="1"/>
    </cacheField>
    <cacheField name="Education_Level" numFmtId="0">
      <sharedItems containsBlank="1"/>
    </cacheField>
    <cacheField name="Ethnicity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PMLS" refreshedDate="45968.390796874999" createdVersion="6" refreshedVersion="6" minRefreshableVersion="3" recordCount="630">
  <cacheSource type="worksheet">
    <worksheetSource ref="A1:AC631" sheet="data"/>
  </cacheSource>
  <cacheFields count="29">
    <cacheField name="Unique ID" numFmtId="0">
      <sharedItems/>
    </cacheField>
    <cacheField name="Email" numFmtId="0">
      <sharedItems/>
    </cacheField>
    <cacheField name="Date_Taken" numFmtId="14">
      <sharedItems containsSemiMixedTypes="0" containsNonDate="0" containsDate="1" containsString="0" minDate="2022-06-10T00:00:00" maxDate="2022-06-27T00:00:00"/>
    </cacheField>
    <cacheField name="Time_Taken" numFmtId="19">
      <sharedItems containsSemiMixedTypes="0" containsNonDate="0" containsDate="1" containsString="0" minDate="1899-12-30T00:18:00" maxDate="1899-12-30T23:51:00"/>
    </cacheField>
    <cacheField name="Time_Spent" numFmtId="19">
      <sharedItems containsSemiMixedTypes="0" containsNonDate="0" containsDate="1" containsString="0" minDate="1899-12-30T00:00:28" maxDate="1899-12-30T10:34:43"/>
    </cacheField>
    <cacheField name="Browser" numFmtId="0">
      <sharedItems containsNonDate="0" containsString="0" containsBlank="1"/>
    </cacheField>
    <cacheField name="OS" numFmtId="0">
      <sharedItems containsNonDate="0" containsString="0" containsBlank="1"/>
    </cacheField>
    <cacheField name="City" numFmtId="0">
      <sharedItems containsNonDate="0" containsString="0" containsBlank="1"/>
    </cacheField>
    <cacheField name="Country" numFmtId="0">
      <sharedItems containsNonDate="0" containsString="0" containsBlank="1"/>
    </cacheField>
    <cacheField name="Referrer" numFmtId="0">
      <sharedItems containsNonDate="0" containsString="0" containsBlank="1"/>
    </cacheField>
    <cacheField name="Current_Role" numFmtId="0">
      <sharedItems/>
    </cacheField>
    <cacheField name="Switched_Careers" numFmtId="0">
      <sharedItems count="2">
        <s v="Yes"/>
        <s v="No"/>
      </sharedItems>
    </cacheField>
    <cacheField name="Yearly_Salary" numFmtId="0">
      <sharedItems containsMixedTypes="1" containsNumber="1" containsInteger="1" minValue="0" maxValue="0"/>
    </cacheField>
    <cacheField name="Average_yearly_Salary" numFmtId="0">
      <sharedItems containsMixedTypes="1" containsNumber="1" containsInteger="1" minValue="20" maxValue="188"/>
    </cacheField>
    <cacheField name="Industry" numFmtId="0">
      <sharedItems/>
    </cacheField>
    <cacheField name="Programming_Language" numFmtId="0">
      <sharedItems/>
    </cacheField>
    <cacheField name="Salary_Satisfaction" numFmtId="0">
      <sharedItems containsMixedTypes="1" containsNumber="1" containsInteger="1" minValue="0" maxValue="10" count="12">
        <n v="9"/>
        <n v="1"/>
        <n v="0"/>
        <n v="10"/>
        <n v="2"/>
        <n v="4"/>
        <n v="3"/>
        <n v="7"/>
        <n v="5"/>
        <n v="6"/>
        <n v="8"/>
        <s v="null"/>
      </sharedItems>
    </cacheField>
    <cacheField name="Work/Life_Balance_Satisfaction" numFmtId="0">
      <sharedItems containsString="0" containsBlank="1" containsNumber="1" containsInteger="1" minValue="0" maxValue="10"/>
    </cacheField>
    <cacheField name="Coworkers_Satisfaction" numFmtId="0">
      <sharedItems containsString="0" containsBlank="1" containsNumber="1" containsInteger="1" minValue="0" maxValue="10"/>
    </cacheField>
    <cacheField name="Management_Satisfaction" numFmtId="0">
      <sharedItems containsString="0" containsBlank="1" containsNumber="1" containsInteger="1" minValue="0" maxValue="10"/>
    </cacheField>
    <cacheField name="Upward_Mobility_Satisfaction" numFmtId="0">
      <sharedItems containsString="0" containsBlank="1" containsNumber="1" containsInteger="1" minValue="0" maxValue="10"/>
    </cacheField>
    <cacheField name="Learning_New_Things_Satisfaction" numFmtId="0">
      <sharedItems containsString="0" containsBlank="1" containsNumber="1" containsInteger="1" minValue="0" maxValue="10"/>
    </cacheField>
    <cacheField name="Break_into_Data" numFmtId="0">
      <sharedItems/>
    </cacheField>
    <cacheField name="New_Job_Type" numFmtId="0">
      <sharedItems/>
    </cacheField>
    <cacheField name="Sex" numFmtId="0">
      <sharedItems/>
    </cacheField>
    <cacheField name="Age" numFmtId="0">
      <sharedItems containsSemiMixedTypes="0" containsString="0" containsNumber="1" containsInteger="1" minValue="18" maxValue="92"/>
    </cacheField>
    <cacheField name="Country2" numFmtId="0">
      <sharedItems/>
    </cacheField>
    <cacheField name="Education_Level" numFmtId="0">
      <sharedItems containsBlank="1"/>
    </cacheField>
    <cacheField name="Ethni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30">
  <r>
    <s v="62a33b3db4da29969c62df3d"/>
    <s v="anonymous"/>
    <x v="0"/>
    <x v="0"/>
    <x v="0"/>
    <x v="0"/>
    <x v="0"/>
    <m/>
    <x v="0"/>
    <x v="0"/>
    <x v="0"/>
    <x v="0"/>
    <x v="0"/>
    <x v="0"/>
    <x v="0"/>
    <x v="0"/>
    <x v="0"/>
    <x v="0"/>
    <x v="0"/>
    <x v="0"/>
    <x v="0"/>
    <x v="0"/>
    <x v="0"/>
    <x v="0"/>
    <x v="0"/>
    <n v="26"/>
    <x v="0"/>
    <x v="0"/>
    <x v="0"/>
  </r>
  <r>
    <s v="62a33ba1bae91e4b8b82e35c"/>
    <s v="anonymous"/>
    <x v="0"/>
    <x v="1"/>
    <x v="1"/>
    <x v="0"/>
    <x v="0"/>
    <m/>
    <x v="0"/>
    <x v="0"/>
    <x v="0"/>
    <x v="1"/>
    <x v="1"/>
    <x v="1"/>
    <x v="1"/>
    <x v="1"/>
    <x v="1"/>
    <x v="1"/>
    <x v="1"/>
    <x v="1"/>
    <x v="1"/>
    <x v="1"/>
    <x v="0"/>
    <x v="0"/>
    <x v="0"/>
    <n v="36"/>
    <x v="1"/>
    <x v="0"/>
    <x v="1"/>
  </r>
  <r>
    <s v="62a33c2cbc6861bf3176bec1"/>
    <s v="anonymous"/>
    <x v="0"/>
    <x v="2"/>
    <x v="2"/>
    <x v="0"/>
    <x v="0"/>
    <m/>
    <x v="0"/>
    <x v="0"/>
    <x v="1"/>
    <x v="1"/>
    <x v="2"/>
    <x v="2"/>
    <x v="2"/>
    <x v="0"/>
    <x v="2"/>
    <x v="2"/>
    <x v="0"/>
    <x v="0"/>
    <x v="2"/>
    <x v="0"/>
    <x v="1"/>
    <x v="1"/>
    <x v="0"/>
    <n v="23"/>
    <x v="2"/>
    <x v="0"/>
    <x v="2"/>
  </r>
  <r>
    <s v="62a33c8624a26260273822f9"/>
    <s v="anonymous"/>
    <x v="0"/>
    <x v="3"/>
    <x v="3"/>
    <x v="0"/>
    <x v="0"/>
    <m/>
    <x v="0"/>
    <x v="0"/>
    <x v="2"/>
    <x v="0"/>
    <x v="3"/>
    <x v="3"/>
    <x v="1"/>
    <x v="1"/>
    <x v="3"/>
    <x v="3"/>
    <x v="0"/>
    <x v="2"/>
    <x v="2"/>
    <x v="2"/>
    <x v="2"/>
    <x v="0"/>
    <x v="1"/>
    <n v="35"/>
    <x v="1"/>
    <x v="0"/>
    <x v="0"/>
  </r>
  <r>
    <s v="62a33c91f3072dd892621e03"/>
    <s v="anonymous"/>
    <x v="0"/>
    <x v="4"/>
    <x v="4"/>
    <x v="0"/>
    <x v="0"/>
    <m/>
    <x v="0"/>
    <x v="0"/>
    <x v="0"/>
    <x v="0"/>
    <x v="1"/>
    <x v="1"/>
    <x v="0"/>
    <x v="1"/>
    <x v="1"/>
    <x v="4"/>
    <x v="2"/>
    <x v="3"/>
    <x v="3"/>
    <x v="3"/>
    <x v="3"/>
    <x v="2"/>
    <x v="0"/>
    <n v="44"/>
    <x v="0"/>
    <x v="0"/>
    <x v="2"/>
  </r>
  <r>
    <s v="62a33cb6cf25554317300177"/>
    <s v="anonymous"/>
    <x v="0"/>
    <x v="4"/>
    <x v="5"/>
    <x v="0"/>
    <x v="0"/>
    <m/>
    <x v="0"/>
    <x v="0"/>
    <x v="0"/>
    <x v="0"/>
    <x v="2"/>
    <x v="2"/>
    <x v="2"/>
    <x v="0"/>
    <x v="4"/>
    <x v="5"/>
    <x v="3"/>
    <x v="4"/>
    <x v="4"/>
    <x v="4"/>
    <x v="3"/>
    <x v="1"/>
    <x v="0"/>
    <n v="33"/>
    <x v="2"/>
    <x v="0"/>
    <x v="2"/>
  </r>
  <r>
    <s v="62a33cb72e54c9003e531c65"/>
    <s v="anonymous"/>
    <x v="0"/>
    <x v="4"/>
    <x v="6"/>
    <x v="0"/>
    <x v="0"/>
    <m/>
    <x v="0"/>
    <x v="0"/>
    <x v="3"/>
    <x v="0"/>
    <x v="2"/>
    <x v="2"/>
    <x v="1"/>
    <x v="0"/>
    <x v="2"/>
    <x v="3"/>
    <x v="4"/>
    <x v="5"/>
    <x v="5"/>
    <x v="5"/>
    <x v="3"/>
    <x v="2"/>
    <x v="0"/>
    <n v="24"/>
    <x v="2"/>
    <x v="0"/>
    <x v="2"/>
  </r>
  <r>
    <s v="62a33cd30f8c8599d5af0f8f"/>
    <s v="anonymous"/>
    <x v="0"/>
    <x v="5"/>
    <x v="7"/>
    <x v="0"/>
    <x v="0"/>
    <m/>
    <x v="0"/>
    <x v="0"/>
    <x v="1"/>
    <x v="0"/>
    <x v="4"/>
    <x v="4"/>
    <x v="2"/>
    <x v="2"/>
    <x v="3"/>
    <x v="6"/>
    <x v="1"/>
    <x v="0"/>
    <x v="0"/>
    <x v="6"/>
    <x v="4"/>
    <x v="0"/>
    <x v="0"/>
    <n v="35"/>
    <x v="0"/>
    <x v="0"/>
    <x v="1"/>
  </r>
  <r>
    <s v="62a33cd3cf255543173001d9"/>
    <s v="anonymous"/>
    <x v="0"/>
    <x v="5"/>
    <x v="3"/>
    <x v="0"/>
    <x v="0"/>
    <m/>
    <x v="0"/>
    <x v="0"/>
    <x v="0"/>
    <x v="0"/>
    <x v="5"/>
    <x v="5"/>
    <x v="0"/>
    <x v="1"/>
    <x v="5"/>
    <x v="4"/>
    <x v="2"/>
    <x v="3"/>
    <x v="0"/>
    <x v="5"/>
    <x v="4"/>
    <x v="2"/>
    <x v="0"/>
    <n v="35"/>
    <x v="0"/>
    <x v="0"/>
    <x v="1"/>
  </r>
  <r>
    <s v="62a33cd8bc6861bf3176c05f"/>
    <s v="anonymous"/>
    <x v="0"/>
    <x v="5"/>
    <x v="8"/>
    <x v="0"/>
    <x v="0"/>
    <m/>
    <x v="0"/>
    <x v="0"/>
    <x v="0"/>
    <x v="0"/>
    <x v="1"/>
    <x v="1"/>
    <x v="3"/>
    <x v="0"/>
    <x v="4"/>
    <x v="7"/>
    <x v="3"/>
    <x v="4"/>
    <x v="3"/>
    <x v="7"/>
    <x v="0"/>
    <x v="2"/>
    <x v="0"/>
    <n v="28"/>
    <x v="0"/>
    <x v="0"/>
    <x v="3"/>
  </r>
  <r>
    <s v="62a33ce918134ddc75ce8c30"/>
    <s v="anonymous"/>
    <x v="0"/>
    <x v="5"/>
    <x v="9"/>
    <x v="0"/>
    <x v="0"/>
    <m/>
    <x v="0"/>
    <x v="0"/>
    <x v="0"/>
    <x v="0"/>
    <x v="6"/>
    <x v="6"/>
    <x v="2"/>
    <x v="0"/>
    <x v="3"/>
    <x v="8"/>
    <x v="5"/>
    <x v="6"/>
    <x v="6"/>
    <x v="2"/>
    <x v="4"/>
    <x v="0"/>
    <x v="0"/>
    <n v="37"/>
    <x v="1"/>
    <x v="0"/>
    <x v="0"/>
  </r>
  <r>
    <s v="62a33cf30a77c1a77f65baa2"/>
    <s v="anonymous"/>
    <x v="0"/>
    <x v="5"/>
    <x v="10"/>
    <x v="0"/>
    <x v="0"/>
    <m/>
    <x v="0"/>
    <x v="0"/>
    <x v="0"/>
    <x v="0"/>
    <x v="2"/>
    <x v="2"/>
    <x v="2"/>
    <x v="0"/>
    <x v="6"/>
    <x v="2"/>
    <x v="6"/>
    <x v="2"/>
    <x v="2"/>
    <x v="8"/>
    <x v="4"/>
    <x v="2"/>
    <x v="0"/>
    <n v="32"/>
    <x v="2"/>
    <x v="0"/>
    <x v="0"/>
  </r>
  <r>
    <s v="62a33d15f408bae018ed370d"/>
    <s v="anonymous"/>
    <x v="0"/>
    <x v="6"/>
    <x v="11"/>
    <x v="0"/>
    <x v="0"/>
    <m/>
    <x v="0"/>
    <x v="0"/>
    <x v="0"/>
    <x v="0"/>
    <x v="2"/>
    <x v="2"/>
    <x v="4"/>
    <x v="1"/>
    <x v="1"/>
    <x v="8"/>
    <x v="7"/>
    <x v="7"/>
    <x v="0"/>
    <x v="2"/>
    <x v="4"/>
    <x v="2"/>
    <x v="0"/>
    <n v="34"/>
    <x v="2"/>
    <x v="0"/>
    <x v="4"/>
  </r>
  <r>
    <s v="62a33d1ebae91e4b8b82e707"/>
    <s v="anonymous"/>
    <x v="0"/>
    <x v="6"/>
    <x v="12"/>
    <x v="0"/>
    <x v="0"/>
    <m/>
    <x v="0"/>
    <x v="0"/>
    <x v="3"/>
    <x v="0"/>
    <x v="2"/>
    <x v="2"/>
    <x v="5"/>
    <x v="0"/>
    <x v="6"/>
    <x v="8"/>
    <x v="6"/>
    <x v="5"/>
    <x v="2"/>
    <x v="8"/>
    <x v="1"/>
    <x v="1"/>
    <x v="0"/>
    <n v="30"/>
    <x v="3"/>
    <x v="0"/>
    <x v="0"/>
  </r>
  <r>
    <s v="62a33d4624a26260273824c4"/>
    <s v="anonymous"/>
    <x v="0"/>
    <x v="7"/>
    <x v="13"/>
    <x v="0"/>
    <x v="0"/>
    <m/>
    <x v="0"/>
    <x v="0"/>
    <x v="0"/>
    <x v="1"/>
    <x v="1"/>
    <x v="1"/>
    <x v="6"/>
    <x v="1"/>
    <x v="5"/>
    <x v="6"/>
    <x v="1"/>
    <x v="0"/>
    <x v="7"/>
    <x v="5"/>
    <x v="4"/>
    <x v="3"/>
    <x v="0"/>
    <n v="31"/>
    <x v="0"/>
    <x v="0"/>
    <x v="0"/>
  </r>
  <r>
    <s v="62a33d5c0f8c8599d5af107c"/>
    <s v="anonymous"/>
    <x v="0"/>
    <x v="7"/>
    <x v="14"/>
    <x v="0"/>
    <x v="0"/>
    <m/>
    <x v="0"/>
    <x v="0"/>
    <x v="0"/>
    <x v="0"/>
    <x v="1"/>
    <x v="1"/>
    <x v="1"/>
    <x v="0"/>
    <x v="5"/>
    <x v="8"/>
    <x v="0"/>
    <x v="8"/>
    <x v="2"/>
    <x v="5"/>
    <x v="3"/>
    <x v="3"/>
    <x v="0"/>
    <n v="29"/>
    <x v="0"/>
    <x v="0"/>
    <x v="0"/>
  </r>
  <r>
    <s v="62a33d850f8c8599d5af10cb"/>
    <s v="anonymous"/>
    <x v="0"/>
    <x v="8"/>
    <x v="15"/>
    <x v="0"/>
    <x v="0"/>
    <m/>
    <x v="0"/>
    <x v="0"/>
    <x v="0"/>
    <x v="0"/>
    <x v="2"/>
    <x v="2"/>
    <x v="4"/>
    <x v="0"/>
    <x v="1"/>
    <x v="1"/>
    <x v="2"/>
    <x v="1"/>
    <x v="8"/>
    <x v="4"/>
    <x v="4"/>
    <x v="2"/>
    <x v="0"/>
    <n v="22"/>
    <x v="2"/>
    <x v="0"/>
    <x v="2"/>
  </r>
  <r>
    <s v="62a33d9bf8f7561645852496"/>
    <s v="anonymous"/>
    <x v="0"/>
    <x v="8"/>
    <x v="16"/>
    <x v="0"/>
    <x v="0"/>
    <m/>
    <x v="0"/>
    <x v="0"/>
    <x v="4"/>
    <x v="0"/>
    <x v="2"/>
    <x v="2"/>
    <x v="2"/>
    <x v="0"/>
    <x v="1"/>
    <x v="5"/>
    <x v="8"/>
    <x v="1"/>
    <x v="7"/>
    <x v="3"/>
    <x v="3"/>
    <x v="2"/>
    <x v="0"/>
    <n v="23"/>
    <x v="0"/>
    <x v="0"/>
    <x v="2"/>
  </r>
  <r>
    <s v="62a33dbdd8c00e9f5419cd65"/>
    <s v="anonymous"/>
    <x v="0"/>
    <x v="9"/>
    <x v="17"/>
    <x v="0"/>
    <x v="0"/>
    <m/>
    <x v="0"/>
    <x v="0"/>
    <x v="4"/>
    <x v="1"/>
    <x v="1"/>
    <x v="1"/>
    <x v="4"/>
    <x v="1"/>
    <x v="7"/>
    <x v="2"/>
    <x v="5"/>
    <x v="5"/>
    <x v="6"/>
    <x v="1"/>
    <x v="0"/>
    <x v="2"/>
    <x v="1"/>
    <n v="26"/>
    <x v="1"/>
    <x v="0"/>
    <x v="1"/>
  </r>
  <r>
    <s v="62a33de124a26260273826b2"/>
    <s v="anonymous"/>
    <x v="0"/>
    <x v="9"/>
    <x v="18"/>
    <x v="0"/>
    <x v="0"/>
    <m/>
    <x v="0"/>
    <x v="0"/>
    <x v="0"/>
    <x v="1"/>
    <x v="2"/>
    <x v="2"/>
    <x v="2"/>
    <x v="0"/>
    <x v="1"/>
    <x v="9"/>
    <x v="9"/>
    <x v="9"/>
    <x v="8"/>
    <x v="9"/>
    <x v="0"/>
    <x v="2"/>
    <x v="0"/>
    <n v="28"/>
    <x v="2"/>
    <x v="0"/>
    <x v="2"/>
  </r>
  <r>
    <s v="62a33dedd8c00e9f5419ce2b"/>
    <s v="anonymous"/>
    <x v="0"/>
    <x v="9"/>
    <x v="19"/>
    <x v="0"/>
    <x v="0"/>
    <m/>
    <x v="0"/>
    <x v="0"/>
    <x v="0"/>
    <x v="0"/>
    <x v="1"/>
    <x v="1"/>
    <x v="1"/>
    <x v="0"/>
    <x v="8"/>
    <x v="6"/>
    <x v="1"/>
    <x v="0"/>
    <x v="0"/>
    <x v="5"/>
    <x v="1"/>
    <x v="0"/>
    <x v="0"/>
    <n v="29"/>
    <x v="2"/>
    <x v="0"/>
    <x v="2"/>
  </r>
  <r>
    <s v="62a33dfbd8c00e9f5419ceda"/>
    <s v="anonymous"/>
    <x v="0"/>
    <x v="10"/>
    <x v="20"/>
    <x v="0"/>
    <x v="0"/>
    <m/>
    <x v="0"/>
    <x v="0"/>
    <x v="0"/>
    <x v="0"/>
    <x v="0"/>
    <x v="0"/>
    <x v="4"/>
    <x v="2"/>
    <x v="3"/>
    <x v="6"/>
    <x v="6"/>
    <x v="5"/>
    <x v="9"/>
    <x v="2"/>
    <x v="4"/>
    <x v="0"/>
    <x v="1"/>
    <n v="31"/>
    <x v="0"/>
    <x v="0"/>
    <x v="0"/>
  </r>
  <r>
    <s v="62a33e38f3072dd8926221d3"/>
    <s v="anonymous"/>
    <x v="0"/>
    <x v="11"/>
    <x v="7"/>
    <x v="0"/>
    <x v="0"/>
    <m/>
    <x v="0"/>
    <x v="0"/>
    <x v="0"/>
    <x v="0"/>
    <x v="2"/>
    <x v="2"/>
    <x v="0"/>
    <x v="0"/>
    <x v="8"/>
    <x v="3"/>
    <x v="5"/>
    <x v="6"/>
    <x v="2"/>
    <x v="3"/>
    <x v="4"/>
    <x v="0"/>
    <x v="0"/>
    <n v="28"/>
    <x v="2"/>
    <x v="0"/>
    <x v="0"/>
  </r>
  <r>
    <s v="62a33e54d8c00e9f5419cfe9"/>
    <s v="anonymous"/>
    <x v="0"/>
    <x v="11"/>
    <x v="21"/>
    <x v="0"/>
    <x v="0"/>
    <m/>
    <x v="0"/>
    <x v="0"/>
    <x v="0"/>
    <x v="1"/>
    <x v="2"/>
    <x v="2"/>
    <x v="1"/>
    <x v="0"/>
    <x v="5"/>
    <x v="4"/>
    <x v="2"/>
    <x v="3"/>
    <x v="7"/>
    <x v="7"/>
    <x v="4"/>
    <x v="2"/>
    <x v="0"/>
    <n v="32"/>
    <x v="2"/>
    <x v="0"/>
    <x v="3"/>
  </r>
  <r>
    <s v="62a33e62575fa3a5ae88aabf"/>
    <s v="anonymous"/>
    <x v="0"/>
    <x v="11"/>
    <x v="22"/>
    <x v="0"/>
    <x v="0"/>
    <m/>
    <x v="0"/>
    <x v="0"/>
    <x v="0"/>
    <x v="1"/>
    <x v="2"/>
    <x v="2"/>
    <x v="4"/>
    <x v="0"/>
    <x v="7"/>
    <x v="2"/>
    <x v="5"/>
    <x v="6"/>
    <x v="4"/>
    <x v="8"/>
    <x v="1"/>
    <x v="2"/>
    <x v="0"/>
    <n v="24"/>
    <x v="2"/>
    <x v="0"/>
    <x v="2"/>
  </r>
  <r>
    <s v="62a33e63cec54911e9ca4f99"/>
    <s v="anonymous"/>
    <x v="0"/>
    <x v="11"/>
    <x v="23"/>
    <x v="0"/>
    <x v="0"/>
    <m/>
    <x v="0"/>
    <x v="0"/>
    <x v="0"/>
    <x v="1"/>
    <x v="2"/>
    <x v="2"/>
    <x v="4"/>
    <x v="0"/>
    <x v="5"/>
    <x v="3"/>
    <x v="4"/>
    <x v="5"/>
    <x v="2"/>
    <x v="0"/>
    <x v="1"/>
    <x v="1"/>
    <x v="0"/>
    <n v="31"/>
    <x v="4"/>
    <x v="0"/>
    <x v="1"/>
  </r>
  <r>
    <s v="62a33e72bae91e4b8b82ea1a"/>
    <s v="anonymous"/>
    <x v="0"/>
    <x v="12"/>
    <x v="24"/>
    <x v="0"/>
    <x v="0"/>
    <m/>
    <x v="0"/>
    <x v="0"/>
    <x v="0"/>
    <x v="1"/>
    <x v="6"/>
    <x v="6"/>
    <x v="2"/>
    <x v="2"/>
    <x v="7"/>
    <x v="8"/>
    <x v="1"/>
    <x v="0"/>
    <x v="0"/>
    <x v="4"/>
    <x v="3"/>
    <x v="4"/>
    <x v="0"/>
    <n v="23"/>
    <x v="0"/>
    <x v="0"/>
    <x v="0"/>
  </r>
  <r>
    <s v="62a33e890f8c8599d5af13b9"/>
    <s v="anonymous"/>
    <x v="0"/>
    <x v="12"/>
    <x v="25"/>
    <x v="0"/>
    <x v="0"/>
    <m/>
    <x v="0"/>
    <x v="0"/>
    <x v="0"/>
    <x v="0"/>
    <x v="0"/>
    <x v="0"/>
    <x v="2"/>
    <x v="0"/>
    <x v="1"/>
    <x v="3"/>
    <x v="7"/>
    <x v="9"/>
    <x v="3"/>
    <x v="4"/>
    <x v="3"/>
    <x v="0"/>
    <x v="1"/>
    <n v="33"/>
    <x v="0"/>
    <x v="0"/>
    <x v="1"/>
  </r>
  <r>
    <s v="62a33e8bf8d5efcc22f7c79a"/>
    <s v="anonymous"/>
    <x v="0"/>
    <x v="12"/>
    <x v="26"/>
    <x v="0"/>
    <x v="0"/>
    <m/>
    <x v="0"/>
    <x v="0"/>
    <x v="0"/>
    <x v="1"/>
    <x v="5"/>
    <x v="5"/>
    <x v="0"/>
    <x v="2"/>
    <x v="9"/>
    <x v="10"/>
    <x v="0"/>
    <x v="8"/>
    <x v="2"/>
    <x v="7"/>
    <x v="2"/>
    <x v="2"/>
    <x v="0"/>
    <n v="43"/>
    <x v="0"/>
    <x v="0"/>
    <x v="0"/>
  </r>
  <r>
    <s v="62a33e90cec54911e9ca5031"/>
    <s v="anonymous"/>
    <x v="0"/>
    <x v="12"/>
    <x v="26"/>
    <x v="0"/>
    <x v="0"/>
    <m/>
    <x v="0"/>
    <x v="0"/>
    <x v="4"/>
    <x v="0"/>
    <x v="2"/>
    <x v="2"/>
    <x v="2"/>
    <x v="1"/>
    <x v="2"/>
    <x v="7"/>
    <x v="1"/>
    <x v="10"/>
    <x v="3"/>
    <x v="9"/>
    <x v="0"/>
    <x v="0"/>
    <x v="1"/>
    <n v="23"/>
    <x v="2"/>
    <x v="0"/>
    <x v="4"/>
  </r>
  <r>
    <s v="62a33e9df8f756164585277b"/>
    <s v="anonymous"/>
    <x v="0"/>
    <x v="12"/>
    <x v="21"/>
    <x v="0"/>
    <x v="0"/>
    <m/>
    <x v="0"/>
    <x v="0"/>
    <x v="4"/>
    <x v="0"/>
    <x v="1"/>
    <x v="1"/>
    <x v="1"/>
    <x v="0"/>
    <x v="3"/>
    <x v="10"/>
    <x v="6"/>
    <x v="2"/>
    <x v="0"/>
    <x v="1"/>
    <x v="0"/>
    <x v="1"/>
    <x v="0"/>
    <n v="31"/>
    <x v="0"/>
    <x v="0"/>
    <x v="2"/>
  </r>
  <r>
    <s v="62a33eb6bc6861bf3176c5a3"/>
    <s v="anonymous"/>
    <x v="0"/>
    <x v="13"/>
    <x v="27"/>
    <x v="0"/>
    <x v="0"/>
    <m/>
    <x v="0"/>
    <x v="0"/>
    <x v="0"/>
    <x v="0"/>
    <x v="6"/>
    <x v="6"/>
    <x v="1"/>
    <x v="0"/>
    <x v="8"/>
    <x v="3"/>
    <x v="0"/>
    <x v="0"/>
    <x v="7"/>
    <x v="7"/>
    <x v="4"/>
    <x v="4"/>
    <x v="0"/>
    <n v="31"/>
    <x v="3"/>
    <x v="0"/>
    <x v="0"/>
  </r>
  <r>
    <s v="62a33ee0bae91e4b8b82eaec"/>
    <s v="anonymous"/>
    <x v="0"/>
    <x v="13"/>
    <x v="28"/>
    <x v="0"/>
    <x v="0"/>
    <m/>
    <x v="0"/>
    <x v="0"/>
    <x v="0"/>
    <x v="0"/>
    <x v="2"/>
    <x v="2"/>
    <x v="2"/>
    <x v="0"/>
    <x v="10"/>
    <x v="10"/>
    <x v="5"/>
    <x v="8"/>
    <x v="2"/>
    <x v="0"/>
    <x v="3"/>
    <x v="1"/>
    <x v="0"/>
    <n v="25"/>
    <x v="4"/>
    <x v="0"/>
    <x v="1"/>
  </r>
  <r>
    <s v="62a33ee80f8c8599d5af14b7"/>
    <s v="anonymous"/>
    <x v="0"/>
    <x v="14"/>
    <x v="29"/>
    <x v="0"/>
    <x v="0"/>
    <m/>
    <x v="0"/>
    <x v="0"/>
    <x v="1"/>
    <x v="1"/>
    <x v="4"/>
    <x v="4"/>
    <x v="4"/>
    <x v="2"/>
    <x v="10"/>
    <x v="8"/>
    <x v="6"/>
    <x v="7"/>
    <x v="10"/>
    <x v="6"/>
    <x v="1"/>
    <x v="2"/>
    <x v="0"/>
    <n v="43"/>
    <x v="0"/>
    <x v="0"/>
    <x v="0"/>
  </r>
  <r>
    <s v="62a33efe0a77c1a77f65bf1e"/>
    <s v="anonymous"/>
    <x v="0"/>
    <x v="14"/>
    <x v="30"/>
    <x v="0"/>
    <x v="0"/>
    <m/>
    <x v="0"/>
    <x v="0"/>
    <x v="0"/>
    <x v="1"/>
    <x v="1"/>
    <x v="1"/>
    <x v="1"/>
    <x v="0"/>
    <x v="4"/>
    <x v="5"/>
    <x v="1"/>
    <x v="0"/>
    <x v="0"/>
    <x v="5"/>
    <x v="3"/>
    <x v="2"/>
    <x v="1"/>
    <n v="26"/>
    <x v="1"/>
    <x v="0"/>
    <x v="4"/>
  </r>
  <r>
    <s v="62a33f0ef408bae018ed3aeb"/>
    <s v="anonymous"/>
    <x v="0"/>
    <x v="14"/>
    <x v="31"/>
    <x v="0"/>
    <x v="0"/>
    <m/>
    <x v="0"/>
    <x v="0"/>
    <x v="2"/>
    <x v="1"/>
    <x v="1"/>
    <x v="1"/>
    <x v="2"/>
    <x v="0"/>
    <x v="8"/>
    <x v="8"/>
    <x v="5"/>
    <x v="6"/>
    <x v="6"/>
    <x v="0"/>
    <x v="4"/>
    <x v="0"/>
    <x v="0"/>
    <n v="32"/>
    <x v="2"/>
    <x v="0"/>
    <x v="0"/>
  </r>
  <r>
    <s v="62a33f17f8f7561645852867"/>
    <s v="anonymous"/>
    <x v="0"/>
    <x v="14"/>
    <x v="32"/>
    <x v="0"/>
    <x v="0"/>
    <m/>
    <x v="0"/>
    <x v="0"/>
    <x v="2"/>
    <x v="1"/>
    <x v="2"/>
    <x v="2"/>
    <x v="4"/>
    <x v="0"/>
    <x v="4"/>
    <x v="0"/>
    <x v="0"/>
    <x v="8"/>
    <x v="0"/>
    <x v="10"/>
    <x v="3"/>
    <x v="2"/>
    <x v="0"/>
    <n v="31"/>
    <x v="2"/>
    <x v="0"/>
    <x v="0"/>
  </r>
  <r>
    <s v="62a33f52bc6861bf3176c72c"/>
    <s v="anonymous"/>
    <x v="0"/>
    <x v="15"/>
    <x v="33"/>
    <x v="0"/>
    <x v="0"/>
    <m/>
    <x v="0"/>
    <x v="0"/>
    <x v="0"/>
    <x v="0"/>
    <x v="5"/>
    <x v="5"/>
    <x v="0"/>
    <x v="2"/>
    <x v="6"/>
    <x v="6"/>
    <x v="4"/>
    <x v="3"/>
    <x v="7"/>
    <x v="5"/>
    <x v="4"/>
    <x v="2"/>
    <x v="0"/>
    <n v="29"/>
    <x v="0"/>
    <x v="0"/>
    <x v="0"/>
  </r>
  <r>
    <s v="62a33f56cf255543173005e9"/>
    <s v="anonymous"/>
    <x v="0"/>
    <x v="15"/>
    <x v="34"/>
    <x v="0"/>
    <x v="0"/>
    <m/>
    <x v="0"/>
    <x v="0"/>
    <x v="0"/>
    <x v="0"/>
    <x v="2"/>
    <x v="2"/>
    <x v="2"/>
    <x v="0"/>
    <x v="6"/>
    <x v="9"/>
    <x v="3"/>
    <x v="1"/>
    <x v="4"/>
    <x v="3"/>
    <x v="4"/>
    <x v="3"/>
    <x v="0"/>
    <n v="24"/>
    <x v="2"/>
    <x v="0"/>
    <x v="3"/>
  </r>
  <r>
    <s v="62a33f5a5d257a28a30d7bb5"/>
    <s v="anonymous"/>
    <x v="0"/>
    <x v="15"/>
    <x v="35"/>
    <x v="0"/>
    <x v="0"/>
    <m/>
    <x v="0"/>
    <x v="0"/>
    <x v="4"/>
    <x v="0"/>
    <x v="1"/>
    <x v="1"/>
    <x v="6"/>
    <x v="0"/>
    <x v="4"/>
    <x v="7"/>
    <x v="8"/>
    <x v="1"/>
    <x v="3"/>
    <x v="9"/>
    <x v="0"/>
    <x v="0"/>
    <x v="0"/>
    <n v="34"/>
    <x v="0"/>
    <x v="0"/>
    <x v="0"/>
  </r>
  <r>
    <s v="62a33fa5cec54911e9ca51f1"/>
    <s v="anonymous"/>
    <x v="0"/>
    <x v="16"/>
    <x v="36"/>
    <x v="0"/>
    <x v="0"/>
    <m/>
    <x v="0"/>
    <x v="0"/>
    <x v="0"/>
    <x v="0"/>
    <x v="1"/>
    <x v="1"/>
    <x v="2"/>
    <x v="2"/>
    <x v="8"/>
    <x v="3"/>
    <x v="4"/>
    <x v="0"/>
    <x v="7"/>
    <x v="10"/>
    <x v="0"/>
    <x v="2"/>
    <x v="0"/>
    <n v="42"/>
    <x v="2"/>
    <x v="0"/>
    <x v="4"/>
  </r>
  <r>
    <s v="62a33fcb575fa3a5ae88ad59"/>
    <s v="anonymous"/>
    <x v="0"/>
    <x v="16"/>
    <x v="37"/>
    <x v="0"/>
    <x v="0"/>
    <m/>
    <x v="0"/>
    <x v="0"/>
    <x v="4"/>
    <x v="0"/>
    <x v="2"/>
    <x v="2"/>
    <x v="2"/>
    <x v="3"/>
    <x v="2"/>
    <x v="7"/>
    <x v="10"/>
    <x v="10"/>
    <x v="3"/>
    <x v="9"/>
    <x v="3"/>
    <x v="0"/>
    <x v="1"/>
    <n v="40"/>
    <x v="0"/>
    <x v="0"/>
    <x v="1"/>
  </r>
  <r>
    <s v="62a33fcf18134ddc75ce91c3"/>
    <s v="anonymous"/>
    <x v="0"/>
    <x v="16"/>
    <x v="38"/>
    <x v="0"/>
    <x v="0"/>
    <m/>
    <x v="0"/>
    <x v="0"/>
    <x v="4"/>
    <x v="1"/>
    <x v="1"/>
    <x v="1"/>
    <x v="3"/>
    <x v="0"/>
    <x v="6"/>
    <x v="9"/>
    <x v="3"/>
    <x v="3"/>
    <x v="3"/>
    <x v="1"/>
    <x v="1"/>
    <x v="1"/>
    <x v="0"/>
    <n v="43"/>
    <x v="2"/>
    <x v="0"/>
    <x v="0"/>
  </r>
  <r>
    <s v="62a34006d8c00e9f5419d341"/>
    <s v="anonymous"/>
    <x v="0"/>
    <x v="17"/>
    <x v="39"/>
    <x v="0"/>
    <x v="0"/>
    <m/>
    <x v="0"/>
    <x v="0"/>
    <x v="4"/>
    <x v="0"/>
    <x v="2"/>
    <x v="2"/>
    <x v="6"/>
    <x v="0"/>
    <x v="2"/>
    <x v="7"/>
    <x v="10"/>
    <x v="10"/>
    <x v="3"/>
    <x v="9"/>
    <x v="0"/>
    <x v="2"/>
    <x v="0"/>
    <n v="23"/>
    <x v="2"/>
    <x v="0"/>
    <x v="4"/>
  </r>
  <r>
    <s v="62a34020575fa3a5ae88ade0"/>
    <s v="anonymous"/>
    <x v="0"/>
    <x v="18"/>
    <x v="40"/>
    <x v="0"/>
    <x v="0"/>
    <m/>
    <x v="0"/>
    <x v="0"/>
    <x v="4"/>
    <x v="0"/>
    <x v="2"/>
    <x v="2"/>
    <x v="5"/>
    <x v="0"/>
    <x v="8"/>
    <x v="6"/>
    <x v="3"/>
    <x v="0"/>
    <x v="8"/>
    <x v="10"/>
    <x v="3"/>
    <x v="2"/>
    <x v="0"/>
    <n v="23"/>
    <x v="2"/>
    <x v="0"/>
    <x v="1"/>
  </r>
  <r>
    <s v="62a34038b4da29969c62eafe"/>
    <s v="anonymous"/>
    <x v="0"/>
    <x v="18"/>
    <x v="41"/>
    <x v="0"/>
    <x v="0"/>
    <m/>
    <x v="0"/>
    <x v="0"/>
    <x v="0"/>
    <x v="0"/>
    <x v="5"/>
    <x v="5"/>
    <x v="2"/>
    <x v="0"/>
    <x v="10"/>
    <x v="3"/>
    <x v="8"/>
    <x v="4"/>
    <x v="5"/>
    <x v="0"/>
    <x v="4"/>
    <x v="4"/>
    <x v="0"/>
    <n v="28"/>
    <x v="0"/>
    <x v="0"/>
    <x v="0"/>
  </r>
  <r>
    <s v="62a3406b575fa3a5ae88ae78"/>
    <s v="anonymous"/>
    <x v="0"/>
    <x v="19"/>
    <x v="7"/>
    <x v="0"/>
    <x v="0"/>
    <m/>
    <x v="0"/>
    <x v="0"/>
    <x v="0"/>
    <x v="1"/>
    <x v="6"/>
    <x v="6"/>
    <x v="1"/>
    <x v="2"/>
    <x v="8"/>
    <x v="10"/>
    <x v="9"/>
    <x v="9"/>
    <x v="3"/>
    <x v="8"/>
    <x v="4"/>
    <x v="2"/>
    <x v="0"/>
    <n v="32"/>
    <x v="0"/>
    <x v="0"/>
    <x v="0"/>
  </r>
  <r>
    <s v="62a340cab4da29969c62ec01"/>
    <s v="anonymous"/>
    <x v="0"/>
    <x v="20"/>
    <x v="42"/>
    <x v="0"/>
    <x v="0"/>
    <m/>
    <x v="0"/>
    <x v="0"/>
    <x v="0"/>
    <x v="0"/>
    <x v="6"/>
    <x v="6"/>
    <x v="2"/>
    <x v="1"/>
    <x v="7"/>
    <x v="2"/>
    <x v="6"/>
    <x v="6"/>
    <x v="10"/>
    <x v="6"/>
    <x v="3"/>
    <x v="0"/>
    <x v="1"/>
    <n v="41"/>
    <x v="0"/>
    <x v="0"/>
    <x v="0"/>
  </r>
  <r>
    <s v="62a340d62e54c9003e5324b4"/>
    <s v="anonymous"/>
    <x v="0"/>
    <x v="20"/>
    <x v="34"/>
    <x v="0"/>
    <x v="0"/>
    <m/>
    <x v="0"/>
    <x v="0"/>
    <x v="0"/>
    <x v="0"/>
    <x v="1"/>
    <x v="1"/>
    <x v="1"/>
    <x v="0"/>
    <x v="8"/>
    <x v="3"/>
    <x v="4"/>
    <x v="5"/>
    <x v="5"/>
    <x v="10"/>
    <x v="4"/>
    <x v="0"/>
    <x v="0"/>
    <n v="33"/>
    <x v="3"/>
    <x v="1"/>
    <x v="0"/>
  </r>
  <r>
    <s v="62a340e10a77c1a77f65c2e7"/>
    <s v="anonymous"/>
    <x v="0"/>
    <x v="20"/>
    <x v="43"/>
    <x v="0"/>
    <x v="0"/>
    <m/>
    <x v="0"/>
    <x v="0"/>
    <x v="2"/>
    <x v="0"/>
    <x v="3"/>
    <x v="3"/>
    <x v="4"/>
    <x v="0"/>
    <x v="3"/>
    <x v="2"/>
    <x v="7"/>
    <x v="6"/>
    <x v="6"/>
    <x v="2"/>
    <x v="1"/>
    <x v="1"/>
    <x v="0"/>
    <n v="38"/>
    <x v="0"/>
    <x v="0"/>
    <x v="3"/>
  </r>
  <r>
    <s v="62a340f5bc6861bf3176caa4"/>
    <s v="anonymous"/>
    <x v="0"/>
    <x v="20"/>
    <x v="38"/>
    <x v="0"/>
    <x v="0"/>
    <m/>
    <x v="0"/>
    <x v="0"/>
    <x v="0"/>
    <x v="1"/>
    <x v="2"/>
    <x v="2"/>
    <x v="4"/>
    <x v="2"/>
    <x v="10"/>
    <x v="2"/>
    <x v="5"/>
    <x v="6"/>
    <x v="0"/>
    <x v="2"/>
    <x v="1"/>
    <x v="2"/>
    <x v="1"/>
    <n v="22"/>
    <x v="4"/>
    <x v="0"/>
    <x v="4"/>
  </r>
  <r>
    <s v="62a34117cec54911e9ca54e7"/>
    <s v="anonymous"/>
    <x v="0"/>
    <x v="21"/>
    <x v="44"/>
    <x v="0"/>
    <x v="0"/>
    <m/>
    <x v="0"/>
    <x v="0"/>
    <x v="4"/>
    <x v="0"/>
    <x v="2"/>
    <x v="2"/>
    <x v="2"/>
    <x v="1"/>
    <x v="1"/>
    <x v="5"/>
    <x v="4"/>
    <x v="5"/>
    <x v="5"/>
    <x v="6"/>
    <x v="3"/>
    <x v="0"/>
    <x v="0"/>
    <n v="36"/>
    <x v="2"/>
    <x v="2"/>
    <x v="2"/>
  </r>
  <r>
    <s v="62a3413a5d257a28a30d8074"/>
    <s v="anonymous"/>
    <x v="0"/>
    <x v="21"/>
    <x v="45"/>
    <x v="0"/>
    <x v="0"/>
    <m/>
    <x v="0"/>
    <x v="0"/>
    <x v="1"/>
    <x v="1"/>
    <x v="6"/>
    <x v="6"/>
    <x v="1"/>
    <x v="0"/>
    <x v="4"/>
    <x v="9"/>
    <x v="9"/>
    <x v="9"/>
    <x v="4"/>
    <x v="0"/>
    <x v="1"/>
    <x v="0"/>
    <x v="1"/>
    <n v="28"/>
    <x v="0"/>
    <x v="3"/>
    <x v="1"/>
  </r>
  <r>
    <s v="62a341a1f3072dd8926229a5"/>
    <s v="anonymous"/>
    <x v="0"/>
    <x v="22"/>
    <x v="46"/>
    <x v="0"/>
    <x v="0"/>
    <m/>
    <x v="0"/>
    <x v="0"/>
    <x v="4"/>
    <x v="0"/>
    <x v="2"/>
    <x v="2"/>
    <x v="2"/>
    <x v="2"/>
    <x v="11"/>
    <x v="11"/>
    <x v="11"/>
    <x v="11"/>
    <x v="11"/>
    <x v="0"/>
    <x v="2"/>
    <x v="4"/>
    <x v="0"/>
    <n v="30"/>
    <x v="2"/>
    <x v="0"/>
    <x v="4"/>
  </r>
  <r>
    <s v="62a341b0f8f7561645852d1d"/>
    <s v="anonymous"/>
    <x v="0"/>
    <x v="22"/>
    <x v="47"/>
    <x v="0"/>
    <x v="0"/>
    <m/>
    <x v="0"/>
    <x v="0"/>
    <x v="0"/>
    <x v="0"/>
    <x v="6"/>
    <x v="6"/>
    <x v="4"/>
    <x v="0"/>
    <x v="9"/>
    <x v="3"/>
    <x v="4"/>
    <x v="5"/>
    <x v="0"/>
    <x v="10"/>
    <x v="3"/>
    <x v="4"/>
    <x v="1"/>
    <n v="24"/>
    <x v="0"/>
    <x v="2"/>
    <x v="3"/>
  </r>
  <r>
    <s v="62a341e8f8d5efcc22f7d002"/>
    <s v="anonymous"/>
    <x v="0"/>
    <x v="23"/>
    <x v="48"/>
    <x v="0"/>
    <x v="0"/>
    <m/>
    <x v="0"/>
    <x v="0"/>
    <x v="2"/>
    <x v="1"/>
    <x v="1"/>
    <x v="1"/>
    <x v="2"/>
    <x v="4"/>
    <x v="6"/>
    <x v="3"/>
    <x v="0"/>
    <x v="8"/>
    <x v="3"/>
    <x v="1"/>
    <x v="0"/>
    <x v="2"/>
    <x v="0"/>
    <n v="29"/>
    <x v="0"/>
    <x v="2"/>
    <x v="0"/>
  </r>
  <r>
    <s v="62a34210cf25554317300c02"/>
    <s v="anonymous"/>
    <x v="0"/>
    <x v="24"/>
    <x v="49"/>
    <x v="0"/>
    <x v="0"/>
    <m/>
    <x v="0"/>
    <x v="0"/>
    <x v="0"/>
    <x v="1"/>
    <x v="2"/>
    <x v="2"/>
    <x v="4"/>
    <x v="0"/>
    <x v="5"/>
    <x v="0"/>
    <x v="6"/>
    <x v="7"/>
    <x v="10"/>
    <x v="2"/>
    <x v="1"/>
    <x v="2"/>
    <x v="0"/>
    <n v="29"/>
    <x v="2"/>
    <x v="4"/>
    <x v="3"/>
  </r>
  <r>
    <s v="62a3424eb4da29969c62eedd"/>
    <s v="anonymous"/>
    <x v="0"/>
    <x v="25"/>
    <x v="50"/>
    <x v="0"/>
    <x v="0"/>
    <m/>
    <x v="0"/>
    <x v="0"/>
    <x v="2"/>
    <x v="0"/>
    <x v="1"/>
    <x v="1"/>
    <x v="2"/>
    <x v="0"/>
    <x v="9"/>
    <x v="2"/>
    <x v="5"/>
    <x v="8"/>
    <x v="10"/>
    <x v="0"/>
    <x v="4"/>
    <x v="1"/>
    <x v="0"/>
    <n v="38"/>
    <x v="2"/>
    <x v="3"/>
    <x v="0"/>
  </r>
  <r>
    <s v="62a34256bae91e4b8b82f16d"/>
    <s v="anonymous"/>
    <x v="0"/>
    <x v="25"/>
    <x v="51"/>
    <x v="0"/>
    <x v="0"/>
    <m/>
    <x v="0"/>
    <x v="0"/>
    <x v="0"/>
    <x v="0"/>
    <x v="2"/>
    <x v="2"/>
    <x v="1"/>
    <x v="2"/>
    <x v="6"/>
    <x v="6"/>
    <x v="2"/>
    <x v="4"/>
    <x v="4"/>
    <x v="1"/>
    <x v="3"/>
    <x v="1"/>
    <x v="0"/>
    <n v="31"/>
    <x v="2"/>
    <x v="3"/>
    <x v="0"/>
  </r>
  <r>
    <s v="62a3426cf408bae018ed409b"/>
    <s v="anonymous"/>
    <x v="0"/>
    <x v="26"/>
    <x v="33"/>
    <x v="0"/>
    <x v="0"/>
    <m/>
    <x v="0"/>
    <x v="0"/>
    <x v="4"/>
    <x v="1"/>
    <x v="2"/>
    <x v="2"/>
    <x v="4"/>
    <x v="0"/>
    <x v="1"/>
    <x v="4"/>
    <x v="1"/>
    <x v="0"/>
    <x v="1"/>
    <x v="3"/>
    <x v="3"/>
    <x v="2"/>
    <x v="0"/>
    <n v="25"/>
    <x v="0"/>
    <x v="3"/>
    <x v="0"/>
  </r>
  <r>
    <s v="62a34272f8d5efcc22f7d15f"/>
    <s v="anonymous"/>
    <x v="0"/>
    <x v="26"/>
    <x v="52"/>
    <x v="0"/>
    <x v="0"/>
    <m/>
    <x v="0"/>
    <x v="0"/>
    <x v="0"/>
    <x v="1"/>
    <x v="6"/>
    <x v="6"/>
    <x v="3"/>
    <x v="0"/>
    <x v="5"/>
    <x v="3"/>
    <x v="2"/>
    <x v="0"/>
    <x v="7"/>
    <x v="7"/>
    <x v="4"/>
    <x v="2"/>
    <x v="0"/>
    <n v="24"/>
    <x v="0"/>
    <x v="3"/>
    <x v="0"/>
  </r>
  <r>
    <s v="62a34340bc6861bf3176d05b"/>
    <s v="anonymous"/>
    <x v="0"/>
    <x v="27"/>
    <x v="53"/>
    <x v="0"/>
    <x v="0"/>
    <m/>
    <x v="0"/>
    <x v="0"/>
    <x v="2"/>
    <x v="0"/>
    <x v="1"/>
    <x v="1"/>
    <x v="4"/>
    <x v="0"/>
    <x v="9"/>
    <x v="10"/>
    <x v="2"/>
    <x v="4"/>
    <x v="10"/>
    <x v="8"/>
    <x v="3"/>
    <x v="2"/>
    <x v="0"/>
    <n v="28"/>
    <x v="2"/>
    <x v="2"/>
    <x v="0"/>
  </r>
  <r>
    <s v="62a34383b4da29969c62f1be"/>
    <s v="anonymous"/>
    <x v="0"/>
    <x v="28"/>
    <x v="54"/>
    <x v="0"/>
    <x v="0"/>
    <m/>
    <x v="0"/>
    <x v="0"/>
    <x v="4"/>
    <x v="1"/>
    <x v="2"/>
    <x v="2"/>
    <x v="4"/>
    <x v="0"/>
    <x v="7"/>
    <x v="6"/>
    <x v="5"/>
    <x v="10"/>
    <x v="3"/>
    <x v="9"/>
    <x v="4"/>
    <x v="3"/>
    <x v="1"/>
    <n v="23"/>
    <x v="4"/>
    <x v="2"/>
    <x v="1"/>
  </r>
  <r>
    <s v="62a34389cec54911e9ca5a22"/>
    <s v="anonymous"/>
    <x v="0"/>
    <x v="28"/>
    <x v="55"/>
    <x v="0"/>
    <x v="0"/>
    <m/>
    <x v="0"/>
    <x v="0"/>
    <x v="1"/>
    <x v="1"/>
    <x v="2"/>
    <x v="2"/>
    <x v="4"/>
    <x v="1"/>
    <x v="4"/>
    <x v="5"/>
    <x v="8"/>
    <x v="0"/>
    <x v="0"/>
    <x v="0"/>
    <x v="4"/>
    <x v="0"/>
    <x v="0"/>
    <n v="21"/>
    <x v="2"/>
    <x v="3"/>
    <x v="3"/>
  </r>
  <r>
    <s v="62a343a22e54c9003e532a2a"/>
    <s v="anonymous"/>
    <x v="0"/>
    <x v="29"/>
    <x v="56"/>
    <x v="0"/>
    <x v="0"/>
    <m/>
    <x v="0"/>
    <x v="0"/>
    <x v="0"/>
    <x v="1"/>
    <x v="2"/>
    <x v="2"/>
    <x v="2"/>
    <x v="0"/>
    <x v="5"/>
    <x v="4"/>
    <x v="2"/>
    <x v="3"/>
    <x v="0"/>
    <x v="10"/>
    <x v="4"/>
    <x v="0"/>
    <x v="0"/>
    <n v="29"/>
    <x v="2"/>
    <x v="2"/>
    <x v="4"/>
  </r>
  <r>
    <s v="62a343d9f3072dd892622fe4"/>
    <s v="anonymous"/>
    <x v="0"/>
    <x v="30"/>
    <x v="57"/>
    <x v="0"/>
    <x v="0"/>
    <m/>
    <x v="0"/>
    <x v="0"/>
    <x v="0"/>
    <x v="0"/>
    <x v="1"/>
    <x v="1"/>
    <x v="4"/>
    <x v="0"/>
    <x v="8"/>
    <x v="3"/>
    <x v="0"/>
    <x v="8"/>
    <x v="2"/>
    <x v="10"/>
    <x v="3"/>
    <x v="2"/>
    <x v="0"/>
    <n v="25"/>
    <x v="0"/>
    <x v="2"/>
    <x v="1"/>
  </r>
  <r>
    <s v="62a34400d8c00e9f5419dc2b"/>
    <s v="anonymous"/>
    <x v="0"/>
    <x v="30"/>
    <x v="13"/>
    <x v="0"/>
    <x v="0"/>
    <m/>
    <x v="0"/>
    <x v="0"/>
    <x v="0"/>
    <x v="1"/>
    <x v="1"/>
    <x v="1"/>
    <x v="4"/>
    <x v="0"/>
    <x v="9"/>
    <x v="3"/>
    <x v="4"/>
    <x v="5"/>
    <x v="4"/>
    <x v="5"/>
    <x v="3"/>
    <x v="3"/>
    <x v="0"/>
    <n v="27"/>
    <x v="2"/>
    <x v="3"/>
    <x v="2"/>
  </r>
  <r>
    <s v="62a34425f8d5efcc22f7d525"/>
    <s v="anonymous"/>
    <x v="0"/>
    <x v="31"/>
    <x v="58"/>
    <x v="0"/>
    <x v="0"/>
    <m/>
    <x v="0"/>
    <x v="0"/>
    <x v="0"/>
    <x v="0"/>
    <x v="1"/>
    <x v="1"/>
    <x v="4"/>
    <x v="0"/>
    <x v="6"/>
    <x v="0"/>
    <x v="6"/>
    <x v="6"/>
    <x v="10"/>
    <x v="6"/>
    <x v="1"/>
    <x v="2"/>
    <x v="0"/>
    <n v="23"/>
    <x v="4"/>
    <x v="2"/>
    <x v="1"/>
  </r>
  <r>
    <s v="62a34449575fa3a5ae88b637"/>
    <s v="anonymous"/>
    <x v="0"/>
    <x v="31"/>
    <x v="59"/>
    <x v="0"/>
    <x v="0"/>
    <m/>
    <x v="0"/>
    <x v="0"/>
    <x v="2"/>
    <x v="1"/>
    <x v="5"/>
    <x v="5"/>
    <x v="2"/>
    <x v="1"/>
    <x v="5"/>
    <x v="5"/>
    <x v="3"/>
    <x v="0"/>
    <x v="0"/>
    <x v="5"/>
    <x v="3"/>
    <x v="2"/>
    <x v="0"/>
    <n v="32"/>
    <x v="0"/>
    <x v="3"/>
    <x v="1"/>
  </r>
  <r>
    <s v="62a3445dcf255543173011e1"/>
    <s v="anonymous"/>
    <x v="0"/>
    <x v="32"/>
    <x v="60"/>
    <x v="0"/>
    <x v="0"/>
    <m/>
    <x v="0"/>
    <x v="0"/>
    <x v="4"/>
    <x v="0"/>
    <x v="0"/>
    <x v="0"/>
    <x v="0"/>
    <x v="0"/>
    <x v="8"/>
    <x v="6"/>
    <x v="0"/>
    <x v="0"/>
    <x v="2"/>
    <x v="0"/>
    <x v="4"/>
    <x v="0"/>
    <x v="0"/>
    <n v="22"/>
    <x v="4"/>
    <x v="2"/>
    <x v="1"/>
  </r>
  <r>
    <s v="62a3447a575fa3a5ae88b6c0"/>
    <s v="anonymous"/>
    <x v="0"/>
    <x v="32"/>
    <x v="61"/>
    <x v="0"/>
    <x v="0"/>
    <m/>
    <x v="0"/>
    <x v="0"/>
    <x v="0"/>
    <x v="1"/>
    <x v="2"/>
    <x v="2"/>
    <x v="4"/>
    <x v="0"/>
    <x v="4"/>
    <x v="0"/>
    <x v="7"/>
    <x v="6"/>
    <x v="5"/>
    <x v="4"/>
    <x v="1"/>
    <x v="2"/>
    <x v="0"/>
    <n v="25"/>
    <x v="2"/>
    <x v="2"/>
    <x v="1"/>
  </r>
  <r>
    <s v="62a3449f7dc029e2d66bf5d1"/>
    <s v="anonymous"/>
    <x v="0"/>
    <x v="33"/>
    <x v="6"/>
    <x v="0"/>
    <x v="0"/>
    <m/>
    <x v="0"/>
    <x v="0"/>
    <x v="0"/>
    <x v="0"/>
    <x v="2"/>
    <x v="2"/>
    <x v="3"/>
    <x v="0"/>
    <x v="4"/>
    <x v="2"/>
    <x v="4"/>
    <x v="5"/>
    <x v="0"/>
    <x v="5"/>
    <x v="4"/>
    <x v="0"/>
    <x v="1"/>
    <n v="36"/>
    <x v="2"/>
    <x v="3"/>
    <x v="0"/>
  </r>
  <r>
    <s v="62a344c5f408bae018ed4806"/>
    <s v="anonymous"/>
    <x v="0"/>
    <x v="34"/>
    <x v="23"/>
    <x v="0"/>
    <x v="0"/>
    <m/>
    <x v="0"/>
    <x v="0"/>
    <x v="0"/>
    <x v="0"/>
    <x v="0"/>
    <x v="0"/>
    <x v="4"/>
    <x v="2"/>
    <x v="3"/>
    <x v="3"/>
    <x v="7"/>
    <x v="0"/>
    <x v="6"/>
    <x v="0"/>
    <x v="1"/>
    <x v="1"/>
    <x v="1"/>
    <n v="27"/>
    <x v="0"/>
    <x v="2"/>
    <x v="0"/>
  </r>
  <r>
    <s v="62a344c6f8d5efcc22f7d6e1"/>
    <s v="anonymous"/>
    <x v="0"/>
    <x v="34"/>
    <x v="62"/>
    <x v="0"/>
    <x v="0"/>
    <m/>
    <x v="0"/>
    <x v="0"/>
    <x v="2"/>
    <x v="0"/>
    <x v="2"/>
    <x v="2"/>
    <x v="4"/>
    <x v="0"/>
    <x v="8"/>
    <x v="6"/>
    <x v="1"/>
    <x v="0"/>
    <x v="0"/>
    <x v="3"/>
    <x v="4"/>
    <x v="4"/>
    <x v="0"/>
    <n v="23"/>
    <x v="4"/>
    <x v="2"/>
    <x v="1"/>
  </r>
  <r>
    <s v="62a344e1f3072dd892623328"/>
    <s v="anonymous"/>
    <x v="0"/>
    <x v="34"/>
    <x v="63"/>
    <x v="0"/>
    <x v="0"/>
    <m/>
    <x v="0"/>
    <x v="0"/>
    <x v="4"/>
    <x v="0"/>
    <x v="2"/>
    <x v="2"/>
    <x v="4"/>
    <x v="2"/>
    <x v="4"/>
    <x v="5"/>
    <x v="3"/>
    <x v="4"/>
    <x v="4"/>
    <x v="10"/>
    <x v="0"/>
    <x v="2"/>
    <x v="0"/>
    <n v="26"/>
    <x v="2"/>
    <x v="2"/>
    <x v="2"/>
  </r>
  <r>
    <s v="62a3450424a262602738357f"/>
    <s v="anonymous"/>
    <x v="0"/>
    <x v="35"/>
    <x v="64"/>
    <x v="0"/>
    <x v="0"/>
    <m/>
    <x v="0"/>
    <x v="0"/>
    <x v="2"/>
    <x v="1"/>
    <x v="5"/>
    <x v="5"/>
    <x v="0"/>
    <x v="0"/>
    <x v="0"/>
    <x v="8"/>
    <x v="6"/>
    <x v="2"/>
    <x v="9"/>
    <x v="2"/>
    <x v="2"/>
    <x v="1"/>
    <x v="1"/>
    <n v="33"/>
    <x v="0"/>
    <x v="5"/>
    <x v="3"/>
  </r>
  <r>
    <s v="62a3452818134ddc75ce9e1b"/>
    <s v="anonymous"/>
    <x v="0"/>
    <x v="35"/>
    <x v="33"/>
    <x v="0"/>
    <x v="0"/>
    <m/>
    <x v="0"/>
    <x v="0"/>
    <x v="0"/>
    <x v="0"/>
    <x v="0"/>
    <x v="0"/>
    <x v="2"/>
    <x v="0"/>
    <x v="6"/>
    <x v="6"/>
    <x v="3"/>
    <x v="4"/>
    <x v="0"/>
    <x v="5"/>
    <x v="1"/>
    <x v="2"/>
    <x v="0"/>
    <n v="27"/>
    <x v="2"/>
    <x v="3"/>
    <x v="0"/>
  </r>
  <r>
    <s v="62a345490a77c1a77f65cc5b"/>
    <s v="anonymous"/>
    <x v="0"/>
    <x v="36"/>
    <x v="27"/>
    <x v="0"/>
    <x v="0"/>
    <m/>
    <x v="0"/>
    <x v="0"/>
    <x v="0"/>
    <x v="0"/>
    <x v="1"/>
    <x v="1"/>
    <x v="5"/>
    <x v="1"/>
    <x v="6"/>
    <x v="3"/>
    <x v="1"/>
    <x v="3"/>
    <x v="4"/>
    <x v="7"/>
    <x v="4"/>
    <x v="2"/>
    <x v="0"/>
    <n v="42"/>
    <x v="0"/>
    <x v="4"/>
    <x v="0"/>
  </r>
  <r>
    <s v="62a3455bbc6861bf3176d57a"/>
    <s v="anonymous"/>
    <x v="0"/>
    <x v="36"/>
    <x v="59"/>
    <x v="0"/>
    <x v="0"/>
    <m/>
    <x v="0"/>
    <x v="0"/>
    <x v="0"/>
    <x v="0"/>
    <x v="2"/>
    <x v="2"/>
    <x v="4"/>
    <x v="0"/>
    <x v="9"/>
    <x v="10"/>
    <x v="5"/>
    <x v="8"/>
    <x v="2"/>
    <x v="8"/>
    <x v="1"/>
    <x v="1"/>
    <x v="0"/>
    <n v="29"/>
    <x v="2"/>
    <x v="3"/>
    <x v="0"/>
  </r>
  <r>
    <s v="62a3457bf8d5efcc22f7da17"/>
    <s v="anonymous"/>
    <x v="0"/>
    <x v="37"/>
    <x v="65"/>
    <x v="0"/>
    <x v="0"/>
    <m/>
    <x v="0"/>
    <x v="0"/>
    <x v="0"/>
    <x v="1"/>
    <x v="4"/>
    <x v="4"/>
    <x v="4"/>
    <x v="0"/>
    <x v="5"/>
    <x v="10"/>
    <x v="4"/>
    <x v="3"/>
    <x v="8"/>
    <x v="7"/>
    <x v="1"/>
    <x v="2"/>
    <x v="1"/>
    <n v="27"/>
    <x v="0"/>
    <x v="3"/>
    <x v="1"/>
  </r>
  <r>
    <s v="62a345b2bae91e4b8b82fad6"/>
    <s v="anonymous"/>
    <x v="0"/>
    <x v="37"/>
    <x v="66"/>
    <x v="0"/>
    <x v="0"/>
    <m/>
    <x v="0"/>
    <x v="0"/>
    <x v="4"/>
    <x v="1"/>
    <x v="1"/>
    <x v="1"/>
    <x v="0"/>
    <x v="0"/>
    <x v="2"/>
    <x v="8"/>
    <x v="6"/>
    <x v="2"/>
    <x v="7"/>
    <x v="4"/>
    <x v="4"/>
    <x v="0"/>
    <x v="1"/>
    <n v="39"/>
    <x v="0"/>
    <x v="2"/>
    <x v="3"/>
  </r>
  <r>
    <s v="62a345c47dc029e2d66bf80a"/>
    <s v="anonymous"/>
    <x v="0"/>
    <x v="38"/>
    <x v="67"/>
    <x v="0"/>
    <x v="0"/>
    <m/>
    <x v="0"/>
    <x v="0"/>
    <x v="0"/>
    <x v="0"/>
    <x v="1"/>
    <x v="1"/>
    <x v="3"/>
    <x v="0"/>
    <x v="9"/>
    <x v="3"/>
    <x v="0"/>
    <x v="0"/>
    <x v="5"/>
    <x v="0"/>
    <x v="3"/>
    <x v="3"/>
    <x v="0"/>
    <n v="31"/>
    <x v="2"/>
    <x v="3"/>
    <x v="0"/>
  </r>
  <r>
    <s v="62a345e25d257a28a30d8b43"/>
    <s v="anonymous"/>
    <x v="0"/>
    <x v="38"/>
    <x v="68"/>
    <x v="0"/>
    <x v="0"/>
    <m/>
    <x v="0"/>
    <x v="0"/>
    <x v="0"/>
    <x v="0"/>
    <x v="6"/>
    <x v="6"/>
    <x v="2"/>
    <x v="0"/>
    <x v="7"/>
    <x v="10"/>
    <x v="1"/>
    <x v="7"/>
    <x v="2"/>
    <x v="8"/>
    <x v="1"/>
    <x v="1"/>
    <x v="0"/>
    <n v="29"/>
    <x v="2"/>
    <x v="2"/>
    <x v="3"/>
  </r>
  <r>
    <s v="62a34646f8d5efcc22f7dc5c"/>
    <s v="anonymous"/>
    <x v="0"/>
    <x v="39"/>
    <x v="69"/>
    <x v="0"/>
    <x v="0"/>
    <m/>
    <x v="0"/>
    <x v="0"/>
    <x v="0"/>
    <x v="0"/>
    <x v="6"/>
    <x v="6"/>
    <x v="5"/>
    <x v="1"/>
    <x v="7"/>
    <x v="10"/>
    <x v="0"/>
    <x v="8"/>
    <x v="7"/>
    <x v="0"/>
    <x v="1"/>
    <x v="0"/>
    <x v="0"/>
    <n v="31"/>
    <x v="0"/>
    <x v="3"/>
    <x v="0"/>
  </r>
  <r>
    <s v="62a34687f408bae018ed4c52"/>
    <s v="anonymous"/>
    <x v="0"/>
    <x v="40"/>
    <x v="1"/>
    <x v="0"/>
    <x v="0"/>
    <m/>
    <x v="0"/>
    <x v="0"/>
    <x v="0"/>
    <x v="0"/>
    <x v="2"/>
    <x v="2"/>
    <x v="1"/>
    <x v="0"/>
    <x v="3"/>
    <x v="0"/>
    <x v="7"/>
    <x v="2"/>
    <x v="10"/>
    <x v="2"/>
    <x v="4"/>
    <x v="3"/>
    <x v="0"/>
    <n v="30"/>
    <x v="2"/>
    <x v="3"/>
    <x v="3"/>
  </r>
  <r>
    <s v="62a346a37dc029e2d66bfa6d"/>
    <s v="anonymous"/>
    <x v="0"/>
    <x v="40"/>
    <x v="70"/>
    <x v="0"/>
    <x v="0"/>
    <m/>
    <x v="0"/>
    <x v="0"/>
    <x v="1"/>
    <x v="0"/>
    <x v="2"/>
    <x v="2"/>
    <x v="4"/>
    <x v="0"/>
    <x v="7"/>
    <x v="2"/>
    <x v="4"/>
    <x v="0"/>
    <x v="0"/>
    <x v="6"/>
    <x v="3"/>
    <x v="2"/>
    <x v="0"/>
    <n v="33"/>
    <x v="2"/>
    <x v="3"/>
    <x v="3"/>
  </r>
  <r>
    <s v="62a346a95d257a28a30d8cb9"/>
    <s v="anonymous"/>
    <x v="0"/>
    <x v="41"/>
    <x v="71"/>
    <x v="0"/>
    <x v="0"/>
    <m/>
    <x v="0"/>
    <x v="0"/>
    <x v="0"/>
    <x v="1"/>
    <x v="6"/>
    <x v="6"/>
    <x v="2"/>
    <x v="0"/>
    <x v="7"/>
    <x v="2"/>
    <x v="7"/>
    <x v="8"/>
    <x v="2"/>
    <x v="0"/>
    <x v="4"/>
    <x v="2"/>
    <x v="0"/>
    <n v="25"/>
    <x v="0"/>
    <x v="2"/>
    <x v="0"/>
  </r>
  <r>
    <s v="62a346b4bc6861bf3176d7ce"/>
    <s v="anonymous"/>
    <x v="0"/>
    <x v="41"/>
    <x v="52"/>
    <x v="0"/>
    <x v="0"/>
    <m/>
    <x v="0"/>
    <x v="0"/>
    <x v="4"/>
    <x v="1"/>
    <x v="2"/>
    <x v="2"/>
    <x v="4"/>
    <x v="1"/>
    <x v="2"/>
    <x v="7"/>
    <x v="10"/>
    <x v="10"/>
    <x v="3"/>
    <x v="9"/>
    <x v="4"/>
    <x v="1"/>
    <x v="0"/>
    <n v="23"/>
    <x v="4"/>
    <x v="2"/>
    <x v="4"/>
  </r>
  <r>
    <s v="62a346cef8f756164585385b"/>
    <s v="anonymous"/>
    <x v="0"/>
    <x v="41"/>
    <x v="4"/>
    <x v="0"/>
    <x v="0"/>
    <m/>
    <x v="0"/>
    <x v="0"/>
    <x v="0"/>
    <x v="0"/>
    <x v="1"/>
    <x v="1"/>
    <x v="2"/>
    <x v="2"/>
    <x v="5"/>
    <x v="4"/>
    <x v="3"/>
    <x v="4"/>
    <x v="0"/>
    <x v="10"/>
    <x v="0"/>
    <x v="2"/>
    <x v="0"/>
    <n v="33"/>
    <x v="0"/>
    <x v="2"/>
    <x v="1"/>
  </r>
  <r>
    <s v="62a346d724a2626027383abd"/>
    <s v="anonymous"/>
    <x v="0"/>
    <x v="41"/>
    <x v="72"/>
    <x v="0"/>
    <x v="0"/>
    <m/>
    <x v="0"/>
    <x v="0"/>
    <x v="2"/>
    <x v="0"/>
    <x v="6"/>
    <x v="6"/>
    <x v="2"/>
    <x v="0"/>
    <x v="7"/>
    <x v="0"/>
    <x v="7"/>
    <x v="6"/>
    <x v="6"/>
    <x v="6"/>
    <x v="4"/>
    <x v="1"/>
    <x v="0"/>
    <n v="35"/>
    <x v="2"/>
    <x v="2"/>
    <x v="3"/>
  </r>
  <r>
    <s v="62a346d90a77c1a77f65d08d"/>
    <s v="anonymous"/>
    <x v="0"/>
    <x v="41"/>
    <x v="39"/>
    <x v="0"/>
    <x v="0"/>
    <m/>
    <x v="0"/>
    <x v="0"/>
    <x v="0"/>
    <x v="1"/>
    <x v="1"/>
    <x v="1"/>
    <x v="2"/>
    <x v="0"/>
    <x v="9"/>
    <x v="2"/>
    <x v="1"/>
    <x v="11"/>
    <x v="5"/>
    <x v="6"/>
    <x v="4"/>
    <x v="0"/>
    <x v="1"/>
    <n v="42"/>
    <x v="2"/>
    <x v="3"/>
    <x v="0"/>
  </r>
  <r>
    <s v="62a34726f8d5efcc22f7dec7"/>
    <s v="anonymous"/>
    <x v="0"/>
    <x v="42"/>
    <x v="73"/>
    <x v="0"/>
    <x v="0"/>
    <m/>
    <x v="0"/>
    <x v="0"/>
    <x v="0"/>
    <x v="1"/>
    <x v="6"/>
    <x v="6"/>
    <x v="4"/>
    <x v="0"/>
    <x v="6"/>
    <x v="4"/>
    <x v="8"/>
    <x v="9"/>
    <x v="3"/>
    <x v="7"/>
    <x v="4"/>
    <x v="2"/>
    <x v="0"/>
    <n v="25"/>
    <x v="0"/>
    <x v="2"/>
    <x v="0"/>
  </r>
  <r>
    <s v="62a3476c5d257a28a30d8e6d"/>
    <s v="anonymous"/>
    <x v="0"/>
    <x v="43"/>
    <x v="74"/>
    <x v="0"/>
    <x v="0"/>
    <m/>
    <x v="0"/>
    <x v="0"/>
    <x v="0"/>
    <x v="1"/>
    <x v="5"/>
    <x v="5"/>
    <x v="2"/>
    <x v="0"/>
    <x v="8"/>
    <x v="4"/>
    <x v="1"/>
    <x v="3"/>
    <x v="4"/>
    <x v="10"/>
    <x v="4"/>
    <x v="4"/>
    <x v="0"/>
    <n v="23"/>
    <x v="0"/>
    <x v="2"/>
    <x v="0"/>
  </r>
  <r>
    <s v="62a347b4f8f7561645853a98"/>
    <s v="anonymous"/>
    <x v="0"/>
    <x v="44"/>
    <x v="75"/>
    <x v="0"/>
    <x v="0"/>
    <m/>
    <x v="0"/>
    <x v="0"/>
    <x v="2"/>
    <x v="1"/>
    <x v="1"/>
    <x v="1"/>
    <x v="0"/>
    <x v="3"/>
    <x v="4"/>
    <x v="4"/>
    <x v="4"/>
    <x v="0"/>
    <x v="4"/>
    <x v="7"/>
    <x v="1"/>
    <x v="2"/>
    <x v="1"/>
    <n v="51"/>
    <x v="0"/>
    <x v="2"/>
    <x v="2"/>
  </r>
  <r>
    <s v="62a347f6b4da29969c62fb79"/>
    <s v="anonymous"/>
    <x v="0"/>
    <x v="45"/>
    <x v="76"/>
    <x v="0"/>
    <x v="0"/>
    <m/>
    <x v="0"/>
    <x v="0"/>
    <x v="0"/>
    <x v="1"/>
    <x v="2"/>
    <x v="2"/>
    <x v="3"/>
    <x v="2"/>
    <x v="1"/>
    <x v="4"/>
    <x v="2"/>
    <x v="4"/>
    <x v="8"/>
    <x v="10"/>
    <x v="0"/>
    <x v="2"/>
    <x v="0"/>
    <n v="30"/>
    <x v="3"/>
    <x v="2"/>
    <x v="2"/>
  </r>
  <r>
    <s v="62a3483018134ddc75cea4e6"/>
    <s v="anonymous"/>
    <x v="0"/>
    <x v="46"/>
    <x v="66"/>
    <x v="0"/>
    <x v="0"/>
    <m/>
    <x v="0"/>
    <x v="0"/>
    <x v="0"/>
    <x v="0"/>
    <x v="1"/>
    <x v="1"/>
    <x v="1"/>
    <x v="0"/>
    <x v="10"/>
    <x v="0"/>
    <x v="7"/>
    <x v="7"/>
    <x v="10"/>
    <x v="8"/>
    <x v="0"/>
    <x v="2"/>
    <x v="0"/>
    <n v="23"/>
    <x v="4"/>
    <x v="2"/>
    <x v="1"/>
  </r>
  <r>
    <s v="62a348650f8c8599d5af2b77"/>
    <s v="anonymous"/>
    <x v="0"/>
    <x v="47"/>
    <x v="15"/>
    <x v="0"/>
    <x v="0"/>
    <m/>
    <x v="0"/>
    <x v="0"/>
    <x v="2"/>
    <x v="0"/>
    <x v="1"/>
    <x v="1"/>
    <x v="2"/>
    <x v="1"/>
    <x v="6"/>
    <x v="6"/>
    <x v="1"/>
    <x v="5"/>
    <x v="4"/>
    <x v="7"/>
    <x v="4"/>
    <x v="2"/>
    <x v="0"/>
    <n v="24"/>
    <x v="1"/>
    <x v="2"/>
    <x v="1"/>
  </r>
  <r>
    <s v="62a3489318134ddc75cea659"/>
    <s v="anonymous"/>
    <x v="0"/>
    <x v="48"/>
    <x v="15"/>
    <x v="0"/>
    <x v="0"/>
    <m/>
    <x v="0"/>
    <x v="0"/>
    <x v="4"/>
    <x v="0"/>
    <x v="1"/>
    <x v="1"/>
    <x v="4"/>
    <x v="0"/>
    <x v="9"/>
    <x v="3"/>
    <x v="4"/>
    <x v="5"/>
    <x v="5"/>
    <x v="10"/>
    <x v="1"/>
    <x v="3"/>
    <x v="0"/>
    <n v="25"/>
    <x v="2"/>
    <x v="3"/>
    <x v="1"/>
  </r>
  <r>
    <s v="62a348bf2e54c9003e533634"/>
    <s v="anonymous"/>
    <x v="0"/>
    <x v="48"/>
    <x v="77"/>
    <x v="0"/>
    <x v="0"/>
    <m/>
    <x v="0"/>
    <x v="0"/>
    <x v="0"/>
    <x v="0"/>
    <x v="1"/>
    <x v="1"/>
    <x v="1"/>
    <x v="0"/>
    <x v="5"/>
    <x v="4"/>
    <x v="4"/>
    <x v="3"/>
    <x v="0"/>
    <x v="10"/>
    <x v="3"/>
    <x v="2"/>
    <x v="1"/>
    <n v="55"/>
    <x v="0"/>
    <x v="3"/>
    <x v="4"/>
  </r>
  <r>
    <s v="62a348c2f3072dd892623c10"/>
    <s v="anonymous"/>
    <x v="0"/>
    <x v="49"/>
    <x v="78"/>
    <x v="0"/>
    <x v="0"/>
    <m/>
    <x v="0"/>
    <x v="0"/>
    <x v="0"/>
    <x v="1"/>
    <x v="5"/>
    <x v="5"/>
    <x v="2"/>
    <x v="1"/>
    <x v="10"/>
    <x v="8"/>
    <x v="5"/>
    <x v="8"/>
    <x v="6"/>
    <x v="2"/>
    <x v="2"/>
    <x v="0"/>
    <x v="1"/>
    <n v="30"/>
    <x v="0"/>
    <x v="3"/>
    <x v="0"/>
  </r>
  <r>
    <s v="62a348f2f8d5efcc22f7e2ba"/>
    <s v="anonymous"/>
    <x v="0"/>
    <x v="49"/>
    <x v="79"/>
    <x v="0"/>
    <x v="0"/>
    <m/>
    <x v="0"/>
    <x v="0"/>
    <x v="0"/>
    <x v="0"/>
    <x v="1"/>
    <x v="1"/>
    <x v="2"/>
    <x v="0"/>
    <x v="0"/>
    <x v="0"/>
    <x v="7"/>
    <x v="7"/>
    <x v="2"/>
    <x v="7"/>
    <x v="3"/>
    <x v="2"/>
    <x v="0"/>
    <n v="25"/>
    <x v="1"/>
    <x v="2"/>
    <x v="1"/>
  </r>
  <r>
    <s v="62a349160a77c1a77f65d4db"/>
    <s v="anonymous"/>
    <x v="0"/>
    <x v="50"/>
    <x v="80"/>
    <x v="0"/>
    <x v="0"/>
    <m/>
    <x v="0"/>
    <x v="0"/>
    <x v="0"/>
    <x v="0"/>
    <x v="6"/>
    <x v="6"/>
    <x v="2"/>
    <x v="0"/>
    <x v="9"/>
    <x v="0"/>
    <x v="0"/>
    <x v="5"/>
    <x v="2"/>
    <x v="0"/>
    <x v="4"/>
    <x v="2"/>
    <x v="0"/>
    <n v="28"/>
    <x v="0"/>
    <x v="3"/>
    <x v="0"/>
  </r>
  <r>
    <s v="62a3493fb4da29969c62fe63"/>
    <s v="anonymous"/>
    <x v="0"/>
    <x v="51"/>
    <x v="77"/>
    <x v="0"/>
    <x v="0"/>
    <m/>
    <x v="0"/>
    <x v="0"/>
    <x v="2"/>
    <x v="0"/>
    <x v="1"/>
    <x v="1"/>
    <x v="2"/>
    <x v="0"/>
    <x v="10"/>
    <x v="2"/>
    <x v="7"/>
    <x v="7"/>
    <x v="9"/>
    <x v="2"/>
    <x v="2"/>
    <x v="2"/>
    <x v="0"/>
    <n v="34"/>
    <x v="3"/>
    <x v="2"/>
    <x v="0"/>
  </r>
  <r>
    <s v="62a3496e575fa3a5ae88c4e6"/>
    <s v="anonymous"/>
    <x v="0"/>
    <x v="51"/>
    <x v="81"/>
    <x v="0"/>
    <x v="0"/>
    <m/>
    <x v="0"/>
    <x v="0"/>
    <x v="0"/>
    <x v="0"/>
    <x v="2"/>
    <x v="2"/>
    <x v="4"/>
    <x v="0"/>
    <x v="10"/>
    <x v="8"/>
    <x v="7"/>
    <x v="7"/>
    <x v="9"/>
    <x v="8"/>
    <x v="4"/>
    <x v="2"/>
    <x v="1"/>
    <n v="28"/>
    <x v="2"/>
    <x v="2"/>
    <x v="3"/>
  </r>
  <r>
    <s v="62a3498e575fa3a5ae88c554"/>
    <s v="anonymous"/>
    <x v="0"/>
    <x v="52"/>
    <x v="82"/>
    <x v="0"/>
    <x v="0"/>
    <m/>
    <x v="0"/>
    <x v="0"/>
    <x v="4"/>
    <x v="1"/>
    <x v="2"/>
    <x v="2"/>
    <x v="2"/>
    <x v="2"/>
    <x v="7"/>
    <x v="0"/>
    <x v="0"/>
    <x v="6"/>
    <x v="6"/>
    <x v="2"/>
    <x v="4"/>
    <x v="2"/>
    <x v="0"/>
    <n v="24"/>
    <x v="2"/>
    <x v="2"/>
    <x v="1"/>
  </r>
  <r>
    <s v="62a34991b4da29969c62ff4b"/>
    <s v="anonymous"/>
    <x v="0"/>
    <x v="52"/>
    <x v="6"/>
    <x v="0"/>
    <x v="0"/>
    <m/>
    <x v="0"/>
    <x v="0"/>
    <x v="4"/>
    <x v="0"/>
    <x v="2"/>
    <x v="2"/>
    <x v="0"/>
    <x v="0"/>
    <x v="6"/>
    <x v="10"/>
    <x v="0"/>
    <x v="8"/>
    <x v="1"/>
    <x v="4"/>
    <x v="3"/>
    <x v="2"/>
    <x v="0"/>
    <n v="31"/>
    <x v="0"/>
    <x v="3"/>
    <x v="2"/>
  </r>
  <r>
    <s v="62a349bbf8f756164585400d"/>
    <s v="anonymous"/>
    <x v="0"/>
    <x v="53"/>
    <x v="24"/>
    <x v="0"/>
    <x v="0"/>
    <m/>
    <x v="0"/>
    <x v="0"/>
    <x v="0"/>
    <x v="0"/>
    <x v="1"/>
    <x v="1"/>
    <x v="2"/>
    <x v="2"/>
    <x v="6"/>
    <x v="3"/>
    <x v="4"/>
    <x v="5"/>
    <x v="7"/>
    <x v="7"/>
    <x v="1"/>
    <x v="2"/>
    <x v="0"/>
    <n v="25"/>
    <x v="1"/>
    <x v="2"/>
    <x v="1"/>
  </r>
  <r>
    <s v="62a349c7cec54911e9ca67c7"/>
    <s v="anonymous"/>
    <x v="0"/>
    <x v="53"/>
    <x v="17"/>
    <x v="0"/>
    <x v="0"/>
    <m/>
    <x v="0"/>
    <x v="0"/>
    <x v="0"/>
    <x v="0"/>
    <x v="0"/>
    <x v="0"/>
    <x v="1"/>
    <x v="0"/>
    <x v="8"/>
    <x v="9"/>
    <x v="2"/>
    <x v="4"/>
    <x v="4"/>
    <x v="7"/>
    <x v="1"/>
    <x v="2"/>
    <x v="1"/>
    <n v="38"/>
    <x v="0"/>
    <x v="2"/>
    <x v="0"/>
  </r>
  <r>
    <s v="62a349d5d8c00e9f5419ead2"/>
    <s v="anonymous"/>
    <x v="0"/>
    <x v="53"/>
    <x v="63"/>
    <x v="0"/>
    <x v="0"/>
    <m/>
    <x v="0"/>
    <x v="0"/>
    <x v="0"/>
    <x v="1"/>
    <x v="1"/>
    <x v="1"/>
    <x v="1"/>
    <x v="0"/>
    <x v="8"/>
    <x v="6"/>
    <x v="1"/>
    <x v="0"/>
    <x v="7"/>
    <x v="5"/>
    <x v="4"/>
    <x v="3"/>
    <x v="0"/>
    <n v="30"/>
    <x v="2"/>
    <x v="2"/>
    <x v="3"/>
  </r>
  <r>
    <s v="62a349e6b4da29969c63000c"/>
    <s v="anonymous"/>
    <x v="0"/>
    <x v="53"/>
    <x v="63"/>
    <x v="0"/>
    <x v="0"/>
    <m/>
    <x v="0"/>
    <x v="0"/>
    <x v="0"/>
    <x v="0"/>
    <x v="2"/>
    <x v="2"/>
    <x v="4"/>
    <x v="4"/>
    <x v="2"/>
    <x v="7"/>
    <x v="10"/>
    <x v="1"/>
    <x v="8"/>
    <x v="5"/>
    <x v="4"/>
    <x v="1"/>
    <x v="0"/>
    <n v="25"/>
    <x v="4"/>
    <x v="2"/>
    <x v="1"/>
  </r>
  <r>
    <s v="62a34a03cec54911e9ca6869"/>
    <s v="anonymous"/>
    <x v="0"/>
    <x v="54"/>
    <x v="65"/>
    <x v="0"/>
    <x v="0"/>
    <m/>
    <x v="0"/>
    <x v="0"/>
    <x v="0"/>
    <x v="0"/>
    <x v="2"/>
    <x v="2"/>
    <x v="4"/>
    <x v="0"/>
    <x v="1"/>
    <x v="1"/>
    <x v="9"/>
    <x v="0"/>
    <x v="5"/>
    <x v="10"/>
    <x v="4"/>
    <x v="2"/>
    <x v="1"/>
    <n v="29"/>
    <x v="2"/>
    <x v="2"/>
    <x v="2"/>
  </r>
  <r>
    <s v="62a34ab15d257a28a30d9589"/>
    <s v="anonymous"/>
    <x v="0"/>
    <x v="55"/>
    <x v="83"/>
    <x v="0"/>
    <x v="0"/>
    <m/>
    <x v="0"/>
    <x v="0"/>
    <x v="3"/>
    <x v="0"/>
    <x v="3"/>
    <x v="3"/>
    <x v="1"/>
    <x v="0"/>
    <x v="7"/>
    <x v="6"/>
    <x v="3"/>
    <x v="5"/>
    <x v="7"/>
    <x v="7"/>
    <x v="3"/>
    <x v="1"/>
    <x v="0"/>
    <n v="21"/>
    <x v="2"/>
    <x v="3"/>
    <x v="0"/>
  </r>
  <r>
    <s v="62a34abc0f8c8599d5af31c5"/>
    <s v="anonymous"/>
    <x v="0"/>
    <x v="55"/>
    <x v="84"/>
    <x v="0"/>
    <x v="0"/>
    <m/>
    <x v="0"/>
    <x v="0"/>
    <x v="0"/>
    <x v="0"/>
    <x v="6"/>
    <x v="6"/>
    <x v="2"/>
    <x v="2"/>
    <x v="8"/>
    <x v="2"/>
    <x v="5"/>
    <x v="8"/>
    <x v="5"/>
    <x v="0"/>
    <x v="2"/>
    <x v="0"/>
    <x v="1"/>
    <n v="39"/>
    <x v="0"/>
    <x v="2"/>
    <x v="1"/>
  </r>
  <r>
    <s v="62a34b07cec54911e9ca6b6e"/>
    <s v="anonymous"/>
    <x v="0"/>
    <x v="56"/>
    <x v="64"/>
    <x v="0"/>
    <x v="0"/>
    <m/>
    <x v="0"/>
    <x v="0"/>
    <x v="4"/>
    <x v="1"/>
    <x v="2"/>
    <x v="2"/>
    <x v="2"/>
    <x v="0"/>
    <x v="2"/>
    <x v="7"/>
    <x v="10"/>
    <x v="10"/>
    <x v="3"/>
    <x v="5"/>
    <x v="4"/>
    <x v="2"/>
    <x v="0"/>
    <n v="25"/>
    <x v="2"/>
    <x v="2"/>
    <x v="0"/>
  </r>
  <r>
    <s v="62a34b0eb4da29969c6302ce"/>
    <s v="anonymous"/>
    <x v="0"/>
    <x v="56"/>
    <x v="59"/>
    <x v="0"/>
    <x v="0"/>
    <m/>
    <x v="0"/>
    <x v="0"/>
    <x v="2"/>
    <x v="0"/>
    <x v="5"/>
    <x v="5"/>
    <x v="1"/>
    <x v="2"/>
    <x v="7"/>
    <x v="0"/>
    <x v="6"/>
    <x v="5"/>
    <x v="7"/>
    <x v="7"/>
    <x v="4"/>
    <x v="4"/>
    <x v="1"/>
    <n v="42"/>
    <x v="0"/>
    <x v="3"/>
    <x v="3"/>
  </r>
  <r>
    <s v="62a34b1b0f8c8599d5af328b"/>
    <s v="anonymous"/>
    <x v="0"/>
    <x v="57"/>
    <x v="85"/>
    <x v="0"/>
    <x v="0"/>
    <m/>
    <x v="0"/>
    <x v="0"/>
    <x v="0"/>
    <x v="1"/>
    <x v="1"/>
    <x v="1"/>
    <x v="4"/>
    <x v="1"/>
    <x v="3"/>
    <x v="2"/>
    <x v="7"/>
    <x v="2"/>
    <x v="9"/>
    <x v="2"/>
    <x v="1"/>
    <x v="2"/>
    <x v="0"/>
    <n v="25"/>
    <x v="0"/>
    <x v="2"/>
    <x v="0"/>
  </r>
  <r>
    <s v="62a34b5b5d257a28a30d96a6"/>
    <s v="anonymous"/>
    <x v="0"/>
    <x v="58"/>
    <x v="25"/>
    <x v="0"/>
    <x v="0"/>
    <m/>
    <x v="0"/>
    <x v="0"/>
    <x v="3"/>
    <x v="1"/>
    <x v="5"/>
    <x v="5"/>
    <x v="1"/>
    <x v="0"/>
    <x v="10"/>
    <x v="10"/>
    <x v="4"/>
    <x v="5"/>
    <x v="0"/>
    <x v="6"/>
    <x v="4"/>
    <x v="2"/>
    <x v="0"/>
    <n v="22"/>
    <x v="0"/>
    <x v="2"/>
    <x v="0"/>
  </r>
  <r>
    <s v="62a34b7ebae91e4b8b83076c"/>
    <s v="anonymous"/>
    <x v="0"/>
    <x v="58"/>
    <x v="50"/>
    <x v="0"/>
    <x v="0"/>
    <m/>
    <x v="0"/>
    <x v="0"/>
    <x v="0"/>
    <x v="1"/>
    <x v="2"/>
    <x v="2"/>
    <x v="2"/>
    <x v="0"/>
    <x v="1"/>
    <x v="4"/>
    <x v="2"/>
    <x v="4"/>
    <x v="11"/>
    <x v="5"/>
    <x v="1"/>
    <x v="2"/>
    <x v="0"/>
    <n v="23"/>
    <x v="2"/>
    <x v="1"/>
    <x v="3"/>
  </r>
  <r>
    <s v="62a34b99cec54911e9ca6e14"/>
    <s v="anonymous"/>
    <x v="0"/>
    <x v="59"/>
    <x v="59"/>
    <x v="0"/>
    <x v="0"/>
    <m/>
    <x v="0"/>
    <x v="0"/>
    <x v="1"/>
    <x v="0"/>
    <x v="1"/>
    <x v="1"/>
    <x v="2"/>
    <x v="3"/>
    <x v="9"/>
    <x v="3"/>
    <x v="4"/>
    <x v="5"/>
    <x v="5"/>
    <x v="10"/>
    <x v="3"/>
    <x v="3"/>
    <x v="0"/>
    <n v="25"/>
    <x v="2"/>
    <x v="1"/>
    <x v="4"/>
  </r>
  <r>
    <s v="62a34bb0f3072dd892624210"/>
    <s v="anonymous"/>
    <x v="0"/>
    <x v="59"/>
    <x v="17"/>
    <x v="0"/>
    <x v="0"/>
    <m/>
    <x v="0"/>
    <x v="0"/>
    <x v="1"/>
    <x v="0"/>
    <x v="6"/>
    <x v="6"/>
    <x v="2"/>
    <x v="0"/>
    <x v="8"/>
    <x v="10"/>
    <x v="0"/>
    <x v="5"/>
    <x v="5"/>
    <x v="0"/>
    <x v="4"/>
    <x v="2"/>
    <x v="0"/>
    <n v="45"/>
    <x v="1"/>
    <x v="3"/>
    <x v="0"/>
  </r>
  <r>
    <s v="62a34bd0cf2555431730208b"/>
    <s v="anonymous"/>
    <x v="0"/>
    <x v="60"/>
    <x v="9"/>
    <x v="0"/>
    <x v="0"/>
    <m/>
    <x v="0"/>
    <x v="0"/>
    <x v="0"/>
    <x v="0"/>
    <x v="6"/>
    <x v="6"/>
    <x v="0"/>
    <x v="2"/>
    <x v="7"/>
    <x v="5"/>
    <x v="5"/>
    <x v="5"/>
    <x v="6"/>
    <x v="8"/>
    <x v="1"/>
    <x v="1"/>
    <x v="0"/>
    <n v="24"/>
    <x v="0"/>
    <x v="2"/>
    <x v="0"/>
  </r>
  <r>
    <s v="62a34bd4f408bae018ed57bd"/>
    <s v="anonymous"/>
    <x v="0"/>
    <x v="60"/>
    <x v="86"/>
    <x v="0"/>
    <x v="0"/>
    <m/>
    <x v="0"/>
    <x v="0"/>
    <x v="4"/>
    <x v="1"/>
    <x v="2"/>
    <x v="2"/>
    <x v="2"/>
    <x v="1"/>
    <x v="1"/>
    <x v="0"/>
    <x v="4"/>
    <x v="10"/>
    <x v="3"/>
    <x v="9"/>
    <x v="3"/>
    <x v="2"/>
    <x v="0"/>
    <n v="25"/>
    <x v="0"/>
    <x v="0"/>
    <x v="2"/>
  </r>
  <r>
    <s v="62a34c66b4da29969c6305af"/>
    <s v="anonymous"/>
    <x v="0"/>
    <x v="61"/>
    <x v="67"/>
    <x v="0"/>
    <x v="0"/>
    <m/>
    <x v="0"/>
    <x v="0"/>
    <x v="0"/>
    <x v="0"/>
    <x v="6"/>
    <x v="6"/>
    <x v="2"/>
    <x v="0"/>
    <x v="0"/>
    <x v="2"/>
    <x v="7"/>
    <x v="7"/>
    <x v="6"/>
    <x v="8"/>
    <x v="3"/>
    <x v="1"/>
    <x v="0"/>
    <n v="26"/>
    <x v="0"/>
    <x v="2"/>
    <x v="0"/>
  </r>
  <r>
    <s v="62a34d1ff8f756164585465c"/>
    <s v="anonymous"/>
    <x v="0"/>
    <x v="62"/>
    <x v="66"/>
    <x v="0"/>
    <x v="0"/>
    <m/>
    <x v="0"/>
    <x v="0"/>
    <x v="0"/>
    <x v="1"/>
    <x v="1"/>
    <x v="1"/>
    <x v="4"/>
    <x v="1"/>
    <x v="5"/>
    <x v="10"/>
    <x v="5"/>
    <x v="6"/>
    <x v="0"/>
    <x v="0"/>
    <x v="1"/>
    <x v="2"/>
    <x v="0"/>
    <n v="23"/>
    <x v="1"/>
    <x v="2"/>
    <x v="1"/>
  </r>
  <r>
    <s v="62a34d4118134ddc75ceb0ed"/>
    <s v="anonymous"/>
    <x v="0"/>
    <x v="63"/>
    <x v="29"/>
    <x v="0"/>
    <x v="0"/>
    <m/>
    <x v="0"/>
    <x v="0"/>
    <x v="4"/>
    <x v="0"/>
    <x v="2"/>
    <x v="2"/>
    <x v="2"/>
    <x v="0"/>
    <x v="1"/>
    <x v="9"/>
    <x v="9"/>
    <x v="10"/>
    <x v="3"/>
    <x v="1"/>
    <x v="3"/>
    <x v="0"/>
    <x v="1"/>
    <n v="42"/>
    <x v="3"/>
    <x v="3"/>
    <x v="0"/>
  </r>
  <r>
    <s v="62a34da0f408bae018ed5abd"/>
    <s v="anonymous"/>
    <x v="0"/>
    <x v="64"/>
    <x v="1"/>
    <x v="0"/>
    <x v="0"/>
    <m/>
    <x v="0"/>
    <x v="0"/>
    <x v="2"/>
    <x v="0"/>
    <x v="1"/>
    <x v="1"/>
    <x v="5"/>
    <x v="2"/>
    <x v="2"/>
    <x v="7"/>
    <x v="8"/>
    <x v="10"/>
    <x v="3"/>
    <x v="9"/>
    <x v="0"/>
    <x v="1"/>
    <x v="1"/>
    <n v="42"/>
    <x v="0"/>
    <x v="2"/>
    <x v="2"/>
  </r>
  <r>
    <s v="62a34dbb5d257a28a30d9a61"/>
    <s v="anonymous"/>
    <x v="0"/>
    <x v="65"/>
    <x v="87"/>
    <x v="0"/>
    <x v="0"/>
    <m/>
    <x v="0"/>
    <x v="0"/>
    <x v="2"/>
    <x v="1"/>
    <x v="2"/>
    <x v="2"/>
    <x v="4"/>
    <x v="0"/>
    <x v="2"/>
    <x v="3"/>
    <x v="1"/>
    <x v="0"/>
    <x v="4"/>
    <x v="3"/>
    <x v="4"/>
    <x v="2"/>
    <x v="0"/>
    <n v="25"/>
    <x v="4"/>
    <x v="3"/>
    <x v="1"/>
  </r>
  <r>
    <s v="62a34e00f8f7561645854954"/>
    <s v="anonymous"/>
    <x v="0"/>
    <x v="66"/>
    <x v="88"/>
    <x v="0"/>
    <x v="0"/>
    <m/>
    <x v="0"/>
    <x v="0"/>
    <x v="0"/>
    <x v="0"/>
    <x v="5"/>
    <x v="5"/>
    <x v="4"/>
    <x v="1"/>
    <x v="10"/>
    <x v="8"/>
    <x v="6"/>
    <x v="2"/>
    <x v="8"/>
    <x v="0"/>
    <x v="1"/>
    <x v="0"/>
    <x v="0"/>
    <n v="38"/>
    <x v="0"/>
    <x v="3"/>
    <x v="0"/>
  </r>
  <r>
    <s v="62a34e082e54c9003e534118"/>
    <s v="anonymous"/>
    <x v="0"/>
    <x v="66"/>
    <x v="89"/>
    <x v="0"/>
    <x v="0"/>
    <m/>
    <x v="0"/>
    <x v="0"/>
    <x v="2"/>
    <x v="1"/>
    <x v="2"/>
    <x v="2"/>
    <x v="4"/>
    <x v="0"/>
    <x v="8"/>
    <x v="3"/>
    <x v="4"/>
    <x v="5"/>
    <x v="5"/>
    <x v="7"/>
    <x v="1"/>
    <x v="2"/>
    <x v="0"/>
    <n v="24"/>
    <x v="2"/>
    <x v="2"/>
    <x v="3"/>
  </r>
  <r>
    <s v="62a34eb7bc6861bf3176e6d8"/>
    <s v="anonymous"/>
    <x v="0"/>
    <x v="67"/>
    <x v="29"/>
    <x v="0"/>
    <x v="0"/>
    <m/>
    <x v="0"/>
    <x v="0"/>
    <x v="0"/>
    <x v="0"/>
    <x v="6"/>
    <x v="6"/>
    <x v="5"/>
    <x v="1"/>
    <x v="7"/>
    <x v="8"/>
    <x v="6"/>
    <x v="2"/>
    <x v="6"/>
    <x v="2"/>
    <x v="4"/>
    <x v="1"/>
    <x v="0"/>
    <n v="28"/>
    <x v="0"/>
    <x v="2"/>
    <x v="0"/>
  </r>
  <r>
    <s v="62a34f2af8f7561645854c1c"/>
    <s v="anonymous"/>
    <x v="0"/>
    <x v="68"/>
    <x v="15"/>
    <x v="0"/>
    <x v="0"/>
    <m/>
    <x v="0"/>
    <x v="0"/>
    <x v="0"/>
    <x v="1"/>
    <x v="1"/>
    <x v="1"/>
    <x v="0"/>
    <x v="0"/>
    <x v="1"/>
    <x v="1"/>
    <x v="5"/>
    <x v="8"/>
    <x v="3"/>
    <x v="9"/>
    <x v="3"/>
    <x v="2"/>
    <x v="0"/>
    <n v="21"/>
    <x v="0"/>
    <x v="2"/>
    <x v="1"/>
  </r>
  <r>
    <s v="62a34f3bf408bae018ed5e42"/>
    <s v="anonymous"/>
    <x v="0"/>
    <x v="68"/>
    <x v="90"/>
    <x v="0"/>
    <x v="0"/>
    <m/>
    <x v="0"/>
    <x v="0"/>
    <x v="0"/>
    <x v="0"/>
    <x v="0"/>
    <x v="0"/>
    <x v="0"/>
    <x v="1"/>
    <x v="3"/>
    <x v="8"/>
    <x v="6"/>
    <x v="2"/>
    <x v="9"/>
    <x v="2"/>
    <x v="2"/>
    <x v="3"/>
    <x v="0"/>
    <n v="39"/>
    <x v="0"/>
    <x v="3"/>
    <x v="0"/>
  </r>
  <r>
    <s v="62a34fa418134ddc75ceb509"/>
    <s v="anonymous"/>
    <x v="0"/>
    <x v="69"/>
    <x v="91"/>
    <x v="0"/>
    <x v="0"/>
    <m/>
    <x v="0"/>
    <x v="0"/>
    <x v="0"/>
    <x v="0"/>
    <x v="2"/>
    <x v="2"/>
    <x v="4"/>
    <x v="0"/>
    <x v="5"/>
    <x v="6"/>
    <x v="1"/>
    <x v="0"/>
    <x v="5"/>
    <x v="8"/>
    <x v="3"/>
    <x v="1"/>
    <x v="0"/>
    <n v="23"/>
    <x v="2"/>
    <x v="2"/>
    <x v="1"/>
  </r>
  <r>
    <s v="62a34fbacec54911e9ca776f"/>
    <s v="anonymous"/>
    <x v="0"/>
    <x v="69"/>
    <x v="92"/>
    <x v="0"/>
    <x v="0"/>
    <m/>
    <x v="0"/>
    <x v="0"/>
    <x v="0"/>
    <x v="1"/>
    <x v="2"/>
    <x v="2"/>
    <x v="2"/>
    <x v="1"/>
    <x v="1"/>
    <x v="3"/>
    <x v="2"/>
    <x v="4"/>
    <x v="0"/>
    <x v="10"/>
    <x v="4"/>
    <x v="1"/>
    <x v="1"/>
    <n v="23"/>
    <x v="2"/>
    <x v="2"/>
    <x v="0"/>
  </r>
  <r>
    <s v="62a34fc3f3072dd892624a45"/>
    <s v="anonymous"/>
    <x v="0"/>
    <x v="69"/>
    <x v="37"/>
    <x v="0"/>
    <x v="0"/>
    <m/>
    <x v="0"/>
    <x v="0"/>
    <x v="0"/>
    <x v="0"/>
    <x v="6"/>
    <x v="6"/>
    <x v="2"/>
    <x v="1"/>
    <x v="10"/>
    <x v="0"/>
    <x v="5"/>
    <x v="8"/>
    <x v="2"/>
    <x v="8"/>
    <x v="4"/>
    <x v="1"/>
    <x v="0"/>
    <n v="30"/>
    <x v="0"/>
    <x v="3"/>
    <x v="0"/>
  </r>
  <r>
    <s v="62a34ff1f408bae018ed601d"/>
    <s v="anonymous"/>
    <x v="0"/>
    <x v="70"/>
    <x v="93"/>
    <x v="0"/>
    <x v="0"/>
    <m/>
    <x v="0"/>
    <x v="0"/>
    <x v="0"/>
    <x v="1"/>
    <x v="1"/>
    <x v="1"/>
    <x v="2"/>
    <x v="0"/>
    <x v="4"/>
    <x v="3"/>
    <x v="8"/>
    <x v="4"/>
    <x v="8"/>
    <x v="4"/>
    <x v="1"/>
    <x v="2"/>
    <x v="0"/>
    <n v="26"/>
    <x v="2"/>
    <x v="3"/>
    <x v="0"/>
  </r>
  <r>
    <s v="62a34ff4f3072dd892624b32"/>
    <s v="anonymous"/>
    <x v="0"/>
    <x v="70"/>
    <x v="2"/>
    <x v="0"/>
    <x v="0"/>
    <m/>
    <x v="0"/>
    <x v="0"/>
    <x v="0"/>
    <x v="0"/>
    <x v="1"/>
    <x v="1"/>
    <x v="0"/>
    <x v="1"/>
    <x v="6"/>
    <x v="3"/>
    <x v="2"/>
    <x v="5"/>
    <x v="7"/>
    <x v="10"/>
    <x v="4"/>
    <x v="2"/>
    <x v="0"/>
    <n v="37"/>
    <x v="0"/>
    <x v="2"/>
    <x v="0"/>
  </r>
  <r>
    <s v="62a3505bd8c00e9f5419f8df"/>
    <s v="anonymous"/>
    <x v="0"/>
    <x v="71"/>
    <x v="69"/>
    <x v="0"/>
    <x v="0"/>
    <m/>
    <x v="0"/>
    <x v="0"/>
    <x v="0"/>
    <x v="0"/>
    <x v="6"/>
    <x v="6"/>
    <x v="0"/>
    <x v="0"/>
    <x v="6"/>
    <x v="6"/>
    <x v="2"/>
    <x v="0"/>
    <x v="7"/>
    <x v="7"/>
    <x v="4"/>
    <x v="2"/>
    <x v="1"/>
    <n v="31"/>
    <x v="0"/>
    <x v="2"/>
    <x v="0"/>
  </r>
  <r>
    <s v="62a350f7f3072dd892624d05"/>
    <s v="anonymous"/>
    <x v="0"/>
    <x v="72"/>
    <x v="37"/>
    <x v="0"/>
    <x v="0"/>
    <m/>
    <x v="0"/>
    <x v="0"/>
    <x v="0"/>
    <x v="0"/>
    <x v="2"/>
    <x v="2"/>
    <x v="1"/>
    <x v="4"/>
    <x v="8"/>
    <x v="1"/>
    <x v="2"/>
    <x v="4"/>
    <x v="4"/>
    <x v="1"/>
    <x v="3"/>
    <x v="1"/>
    <x v="1"/>
    <n v="25"/>
    <x v="2"/>
    <x v="2"/>
    <x v="2"/>
  </r>
  <r>
    <s v="62a35130f3072dd892624d9f"/>
    <s v="anonymous"/>
    <x v="0"/>
    <x v="73"/>
    <x v="50"/>
    <x v="0"/>
    <x v="0"/>
    <m/>
    <x v="0"/>
    <x v="0"/>
    <x v="0"/>
    <x v="0"/>
    <x v="2"/>
    <x v="2"/>
    <x v="0"/>
    <x v="0"/>
    <x v="4"/>
    <x v="3"/>
    <x v="4"/>
    <x v="0"/>
    <x v="7"/>
    <x v="5"/>
    <x v="1"/>
    <x v="2"/>
    <x v="1"/>
    <n v="26"/>
    <x v="2"/>
    <x v="2"/>
    <x v="0"/>
  </r>
  <r>
    <s v="62a351860a77c1a77f65e86b"/>
    <s v="anonymous"/>
    <x v="0"/>
    <x v="74"/>
    <x v="58"/>
    <x v="0"/>
    <x v="0"/>
    <m/>
    <x v="0"/>
    <x v="0"/>
    <x v="0"/>
    <x v="0"/>
    <x v="6"/>
    <x v="6"/>
    <x v="0"/>
    <x v="2"/>
    <x v="7"/>
    <x v="2"/>
    <x v="5"/>
    <x v="6"/>
    <x v="6"/>
    <x v="0"/>
    <x v="2"/>
    <x v="2"/>
    <x v="0"/>
    <n v="30"/>
    <x v="0"/>
    <x v="2"/>
    <x v="0"/>
  </r>
  <r>
    <s v="62a3519b24a262602738514a"/>
    <s v="anonymous"/>
    <x v="0"/>
    <x v="74"/>
    <x v="94"/>
    <x v="0"/>
    <x v="0"/>
    <m/>
    <x v="0"/>
    <x v="0"/>
    <x v="0"/>
    <x v="0"/>
    <x v="6"/>
    <x v="6"/>
    <x v="4"/>
    <x v="0"/>
    <x v="0"/>
    <x v="8"/>
    <x v="6"/>
    <x v="2"/>
    <x v="2"/>
    <x v="6"/>
    <x v="4"/>
    <x v="2"/>
    <x v="1"/>
    <n v="39"/>
    <x v="0"/>
    <x v="2"/>
    <x v="2"/>
  </r>
  <r>
    <s v="62a35236b4da29969c631214"/>
    <s v="anonymous"/>
    <x v="0"/>
    <x v="75"/>
    <x v="95"/>
    <x v="0"/>
    <x v="0"/>
    <m/>
    <x v="0"/>
    <x v="0"/>
    <x v="2"/>
    <x v="1"/>
    <x v="2"/>
    <x v="2"/>
    <x v="5"/>
    <x v="0"/>
    <x v="1"/>
    <x v="9"/>
    <x v="9"/>
    <x v="10"/>
    <x v="3"/>
    <x v="4"/>
    <x v="1"/>
    <x v="1"/>
    <x v="1"/>
    <n v="28"/>
    <x v="4"/>
    <x v="3"/>
    <x v="1"/>
  </r>
  <r>
    <s v="62a352a32e54c9003e534981"/>
    <s v="anonymous"/>
    <x v="0"/>
    <x v="76"/>
    <x v="51"/>
    <x v="0"/>
    <x v="0"/>
    <m/>
    <x v="0"/>
    <x v="0"/>
    <x v="0"/>
    <x v="0"/>
    <x v="6"/>
    <x v="6"/>
    <x v="1"/>
    <x v="2"/>
    <x v="10"/>
    <x v="2"/>
    <x v="0"/>
    <x v="8"/>
    <x v="9"/>
    <x v="2"/>
    <x v="2"/>
    <x v="1"/>
    <x v="0"/>
    <n v="22"/>
    <x v="0"/>
    <x v="2"/>
    <x v="4"/>
  </r>
  <r>
    <s v="62a352f00a77c1a77f65eae7"/>
    <s v="anonymous"/>
    <x v="0"/>
    <x v="77"/>
    <x v="96"/>
    <x v="0"/>
    <x v="0"/>
    <m/>
    <x v="0"/>
    <x v="0"/>
    <x v="0"/>
    <x v="0"/>
    <x v="2"/>
    <x v="2"/>
    <x v="3"/>
    <x v="0"/>
    <x v="6"/>
    <x v="1"/>
    <x v="2"/>
    <x v="1"/>
    <x v="8"/>
    <x v="4"/>
    <x v="4"/>
    <x v="3"/>
    <x v="0"/>
    <n v="28"/>
    <x v="2"/>
    <x v="2"/>
    <x v="2"/>
  </r>
  <r>
    <s v="62a353372e54c9003e534a40"/>
    <s v="anonymous"/>
    <x v="0"/>
    <x v="78"/>
    <x v="47"/>
    <x v="0"/>
    <x v="0"/>
    <m/>
    <x v="0"/>
    <x v="0"/>
    <x v="2"/>
    <x v="1"/>
    <x v="3"/>
    <x v="3"/>
    <x v="4"/>
    <x v="1"/>
    <x v="10"/>
    <x v="8"/>
    <x v="7"/>
    <x v="8"/>
    <x v="0"/>
    <x v="5"/>
    <x v="4"/>
    <x v="0"/>
    <x v="0"/>
    <n v="33"/>
    <x v="0"/>
    <x v="3"/>
    <x v="0"/>
  </r>
  <r>
    <s v="62a353565d257a28a30da59f"/>
    <s v="anonymous"/>
    <x v="0"/>
    <x v="79"/>
    <x v="97"/>
    <x v="0"/>
    <x v="0"/>
    <m/>
    <x v="0"/>
    <x v="0"/>
    <x v="0"/>
    <x v="0"/>
    <x v="2"/>
    <x v="2"/>
    <x v="1"/>
    <x v="2"/>
    <x v="4"/>
    <x v="5"/>
    <x v="3"/>
    <x v="4"/>
    <x v="8"/>
    <x v="7"/>
    <x v="4"/>
    <x v="1"/>
    <x v="1"/>
    <n v="22"/>
    <x v="2"/>
    <x v="2"/>
    <x v="4"/>
  </r>
  <r>
    <s v="62a353f07dc029e2d66c1783"/>
    <s v="anonymous"/>
    <x v="0"/>
    <x v="80"/>
    <x v="98"/>
    <x v="0"/>
    <x v="0"/>
    <m/>
    <x v="0"/>
    <x v="0"/>
    <x v="4"/>
    <x v="1"/>
    <x v="2"/>
    <x v="2"/>
    <x v="4"/>
    <x v="0"/>
    <x v="6"/>
    <x v="6"/>
    <x v="1"/>
    <x v="3"/>
    <x v="7"/>
    <x v="5"/>
    <x v="4"/>
    <x v="2"/>
    <x v="0"/>
    <n v="27"/>
    <x v="4"/>
    <x v="2"/>
    <x v="4"/>
  </r>
  <r>
    <s v="62a3545e0f8c8599d5af474b"/>
    <s v="anonymous"/>
    <x v="0"/>
    <x v="81"/>
    <x v="99"/>
    <x v="0"/>
    <x v="0"/>
    <m/>
    <x v="0"/>
    <x v="0"/>
    <x v="0"/>
    <x v="0"/>
    <x v="0"/>
    <x v="0"/>
    <x v="2"/>
    <x v="2"/>
    <x v="10"/>
    <x v="2"/>
    <x v="5"/>
    <x v="6"/>
    <x v="9"/>
    <x v="2"/>
    <x v="1"/>
    <x v="1"/>
    <x v="0"/>
    <n v="37"/>
    <x v="0"/>
    <x v="2"/>
    <x v="4"/>
  </r>
  <r>
    <s v="62a35472cec54911e9ca82bc"/>
    <s v="anonymous"/>
    <x v="0"/>
    <x v="81"/>
    <x v="100"/>
    <x v="0"/>
    <x v="0"/>
    <m/>
    <x v="0"/>
    <x v="0"/>
    <x v="2"/>
    <x v="1"/>
    <x v="1"/>
    <x v="1"/>
    <x v="2"/>
    <x v="1"/>
    <x v="6"/>
    <x v="4"/>
    <x v="1"/>
    <x v="0"/>
    <x v="7"/>
    <x v="1"/>
    <x v="3"/>
    <x v="2"/>
    <x v="0"/>
    <n v="24"/>
    <x v="0"/>
    <x v="3"/>
    <x v="0"/>
  </r>
  <r>
    <s v="62a354bdb4da29969c631700"/>
    <s v="anonymous"/>
    <x v="0"/>
    <x v="82"/>
    <x v="25"/>
    <x v="0"/>
    <x v="0"/>
    <m/>
    <x v="0"/>
    <x v="0"/>
    <x v="0"/>
    <x v="1"/>
    <x v="1"/>
    <x v="1"/>
    <x v="0"/>
    <x v="1"/>
    <x v="1"/>
    <x v="4"/>
    <x v="3"/>
    <x v="1"/>
    <x v="3"/>
    <x v="10"/>
    <x v="3"/>
    <x v="2"/>
    <x v="0"/>
    <n v="25"/>
    <x v="3"/>
    <x v="3"/>
    <x v="1"/>
  </r>
  <r>
    <s v="62a354e9cf255543173031ed"/>
    <s v="anonymous"/>
    <x v="0"/>
    <x v="82"/>
    <x v="13"/>
    <x v="0"/>
    <x v="0"/>
    <m/>
    <x v="0"/>
    <x v="0"/>
    <x v="1"/>
    <x v="1"/>
    <x v="5"/>
    <x v="5"/>
    <x v="0"/>
    <x v="1"/>
    <x v="10"/>
    <x v="8"/>
    <x v="5"/>
    <x v="6"/>
    <x v="10"/>
    <x v="2"/>
    <x v="4"/>
    <x v="3"/>
    <x v="0"/>
    <n v="28"/>
    <x v="0"/>
    <x v="3"/>
    <x v="2"/>
  </r>
  <r>
    <s v="62a35541f3072dd892625517"/>
    <s v="anonymous"/>
    <x v="0"/>
    <x v="83"/>
    <x v="24"/>
    <x v="0"/>
    <x v="0"/>
    <m/>
    <x v="0"/>
    <x v="0"/>
    <x v="0"/>
    <x v="0"/>
    <x v="1"/>
    <x v="1"/>
    <x v="2"/>
    <x v="0"/>
    <x v="8"/>
    <x v="6"/>
    <x v="0"/>
    <x v="8"/>
    <x v="2"/>
    <x v="0"/>
    <x v="1"/>
    <x v="2"/>
    <x v="0"/>
    <n v="32"/>
    <x v="3"/>
    <x v="2"/>
    <x v="0"/>
  </r>
  <r>
    <s v="62a355445d257a28a30dab12"/>
    <s v="anonymous"/>
    <x v="0"/>
    <x v="83"/>
    <x v="26"/>
    <x v="0"/>
    <x v="0"/>
    <m/>
    <x v="0"/>
    <x v="0"/>
    <x v="0"/>
    <x v="0"/>
    <x v="1"/>
    <x v="1"/>
    <x v="2"/>
    <x v="0"/>
    <x v="2"/>
    <x v="10"/>
    <x v="0"/>
    <x v="8"/>
    <x v="3"/>
    <x v="0"/>
    <x v="1"/>
    <x v="3"/>
    <x v="0"/>
    <n v="29"/>
    <x v="0"/>
    <x v="2"/>
    <x v="1"/>
  </r>
  <r>
    <s v="62a35631cf25554317303425"/>
    <s v="anonymous"/>
    <x v="0"/>
    <x v="84"/>
    <x v="101"/>
    <x v="0"/>
    <x v="0"/>
    <m/>
    <x v="0"/>
    <x v="0"/>
    <x v="0"/>
    <x v="1"/>
    <x v="1"/>
    <x v="1"/>
    <x v="0"/>
    <x v="1"/>
    <x v="7"/>
    <x v="6"/>
    <x v="5"/>
    <x v="5"/>
    <x v="0"/>
    <x v="2"/>
    <x v="3"/>
    <x v="4"/>
    <x v="1"/>
    <n v="26"/>
    <x v="2"/>
    <x v="3"/>
    <x v="0"/>
  </r>
  <r>
    <s v="62a357390a77c1a77f65f189"/>
    <s v="anonymous"/>
    <x v="0"/>
    <x v="85"/>
    <x v="102"/>
    <x v="0"/>
    <x v="0"/>
    <m/>
    <x v="0"/>
    <x v="0"/>
    <x v="1"/>
    <x v="0"/>
    <x v="1"/>
    <x v="1"/>
    <x v="4"/>
    <x v="0"/>
    <x v="2"/>
    <x v="10"/>
    <x v="1"/>
    <x v="10"/>
    <x v="3"/>
    <x v="0"/>
    <x v="4"/>
    <x v="0"/>
    <x v="0"/>
    <n v="37"/>
    <x v="1"/>
    <x v="3"/>
    <x v="0"/>
  </r>
  <r>
    <s v="62a3578b0a77c1a77f65f279"/>
    <s v="anonymous"/>
    <x v="0"/>
    <x v="86"/>
    <x v="47"/>
    <x v="0"/>
    <x v="0"/>
    <m/>
    <x v="0"/>
    <x v="0"/>
    <x v="0"/>
    <x v="1"/>
    <x v="1"/>
    <x v="1"/>
    <x v="2"/>
    <x v="1"/>
    <x v="5"/>
    <x v="3"/>
    <x v="1"/>
    <x v="3"/>
    <x v="0"/>
    <x v="10"/>
    <x v="4"/>
    <x v="2"/>
    <x v="0"/>
    <n v="25"/>
    <x v="0"/>
    <x v="2"/>
    <x v="0"/>
  </r>
  <r>
    <s v="62a357d30f8c8599d5af4ea3"/>
    <s v="anonymous"/>
    <x v="0"/>
    <x v="87"/>
    <x v="67"/>
    <x v="0"/>
    <x v="0"/>
    <m/>
    <x v="0"/>
    <x v="0"/>
    <x v="0"/>
    <x v="1"/>
    <x v="2"/>
    <x v="2"/>
    <x v="1"/>
    <x v="2"/>
    <x v="5"/>
    <x v="4"/>
    <x v="1"/>
    <x v="5"/>
    <x v="5"/>
    <x v="9"/>
    <x v="3"/>
    <x v="2"/>
    <x v="0"/>
    <n v="24"/>
    <x v="2"/>
    <x v="1"/>
    <x v="0"/>
  </r>
  <r>
    <s v="62a3582e575fa3a5ae88e506"/>
    <s v="anonymous"/>
    <x v="0"/>
    <x v="88"/>
    <x v="96"/>
    <x v="0"/>
    <x v="0"/>
    <m/>
    <x v="0"/>
    <x v="0"/>
    <x v="2"/>
    <x v="1"/>
    <x v="4"/>
    <x v="4"/>
    <x v="1"/>
    <x v="2"/>
    <x v="7"/>
    <x v="2"/>
    <x v="5"/>
    <x v="6"/>
    <x v="2"/>
    <x v="8"/>
    <x v="1"/>
    <x v="2"/>
    <x v="0"/>
    <n v="52"/>
    <x v="0"/>
    <x v="2"/>
    <x v="0"/>
  </r>
  <r>
    <s v="62a35878575fa3a5ae88e5d5"/>
    <s v="anonymous"/>
    <x v="0"/>
    <x v="89"/>
    <x v="103"/>
    <x v="0"/>
    <x v="0"/>
    <m/>
    <x v="0"/>
    <x v="0"/>
    <x v="0"/>
    <x v="0"/>
    <x v="1"/>
    <x v="1"/>
    <x v="1"/>
    <x v="0"/>
    <x v="9"/>
    <x v="8"/>
    <x v="3"/>
    <x v="0"/>
    <x v="3"/>
    <x v="2"/>
    <x v="3"/>
    <x v="3"/>
    <x v="0"/>
    <n v="27"/>
    <x v="2"/>
    <x v="2"/>
    <x v="1"/>
  </r>
  <r>
    <s v="62a35981bae91e4b8b8323dd"/>
    <s v="anonymous"/>
    <x v="0"/>
    <x v="90"/>
    <x v="104"/>
    <x v="0"/>
    <x v="0"/>
    <m/>
    <x v="0"/>
    <x v="0"/>
    <x v="0"/>
    <x v="1"/>
    <x v="0"/>
    <x v="0"/>
    <x v="0"/>
    <x v="2"/>
    <x v="9"/>
    <x v="3"/>
    <x v="3"/>
    <x v="4"/>
    <x v="4"/>
    <x v="1"/>
    <x v="4"/>
    <x v="2"/>
    <x v="1"/>
    <n v="29"/>
    <x v="0"/>
    <x v="3"/>
    <x v="0"/>
  </r>
  <r>
    <s v="62a35a2c7dc029e2d66c2519"/>
    <s v="anonymous"/>
    <x v="0"/>
    <x v="91"/>
    <x v="94"/>
    <x v="0"/>
    <x v="0"/>
    <m/>
    <x v="0"/>
    <x v="0"/>
    <x v="4"/>
    <x v="1"/>
    <x v="2"/>
    <x v="2"/>
    <x v="4"/>
    <x v="0"/>
    <x v="6"/>
    <x v="10"/>
    <x v="4"/>
    <x v="8"/>
    <x v="3"/>
    <x v="9"/>
    <x v="3"/>
    <x v="2"/>
    <x v="0"/>
    <n v="42"/>
    <x v="2"/>
    <x v="4"/>
    <x v="0"/>
  </r>
  <r>
    <s v="62a35aa2f8d5efcc22f8075d"/>
    <s v="anonymous"/>
    <x v="0"/>
    <x v="92"/>
    <x v="13"/>
    <x v="0"/>
    <x v="0"/>
    <m/>
    <x v="0"/>
    <x v="0"/>
    <x v="0"/>
    <x v="0"/>
    <x v="1"/>
    <x v="1"/>
    <x v="3"/>
    <x v="1"/>
    <x v="6"/>
    <x v="6"/>
    <x v="4"/>
    <x v="3"/>
    <x v="4"/>
    <x v="0"/>
    <x v="3"/>
    <x v="4"/>
    <x v="0"/>
    <n v="28"/>
    <x v="0"/>
    <x v="3"/>
    <x v="0"/>
  </r>
  <r>
    <s v="62a35ababae91e4b8b83269d"/>
    <s v="anonymous"/>
    <x v="0"/>
    <x v="92"/>
    <x v="39"/>
    <x v="0"/>
    <x v="0"/>
    <m/>
    <x v="0"/>
    <x v="0"/>
    <x v="0"/>
    <x v="0"/>
    <x v="2"/>
    <x v="2"/>
    <x v="4"/>
    <x v="0"/>
    <x v="10"/>
    <x v="2"/>
    <x v="5"/>
    <x v="6"/>
    <x v="6"/>
    <x v="6"/>
    <x v="4"/>
    <x v="1"/>
    <x v="0"/>
    <n v="44"/>
    <x v="2"/>
    <x v="2"/>
    <x v="3"/>
  </r>
  <r>
    <s v="62a35ae0575fa3a5ae88ea98"/>
    <s v="anonymous"/>
    <x v="0"/>
    <x v="93"/>
    <x v="1"/>
    <x v="0"/>
    <x v="0"/>
    <m/>
    <x v="0"/>
    <x v="0"/>
    <x v="1"/>
    <x v="0"/>
    <x v="2"/>
    <x v="2"/>
    <x v="4"/>
    <x v="0"/>
    <x v="8"/>
    <x v="6"/>
    <x v="4"/>
    <x v="0"/>
    <x v="5"/>
    <x v="0"/>
    <x v="4"/>
    <x v="0"/>
    <x v="0"/>
    <n v="23"/>
    <x v="2"/>
    <x v="2"/>
    <x v="0"/>
  </r>
  <r>
    <s v="62a35ae87dc029e2d66c279b"/>
    <s v="anonymous"/>
    <x v="0"/>
    <x v="93"/>
    <x v="73"/>
    <x v="0"/>
    <x v="0"/>
    <m/>
    <x v="0"/>
    <x v="0"/>
    <x v="0"/>
    <x v="1"/>
    <x v="1"/>
    <x v="1"/>
    <x v="2"/>
    <x v="1"/>
    <x v="1"/>
    <x v="1"/>
    <x v="4"/>
    <x v="3"/>
    <x v="8"/>
    <x v="9"/>
    <x v="1"/>
    <x v="2"/>
    <x v="0"/>
    <n v="27"/>
    <x v="0"/>
    <x v="2"/>
    <x v="3"/>
  </r>
  <r>
    <s v="62a35b13bc6861bf31770188"/>
    <s v="anonymous"/>
    <x v="0"/>
    <x v="94"/>
    <x v="17"/>
    <x v="0"/>
    <x v="0"/>
    <m/>
    <x v="0"/>
    <x v="0"/>
    <x v="0"/>
    <x v="1"/>
    <x v="6"/>
    <x v="6"/>
    <x v="6"/>
    <x v="0"/>
    <x v="6"/>
    <x v="5"/>
    <x v="3"/>
    <x v="1"/>
    <x v="8"/>
    <x v="3"/>
    <x v="4"/>
    <x v="3"/>
    <x v="0"/>
    <n v="26"/>
    <x v="0"/>
    <x v="3"/>
    <x v="0"/>
  </r>
  <r>
    <s v="62a35b72f408bae018ed76a8"/>
    <s v="anonymous"/>
    <x v="0"/>
    <x v="95"/>
    <x v="73"/>
    <x v="0"/>
    <x v="0"/>
    <m/>
    <x v="0"/>
    <x v="0"/>
    <x v="0"/>
    <x v="0"/>
    <x v="5"/>
    <x v="5"/>
    <x v="0"/>
    <x v="2"/>
    <x v="6"/>
    <x v="4"/>
    <x v="2"/>
    <x v="3"/>
    <x v="1"/>
    <x v="1"/>
    <x v="4"/>
    <x v="2"/>
    <x v="0"/>
    <n v="27"/>
    <x v="0"/>
    <x v="3"/>
    <x v="3"/>
  </r>
  <r>
    <s v="62a35b965d257a28a30db899"/>
    <s v="anonymous"/>
    <x v="0"/>
    <x v="96"/>
    <x v="76"/>
    <x v="0"/>
    <x v="0"/>
    <m/>
    <x v="0"/>
    <x v="0"/>
    <x v="0"/>
    <x v="0"/>
    <x v="6"/>
    <x v="6"/>
    <x v="2"/>
    <x v="0"/>
    <x v="2"/>
    <x v="7"/>
    <x v="0"/>
    <x v="9"/>
    <x v="3"/>
    <x v="6"/>
    <x v="3"/>
    <x v="2"/>
    <x v="0"/>
    <n v="33"/>
    <x v="1"/>
    <x v="2"/>
    <x v="1"/>
  </r>
  <r>
    <s v="62a35ba3f3072dd892626068"/>
    <s v="anonymous"/>
    <x v="0"/>
    <x v="96"/>
    <x v="47"/>
    <x v="0"/>
    <x v="0"/>
    <m/>
    <x v="0"/>
    <x v="0"/>
    <x v="0"/>
    <x v="0"/>
    <x v="6"/>
    <x v="6"/>
    <x v="2"/>
    <x v="0"/>
    <x v="10"/>
    <x v="8"/>
    <x v="6"/>
    <x v="2"/>
    <x v="9"/>
    <x v="2"/>
    <x v="1"/>
    <x v="2"/>
    <x v="0"/>
    <n v="28"/>
    <x v="0"/>
    <x v="2"/>
    <x v="3"/>
  </r>
  <r>
    <s v="62a35c890a77c1a77f65fdfa"/>
    <s v="anonymous"/>
    <x v="0"/>
    <x v="97"/>
    <x v="9"/>
    <x v="0"/>
    <x v="0"/>
    <m/>
    <x v="0"/>
    <x v="0"/>
    <x v="0"/>
    <x v="0"/>
    <x v="2"/>
    <x v="2"/>
    <x v="4"/>
    <x v="1"/>
    <x v="4"/>
    <x v="2"/>
    <x v="5"/>
    <x v="8"/>
    <x v="5"/>
    <x v="6"/>
    <x v="4"/>
    <x v="2"/>
    <x v="0"/>
    <n v="32"/>
    <x v="2"/>
    <x v="2"/>
    <x v="2"/>
  </r>
  <r>
    <s v="62a35d8f575fa3a5ae88efd6"/>
    <s v="anonymous"/>
    <x v="0"/>
    <x v="98"/>
    <x v="35"/>
    <x v="0"/>
    <x v="0"/>
    <m/>
    <x v="0"/>
    <x v="0"/>
    <x v="4"/>
    <x v="0"/>
    <x v="1"/>
    <x v="1"/>
    <x v="2"/>
    <x v="0"/>
    <x v="4"/>
    <x v="4"/>
    <x v="4"/>
    <x v="9"/>
    <x v="1"/>
    <x v="3"/>
    <x v="0"/>
    <x v="2"/>
    <x v="0"/>
    <n v="34"/>
    <x v="1"/>
    <x v="4"/>
    <x v="1"/>
  </r>
  <r>
    <s v="62a35d95cf25554317304386"/>
    <s v="anonymous"/>
    <x v="0"/>
    <x v="98"/>
    <x v="16"/>
    <x v="0"/>
    <x v="0"/>
    <m/>
    <x v="0"/>
    <x v="0"/>
    <x v="0"/>
    <x v="1"/>
    <x v="3"/>
    <x v="3"/>
    <x v="4"/>
    <x v="0"/>
    <x v="3"/>
    <x v="8"/>
    <x v="6"/>
    <x v="6"/>
    <x v="9"/>
    <x v="2"/>
    <x v="1"/>
    <x v="1"/>
    <x v="0"/>
    <n v="28"/>
    <x v="0"/>
    <x v="2"/>
    <x v="1"/>
  </r>
  <r>
    <s v="62a35e970a77c1a77f66035a"/>
    <s v="anonymous"/>
    <x v="0"/>
    <x v="99"/>
    <x v="4"/>
    <x v="0"/>
    <x v="0"/>
    <m/>
    <x v="0"/>
    <x v="0"/>
    <x v="3"/>
    <x v="0"/>
    <x v="4"/>
    <x v="4"/>
    <x v="3"/>
    <x v="0"/>
    <x v="4"/>
    <x v="4"/>
    <x v="9"/>
    <x v="4"/>
    <x v="1"/>
    <x v="0"/>
    <x v="4"/>
    <x v="2"/>
    <x v="0"/>
    <n v="27"/>
    <x v="4"/>
    <x v="2"/>
    <x v="4"/>
  </r>
  <r>
    <s v="62a35eabf408bae018ed7cbc"/>
    <s v="anonymous"/>
    <x v="0"/>
    <x v="99"/>
    <x v="20"/>
    <x v="0"/>
    <x v="0"/>
    <m/>
    <x v="0"/>
    <x v="0"/>
    <x v="1"/>
    <x v="0"/>
    <x v="1"/>
    <x v="1"/>
    <x v="1"/>
    <x v="0"/>
    <x v="4"/>
    <x v="4"/>
    <x v="1"/>
    <x v="0"/>
    <x v="7"/>
    <x v="10"/>
    <x v="3"/>
    <x v="2"/>
    <x v="0"/>
    <n v="22"/>
    <x v="0"/>
    <x v="2"/>
    <x v="0"/>
  </r>
  <r>
    <s v="62a35f0d24a2626027386a8b"/>
    <s v="anonymous"/>
    <x v="0"/>
    <x v="100"/>
    <x v="54"/>
    <x v="0"/>
    <x v="0"/>
    <m/>
    <x v="0"/>
    <x v="0"/>
    <x v="0"/>
    <x v="1"/>
    <x v="6"/>
    <x v="6"/>
    <x v="0"/>
    <x v="0"/>
    <x v="6"/>
    <x v="5"/>
    <x v="2"/>
    <x v="9"/>
    <x v="8"/>
    <x v="4"/>
    <x v="4"/>
    <x v="2"/>
    <x v="0"/>
    <n v="29"/>
    <x v="0"/>
    <x v="3"/>
    <x v="0"/>
  </r>
  <r>
    <s v="62a35f825d257a28a30dc128"/>
    <s v="anonymous"/>
    <x v="0"/>
    <x v="101"/>
    <x v="62"/>
    <x v="0"/>
    <x v="0"/>
    <m/>
    <x v="0"/>
    <x v="0"/>
    <x v="0"/>
    <x v="1"/>
    <x v="6"/>
    <x v="6"/>
    <x v="0"/>
    <x v="0"/>
    <x v="10"/>
    <x v="8"/>
    <x v="6"/>
    <x v="6"/>
    <x v="0"/>
    <x v="0"/>
    <x v="4"/>
    <x v="1"/>
    <x v="1"/>
    <n v="31"/>
    <x v="0"/>
    <x v="3"/>
    <x v="0"/>
  </r>
  <r>
    <s v="62a35fa0f8f7561645856c35"/>
    <s v="anonymous"/>
    <x v="0"/>
    <x v="101"/>
    <x v="94"/>
    <x v="0"/>
    <x v="0"/>
    <m/>
    <x v="0"/>
    <x v="0"/>
    <x v="0"/>
    <x v="1"/>
    <x v="6"/>
    <x v="6"/>
    <x v="4"/>
    <x v="0"/>
    <x v="5"/>
    <x v="6"/>
    <x v="1"/>
    <x v="0"/>
    <x v="7"/>
    <x v="7"/>
    <x v="1"/>
    <x v="0"/>
    <x v="0"/>
    <n v="28"/>
    <x v="0"/>
    <x v="2"/>
    <x v="0"/>
  </r>
  <r>
    <s v="62a35fc1f8f7561645856c98"/>
    <s v="anonymous"/>
    <x v="0"/>
    <x v="102"/>
    <x v="95"/>
    <x v="0"/>
    <x v="0"/>
    <m/>
    <x v="0"/>
    <x v="0"/>
    <x v="4"/>
    <x v="1"/>
    <x v="2"/>
    <x v="2"/>
    <x v="0"/>
    <x v="0"/>
    <x v="2"/>
    <x v="7"/>
    <x v="10"/>
    <x v="10"/>
    <x v="3"/>
    <x v="9"/>
    <x v="4"/>
    <x v="1"/>
    <x v="0"/>
    <n v="24"/>
    <x v="0"/>
    <x v="3"/>
    <x v="1"/>
  </r>
  <r>
    <s v="62a3602318134ddc75ced6b9"/>
    <s v="anonymous"/>
    <x v="0"/>
    <x v="103"/>
    <x v="64"/>
    <x v="0"/>
    <x v="0"/>
    <m/>
    <x v="0"/>
    <x v="0"/>
    <x v="0"/>
    <x v="1"/>
    <x v="5"/>
    <x v="5"/>
    <x v="2"/>
    <x v="2"/>
    <x v="5"/>
    <x v="6"/>
    <x v="3"/>
    <x v="3"/>
    <x v="8"/>
    <x v="1"/>
    <x v="1"/>
    <x v="3"/>
    <x v="0"/>
    <n v="34"/>
    <x v="0"/>
    <x v="3"/>
    <x v="0"/>
  </r>
  <r>
    <s v="62a360b8f8f7561645856ec4"/>
    <s v="anonymous"/>
    <x v="0"/>
    <x v="104"/>
    <x v="93"/>
    <x v="0"/>
    <x v="0"/>
    <m/>
    <x v="0"/>
    <x v="0"/>
    <x v="1"/>
    <x v="1"/>
    <x v="5"/>
    <x v="5"/>
    <x v="4"/>
    <x v="0"/>
    <x v="8"/>
    <x v="5"/>
    <x v="1"/>
    <x v="0"/>
    <x v="7"/>
    <x v="5"/>
    <x v="3"/>
    <x v="2"/>
    <x v="0"/>
    <n v="23"/>
    <x v="0"/>
    <x v="2"/>
    <x v="0"/>
  </r>
  <r>
    <s v="62a360dbd8c00e9f541a16cf"/>
    <s v="anonymous"/>
    <x v="0"/>
    <x v="104"/>
    <x v="30"/>
    <x v="0"/>
    <x v="0"/>
    <m/>
    <x v="0"/>
    <x v="0"/>
    <x v="4"/>
    <x v="1"/>
    <x v="1"/>
    <x v="1"/>
    <x v="6"/>
    <x v="2"/>
    <x v="3"/>
    <x v="4"/>
    <x v="6"/>
    <x v="2"/>
    <x v="7"/>
    <x v="2"/>
    <x v="4"/>
    <x v="0"/>
    <x v="0"/>
    <n v="32"/>
    <x v="2"/>
    <x v="3"/>
    <x v="0"/>
  </r>
  <r>
    <s v="62a36146f8f7561645856ff7"/>
    <s v="anonymous"/>
    <x v="0"/>
    <x v="105"/>
    <x v="105"/>
    <x v="0"/>
    <x v="0"/>
    <m/>
    <x v="0"/>
    <x v="0"/>
    <x v="0"/>
    <x v="0"/>
    <x v="2"/>
    <x v="2"/>
    <x v="0"/>
    <x v="1"/>
    <x v="9"/>
    <x v="2"/>
    <x v="4"/>
    <x v="5"/>
    <x v="6"/>
    <x v="2"/>
    <x v="1"/>
    <x v="0"/>
    <x v="0"/>
    <n v="29"/>
    <x v="2"/>
    <x v="1"/>
    <x v="3"/>
  </r>
  <r>
    <s v="62a361af0f8c8599d5af6277"/>
    <s v="anonymous"/>
    <x v="0"/>
    <x v="106"/>
    <x v="94"/>
    <x v="0"/>
    <x v="0"/>
    <m/>
    <x v="0"/>
    <x v="0"/>
    <x v="0"/>
    <x v="0"/>
    <x v="2"/>
    <x v="2"/>
    <x v="5"/>
    <x v="0"/>
    <x v="2"/>
    <x v="7"/>
    <x v="10"/>
    <x v="10"/>
    <x v="3"/>
    <x v="9"/>
    <x v="0"/>
    <x v="2"/>
    <x v="0"/>
    <n v="34"/>
    <x v="2"/>
    <x v="2"/>
    <x v="2"/>
  </r>
  <r>
    <s v="62a361cc575fa3a5ae88f908"/>
    <s v="anonymous"/>
    <x v="0"/>
    <x v="106"/>
    <x v="12"/>
    <x v="0"/>
    <x v="0"/>
    <m/>
    <x v="0"/>
    <x v="0"/>
    <x v="0"/>
    <x v="1"/>
    <x v="6"/>
    <x v="6"/>
    <x v="1"/>
    <x v="0"/>
    <x v="7"/>
    <x v="6"/>
    <x v="1"/>
    <x v="8"/>
    <x v="10"/>
    <x v="2"/>
    <x v="2"/>
    <x v="0"/>
    <x v="0"/>
    <n v="24"/>
    <x v="3"/>
    <x v="2"/>
    <x v="0"/>
  </r>
  <r>
    <s v="62a3620f0f8c8599d5af63a5"/>
    <s v="anonymous"/>
    <x v="0"/>
    <x v="107"/>
    <x v="106"/>
    <x v="0"/>
    <x v="0"/>
    <m/>
    <x v="0"/>
    <x v="0"/>
    <x v="2"/>
    <x v="1"/>
    <x v="6"/>
    <x v="6"/>
    <x v="4"/>
    <x v="0"/>
    <x v="2"/>
    <x v="8"/>
    <x v="4"/>
    <x v="10"/>
    <x v="3"/>
    <x v="9"/>
    <x v="3"/>
    <x v="2"/>
    <x v="0"/>
    <n v="30"/>
    <x v="0"/>
    <x v="2"/>
    <x v="4"/>
  </r>
  <r>
    <s v="62a36251d8c00e9f541a199e"/>
    <s v="anonymous"/>
    <x v="0"/>
    <x v="108"/>
    <x v="44"/>
    <x v="0"/>
    <x v="0"/>
    <m/>
    <x v="0"/>
    <x v="0"/>
    <x v="2"/>
    <x v="1"/>
    <x v="5"/>
    <x v="5"/>
    <x v="2"/>
    <x v="0"/>
    <x v="8"/>
    <x v="6"/>
    <x v="4"/>
    <x v="3"/>
    <x v="0"/>
    <x v="5"/>
    <x v="3"/>
    <x v="2"/>
    <x v="0"/>
    <n v="24"/>
    <x v="0"/>
    <x v="3"/>
    <x v="3"/>
  </r>
  <r>
    <s v="62a36275bc6861bf31771183"/>
    <s v="anonymous"/>
    <x v="0"/>
    <x v="108"/>
    <x v="36"/>
    <x v="0"/>
    <x v="0"/>
    <m/>
    <x v="0"/>
    <x v="0"/>
    <x v="0"/>
    <x v="0"/>
    <x v="1"/>
    <x v="1"/>
    <x v="2"/>
    <x v="0"/>
    <x v="9"/>
    <x v="2"/>
    <x v="6"/>
    <x v="7"/>
    <x v="2"/>
    <x v="6"/>
    <x v="1"/>
    <x v="2"/>
    <x v="0"/>
    <n v="27"/>
    <x v="0"/>
    <x v="2"/>
    <x v="4"/>
  </r>
  <r>
    <s v="62a3636c2e54c9003e536e6b"/>
    <s v="anonymous"/>
    <x v="0"/>
    <x v="109"/>
    <x v="28"/>
    <x v="0"/>
    <x v="0"/>
    <m/>
    <x v="0"/>
    <x v="0"/>
    <x v="0"/>
    <x v="1"/>
    <x v="2"/>
    <x v="2"/>
    <x v="1"/>
    <x v="0"/>
    <x v="1"/>
    <x v="1"/>
    <x v="2"/>
    <x v="3"/>
    <x v="7"/>
    <x v="5"/>
    <x v="4"/>
    <x v="2"/>
    <x v="0"/>
    <n v="21"/>
    <x v="4"/>
    <x v="2"/>
    <x v="1"/>
  </r>
  <r>
    <s v="62a365c2f8d5efcc22f81e2e"/>
    <s v="anonymous"/>
    <x v="0"/>
    <x v="110"/>
    <x v="31"/>
    <x v="0"/>
    <x v="0"/>
    <m/>
    <x v="0"/>
    <x v="0"/>
    <x v="0"/>
    <x v="1"/>
    <x v="2"/>
    <x v="2"/>
    <x v="2"/>
    <x v="0"/>
    <x v="6"/>
    <x v="6"/>
    <x v="7"/>
    <x v="7"/>
    <x v="11"/>
    <x v="8"/>
    <x v="0"/>
    <x v="4"/>
    <x v="0"/>
    <n v="31"/>
    <x v="2"/>
    <x v="3"/>
    <x v="2"/>
  </r>
  <r>
    <s v="62a365d5d8c00e9f541a20cf"/>
    <s v="anonymous"/>
    <x v="0"/>
    <x v="111"/>
    <x v="35"/>
    <x v="0"/>
    <x v="0"/>
    <m/>
    <x v="0"/>
    <x v="0"/>
    <x v="0"/>
    <x v="0"/>
    <x v="2"/>
    <x v="2"/>
    <x v="3"/>
    <x v="1"/>
    <x v="8"/>
    <x v="10"/>
    <x v="1"/>
    <x v="0"/>
    <x v="0"/>
    <x v="0"/>
    <x v="3"/>
    <x v="2"/>
    <x v="0"/>
    <n v="41"/>
    <x v="2"/>
    <x v="2"/>
    <x v="0"/>
  </r>
  <r>
    <s v="62a3670b575fa3a5ae890422"/>
    <s v="anonymous"/>
    <x v="0"/>
    <x v="112"/>
    <x v="24"/>
    <x v="0"/>
    <x v="0"/>
    <m/>
    <x v="0"/>
    <x v="0"/>
    <x v="0"/>
    <x v="0"/>
    <x v="2"/>
    <x v="2"/>
    <x v="4"/>
    <x v="0"/>
    <x v="2"/>
    <x v="9"/>
    <x v="9"/>
    <x v="10"/>
    <x v="3"/>
    <x v="4"/>
    <x v="3"/>
    <x v="2"/>
    <x v="0"/>
    <n v="25"/>
    <x v="4"/>
    <x v="2"/>
    <x v="1"/>
  </r>
  <r>
    <s v="62a3676bb4da29969c633ac7"/>
    <s v="anonymous"/>
    <x v="0"/>
    <x v="113"/>
    <x v="107"/>
    <x v="0"/>
    <x v="0"/>
    <m/>
    <x v="0"/>
    <x v="0"/>
    <x v="0"/>
    <x v="1"/>
    <x v="2"/>
    <x v="2"/>
    <x v="1"/>
    <x v="2"/>
    <x v="5"/>
    <x v="10"/>
    <x v="5"/>
    <x v="6"/>
    <x v="6"/>
    <x v="6"/>
    <x v="4"/>
    <x v="4"/>
    <x v="0"/>
    <n v="24"/>
    <x v="2"/>
    <x v="2"/>
    <x v="2"/>
  </r>
  <r>
    <s v="62a36794b4da29969c633b48"/>
    <s v="anonymous"/>
    <x v="0"/>
    <x v="114"/>
    <x v="108"/>
    <x v="0"/>
    <x v="0"/>
    <m/>
    <x v="0"/>
    <x v="0"/>
    <x v="0"/>
    <x v="1"/>
    <x v="2"/>
    <x v="2"/>
    <x v="1"/>
    <x v="0"/>
    <x v="9"/>
    <x v="6"/>
    <x v="4"/>
    <x v="0"/>
    <x v="5"/>
    <x v="10"/>
    <x v="4"/>
    <x v="2"/>
    <x v="0"/>
    <n v="30"/>
    <x v="2"/>
    <x v="3"/>
    <x v="4"/>
  </r>
  <r>
    <s v="62a367d224a2626027387b56"/>
    <s v="anonymous"/>
    <x v="0"/>
    <x v="115"/>
    <x v="109"/>
    <x v="0"/>
    <x v="0"/>
    <m/>
    <x v="0"/>
    <x v="0"/>
    <x v="0"/>
    <x v="1"/>
    <x v="3"/>
    <x v="3"/>
    <x v="1"/>
    <x v="2"/>
    <x v="7"/>
    <x v="10"/>
    <x v="0"/>
    <x v="11"/>
    <x v="0"/>
    <x v="0"/>
    <x v="4"/>
    <x v="1"/>
    <x v="0"/>
    <n v="33"/>
    <x v="0"/>
    <x v="2"/>
    <x v="0"/>
  </r>
  <r>
    <s v="62a367ed18134ddc75cee697"/>
    <s v="anonymous"/>
    <x v="0"/>
    <x v="116"/>
    <x v="110"/>
    <x v="0"/>
    <x v="0"/>
    <m/>
    <x v="0"/>
    <x v="0"/>
    <x v="0"/>
    <x v="1"/>
    <x v="6"/>
    <x v="6"/>
    <x v="2"/>
    <x v="2"/>
    <x v="7"/>
    <x v="4"/>
    <x v="6"/>
    <x v="7"/>
    <x v="2"/>
    <x v="2"/>
    <x v="3"/>
    <x v="2"/>
    <x v="0"/>
    <n v="23"/>
    <x v="0"/>
    <x v="2"/>
    <x v="3"/>
  </r>
  <r>
    <s v="62a36802f8f7561645857e38"/>
    <s v="anonymous"/>
    <x v="0"/>
    <x v="116"/>
    <x v="26"/>
    <x v="0"/>
    <x v="0"/>
    <m/>
    <x v="0"/>
    <x v="0"/>
    <x v="0"/>
    <x v="0"/>
    <x v="6"/>
    <x v="6"/>
    <x v="4"/>
    <x v="0"/>
    <x v="9"/>
    <x v="3"/>
    <x v="4"/>
    <x v="5"/>
    <x v="5"/>
    <x v="10"/>
    <x v="3"/>
    <x v="0"/>
    <x v="1"/>
    <n v="33"/>
    <x v="3"/>
    <x v="3"/>
    <x v="1"/>
  </r>
  <r>
    <s v="62a3684ebc6861bf31771f15"/>
    <s v="anonymous"/>
    <x v="0"/>
    <x v="117"/>
    <x v="85"/>
    <x v="0"/>
    <x v="0"/>
    <m/>
    <x v="0"/>
    <x v="0"/>
    <x v="0"/>
    <x v="1"/>
    <x v="0"/>
    <x v="0"/>
    <x v="1"/>
    <x v="0"/>
    <x v="5"/>
    <x v="4"/>
    <x v="2"/>
    <x v="3"/>
    <x v="7"/>
    <x v="7"/>
    <x v="4"/>
    <x v="2"/>
    <x v="0"/>
    <n v="25"/>
    <x v="0"/>
    <x v="2"/>
    <x v="0"/>
  </r>
  <r>
    <s v="62a3688df8f7561645857f7e"/>
    <s v="anonymous"/>
    <x v="0"/>
    <x v="118"/>
    <x v="111"/>
    <x v="0"/>
    <x v="0"/>
    <m/>
    <x v="0"/>
    <x v="0"/>
    <x v="0"/>
    <x v="1"/>
    <x v="2"/>
    <x v="2"/>
    <x v="2"/>
    <x v="0"/>
    <x v="8"/>
    <x v="6"/>
    <x v="1"/>
    <x v="0"/>
    <x v="0"/>
    <x v="5"/>
    <x v="4"/>
    <x v="0"/>
    <x v="1"/>
    <n v="27"/>
    <x v="2"/>
    <x v="3"/>
    <x v="0"/>
  </r>
  <r>
    <s v="62a368ee2e54c9003e537e4a"/>
    <s v="anonymous"/>
    <x v="0"/>
    <x v="119"/>
    <x v="76"/>
    <x v="0"/>
    <x v="0"/>
    <m/>
    <x v="0"/>
    <x v="0"/>
    <x v="0"/>
    <x v="0"/>
    <x v="2"/>
    <x v="2"/>
    <x v="1"/>
    <x v="4"/>
    <x v="8"/>
    <x v="8"/>
    <x v="6"/>
    <x v="6"/>
    <x v="9"/>
    <x v="2"/>
    <x v="2"/>
    <x v="1"/>
    <x v="0"/>
    <n v="30"/>
    <x v="3"/>
    <x v="2"/>
    <x v="0"/>
  </r>
  <r>
    <s v="62a369280a77c1a77f661ad0"/>
    <s v="anonymous"/>
    <x v="0"/>
    <x v="120"/>
    <x v="60"/>
    <x v="0"/>
    <x v="0"/>
    <m/>
    <x v="0"/>
    <x v="0"/>
    <x v="0"/>
    <x v="0"/>
    <x v="2"/>
    <x v="2"/>
    <x v="4"/>
    <x v="0"/>
    <x v="2"/>
    <x v="5"/>
    <x v="11"/>
    <x v="11"/>
    <x v="11"/>
    <x v="10"/>
    <x v="4"/>
    <x v="0"/>
    <x v="0"/>
    <n v="29"/>
    <x v="2"/>
    <x v="2"/>
    <x v="2"/>
  </r>
  <r>
    <s v="62a36969f8f756164585821d"/>
    <s v="anonymous"/>
    <x v="0"/>
    <x v="121"/>
    <x v="112"/>
    <x v="0"/>
    <x v="0"/>
    <m/>
    <x v="0"/>
    <x v="0"/>
    <x v="2"/>
    <x v="0"/>
    <x v="2"/>
    <x v="2"/>
    <x v="0"/>
    <x v="0"/>
    <x v="3"/>
    <x v="1"/>
    <x v="5"/>
    <x v="0"/>
    <x v="3"/>
    <x v="10"/>
    <x v="1"/>
    <x v="2"/>
    <x v="0"/>
    <n v="25"/>
    <x v="4"/>
    <x v="3"/>
    <x v="4"/>
  </r>
  <r>
    <s v="62a3697ff408bae018ed948b"/>
    <s v="anonymous"/>
    <x v="0"/>
    <x v="121"/>
    <x v="58"/>
    <x v="0"/>
    <x v="0"/>
    <m/>
    <x v="0"/>
    <x v="0"/>
    <x v="0"/>
    <x v="1"/>
    <x v="5"/>
    <x v="5"/>
    <x v="3"/>
    <x v="2"/>
    <x v="7"/>
    <x v="10"/>
    <x v="1"/>
    <x v="8"/>
    <x v="2"/>
    <x v="0"/>
    <x v="1"/>
    <x v="0"/>
    <x v="0"/>
    <n v="40"/>
    <x v="0"/>
    <x v="1"/>
    <x v="3"/>
  </r>
  <r>
    <s v="62a36ac6cf255543173063d8"/>
    <s v="anonymous"/>
    <x v="0"/>
    <x v="122"/>
    <x v="113"/>
    <x v="0"/>
    <x v="0"/>
    <m/>
    <x v="0"/>
    <x v="0"/>
    <x v="0"/>
    <x v="1"/>
    <x v="1"/>
    <x v="1"/>
    <x v="2"/>
    <x v="2"/>
    <x v="9"/>
    <x v="8"/>
    <x v="5"/>
    <x v="6"/>
    <x v="7"/>
    <x v="7"/>
    <x v="4"/>
    <x v="2"/>
    <x v="1"/>
    <n v="29"/>
    <x v="1"/>
    <x v="2"/>
    <x v="4"/>
  </r>
  <r>
    <s v="62a36ad1f408bae018ed9793"/>
    <s v="anonymous"/>
    <x v="0"/>
    <x v="122"/>
    <x v="114"/>
    <x v="0"/>
    <x v="0"/>
    <m/>
    <x v="0"/>
    <x v="0"/>
    <x v="0"/>
    <x v="1"/>
    <x v="1"/>
    <x v="1"/>
    <x v="2"/>
    <x v="0"/>
    <x v="2"/>
    <x v="5"/>
    <x v="3"/>
    <x v="4"/>
    <x v="4"/>
    <x v="11"/>
    <x v="3"/>
    <x v="0"/>
    <x v="0"/>
    <n v="29"/>
    <x v="4"/>
    <x v="3"/>
    <x v="1"/>
  </r>
  <r>
    <s v="62a36b6c24a26260273882a2"/>
    <s v="anonymous"/>
    <x v="0"/>
    <x v="123"/>
    <x v="115"/>
    <x v="0"/>
    <x v="0"/>
    <m/>
    <x v="0"/>
    <x v="0"/>
    <x v="0"/>
    <x v="0"/>
    <x v="2"/>
    <x v="2"/>
    <x v="5"/>
    <x v="0"/>
    <x v="1"/>
    <x v="1"/>
    <x v="8"/>
    <x v="4"/>
    <x v="4"/>
    <x v="7"/>
    <x v="4"/>
    <x v="2"/>
    <x v="0"/>
    <n v="28"/>
    <x v="2"/>
    <x v="3"/>
    <x v="2"/>
  </r>
  <r>
    <s v="62a36b862e54c9003e5383c6"/>
    <s v="anonymous"/>
    <x v="0"/>
    <x v="124"/>
    <x v="23"/>
    <x v="0"/>
    <x v="0"/>
    <m/>
    <x v="0"/>
    <x v="0"/>
    <x v="2"/>
    <x v="1"/>
    <x v="5"/>
    <x v="5"/>
    <x v="2"/>
    <x v="2"/>
    <x v="8"/>
    <x v="1"/>
    <x v="10"/>
    <x v="1"/>
    <x v="3"/>
    <x v="9"/>
    <x v="4"/>
    <x v="1"/>
    <x v="0"/>
    <n v="34"/>
    <x v="3"/>
    <x v="2"/>
    <x v="0"/>
  </r>
  <r>
    <s v="62a36d12f8d5efcc22f82cd8"/>
    <s v="anonymous"/>
    <x v="0"/>
    <x v="125"/>
    <x v="116"/>
    <x v="0"/>
    <x v="0"/>
    <m/>
    <x v="0"/>
    <x v="0"/>
    <x v="4"/>
    <x v="1"/>
    <x v="2"/>
    <x v="2"/>
    <x v="4"/>
    <x v="0"/>
    <x v="2"/>
    <x v="4"/>
    <x v="0"/>
    <x v="5"/>
    <x v="2"/>
    <x v="8"/>
    <x v="1"/>
    <x v="4"/>
    <x v="0"/>
    <n v="24"/>
    <x v="2"/>
    <x v="3"/>
    <x v="0"/>
  </r>
  <r>
    <s v="62a36d3124a262602738862c"/>
    <s v="anonymous"/>
    <x v="0"/>
    <x v="126"/>
    <x v="117"/>
    <x v="0"/>
    <x v="0"/>
    <m/>
    <x v="0"/>
    <x v="0"/>
    <x v="0"/>
    <x v="0"/>
    <x v="2"/>
    <x v="2"/>
    <x v="3"/>
    <x v="0"/>
    <x v="8"/>
    <x v="2"/>
    <x v="5"/>
    <x v="7"/>
    <x v="2"/>
    <x v="6"/>
    <x v="2"/>
    <x v="2"/>
    <x v="0"/>
    <n v="26"/>
    <x v="2"/>
    <x v="2"/>
    <x v="4"/>
  </r>
  <r>
    <s v="62a36e470a77c1a77f662470"/>
    <s v="anonymous"/>
    <x v="0"/>
    <x v="127"/>
    <x v="18"/>
    <x v="0"/>
    <x v="0"/>
    <m/>
    <x v="0"/>
    <x v="0"/>
    <x v="0"/>
    <x v="1"/>
    <x v="4"/>
    <x v="4"/>
    <x v="4"/>
    <x v="0"/>
    <x v="3"/>
    <x v="6"/>
    <x v="6"/>
    <x v="2"/>
    <x v="5"/>
    <x v="2"/>
    <x v="3"/>
    <x v="1"/>
    <x v="0"/>
    <n v="28"/>
    <x v="0"/>
    <x v="2"/>
    <x v="3"/>
  </r>
  <r>
    <s v="62a36e7024a262602738890a"/>
    <s v="anonymous"/>
    <x v="0"/>
    <x v="127"/>
    <x v="118"/>
    <x v="0"/>
    <x v="0"/>
    <m/>
    <x v="0"/>
    <x v="0"/>
    <x v="4"/>
    <x v="1"/>
    <x v="2"/>
    <x v="2"/>
    <x v="5"/>
    <x v="1"/>
    <x v="8"/>
    <x v="4"/>
    <x v="2"/>
    <x v="3"/>
    <x v="0"/>
    <x v="5"/>
    <x v="3"/>
    <x v="1"/>
    <x v="0"/>
    <n v="25"/>
    <x v="2"/>
    <x v="3"/>
    <x v="0"/>
  </r>
  <r>
    <s v="62a36fe67dc029e2d66c5303"/>
    <s v="anonymous"/>
    <x v="0"/>
    <x v="128"/>
    <x v="119"/>
    <x v="0"/>
    <x v="0"/>
    <m/>
    <x v="0"/>
    <x v="0"/>
    <x v="0"/>
    <x v="0"/>
    <x v="2"/>
    <x v="2"/>
    <x v="4"/>
    <x v="0"/>
    <x v="1"/>
    <x v="4"/>
    <x v="7"/>
    <x v="8"/>
    <x v="6"/>
    <x v="2"/>
    <x v="1"/>
    <x v="2"/>
    <x v="0"/>
    <n v="33"/>
    <x v="2"/>
    <x v="2"/>
    <x v="3"/>
  </r>
  <r>
    <s v="62a3701f575fa3a5ae89164e"/>
    <s v="anonymous"/>
    <x v="0"/>
    <x v="128"/>
    <x v="55"/>
    <x v="0"/>
    <x v="0"/>
    <m/>
    <x v="0"/>
    <x v="0"/>
    <x v="0"/>
    <x v="0"/>
    <x v="6"/>
    <x v="6"/>
    <x v="1"/>
    <x v="0"/>
    <x v="5"/>
    <x v="4"/>
    <x v="4"/>
    <x v="4"/>
    <x v="7"/>
    <x v="9"/>
    <x v="4"/>
    <x v="0"/>
    <x v="0"/>
    <n v="30"/>
    <x v="2"/>
    <x v="3"/>
    <x v="0"/>
  </r>
  <r>
    <s v="62a370635d257a28a30de5eb"/>
    <s v="anonymous"/>
    <x v="0"/>
    <x v="129"/>
    <x v="89"/>
    <x v="0"/>
    <x v="0"/>
    <m/>
    <x v="0"/>
    <x v="0"/>
    <x v="0"/>
    <x v="0"/>
    <x v="2"/>
    <x v="2"/>
    <x v="1"/>
    <x v="0"/>
    <x v="1"/>
    <x v="9"/>
    <x v="9"/>
    <x v="9"/>
    <x v="1"/>
    <x v="3"/>
    <x v="0"/>
    <x v="2"/>
    <x v="0"/>
    <n v="35"/>
    <x v="4"/>
    <x v="2"/>
    <x v="4"/>
  </r>
  <r>
    <s v="62a37128d8c00e9f541a39dd"/>
    <s v="anonymous"/>
    <x v="0"/>
    <x v="130"/>
    <x v="43"/>
    <x v="0"/>
    <x v="0"/>
    <m/>
    <x v="0"/>
    <x v="0"/>
    <x v="0"/>
    <x v="1"/>
    <x v="2"/>
    <x v="2"/>
    <x v="2"/>
    <x v="2"/>
    <x v="8"/>
    <x v="1"/>
    <x v="1"/>
    <x v="0"/>
    <x v="4"/>
    <x v="7"/>
    <x v="3"/>
    <x v="2"/>
    <x v="0"/>
    <n v="25"/>
    <x v="2"/>
    <x v="2"/>
    <x v="0"/>
  </r>
  <r>
    <s v="62a3715124a2626027388f02"/>
    <s v="anonymous"/>
    <x v="0"/>
    <x v="131"/>
    <x v="18"/>
    <x v="0"/>
    <x v="0"/>
    <m/>
    <x v="0"/>
    <x v="0"/>
    <x v="0"/>
    <x v="1"/>
    <x v="2"/>
    <x v="2"/>
    <x v="7"/>
    <x v="0"/>
    <x v="5"/>
    <x v="10"/>
    <x v="7"/>
    <x v="0"/>
    <x v="8"/>
    <x v="8"/>
    <x v="1"/>
    <x v="2"/>
    <x v="0"/>
    <n v="23"/>
    <x v="2"/>
    <x v="2"/>
    <x v="0"/>
  </r>
  <r>
    <s v="62a37222cf2555431730732d"/>
    <s v="anonymous"/>
    <x v="0"/>
    <x v="132"/>
    <x v="3"/>
    <x v="0"/>
    <x v="0"/>
    <m/>
    <x v="0"/>
    <x v="0"/>
    <x v="1"/>
    <x v="1"/>
    <x v="2"/>
    <x v="2"/>
    <x v="0"/>
    <x v="0"/>
    <x v="9"/>
    <x v="3"/>
    <x v="4"/>
    <x v="0"/>
    <x v="7"/>
    <x v="0"/>
    <x v="4"/>
    <x v="1"/>
    <x v="0"/>
    <n v="24"/>
    <x v="2"/>
    <x v="2"/>
    <x v="3"/>
  </r>
  <r>
    <s v="62a373efbc6861bf3177360b"/>
    <s v="anonymous"/>
    <x v="0"/>
    <x v="133"/>
    <x v="110"/>
    <x v="0"/>
    <x v="0"/>
    <m/>
    <x v="0"/>
    <x v="0"/>
    <x v="0"/>
    <x v="0"/>
    <x v="3"/>
    <x v="3"/>
    <x v="5"/>
    <x v="2"/>
    <x v="10"/>
    <x v="0"/>
    <x v="7"/>
    <x v="8"/>
    <x v="5"/>
    <x v="10"/>
    <x v="4"/>
    <x v="2"/>
    <x v="0"/>
    <n v="27"/>
    <x v="0"/>
    <x v="3"/>
    <x v="2"/>
  </r>
  <r>
    <s v="62a3759e5d257a28a30def3a"/>
    <s v="anonymous"/>
    <x v="0"/>
    <x v="134"/>
    <x v="13"/>
    <x v="0"/>
    <x v="0"/>
    <m/>
    <x v="0"/>
    <x v="0"/>
    <x v="0"/>
    <x v="0"/>
    <x v="6"/>
    <x v="6"/>
    <x v="2"/>
    <x v="0"/>
    <x v="5"/>
    <x v="8"/>
    <x v="6"/>
    <x v="6"/>
    <x v="0"/>
    <x v="10"/>
    <x v="4"/>
    <x v="0"/>
    <x v="0"/>
    <n v="32"/>
    <x v="0"/>
    <x v="2"/>
    <x v="1"/>
  </r>
  <r>
    <s v="62a3777624a262602738997e"/>
    <s v="anonymous"/>
    <x v="0"/>
    <x v="135"/>
    <x v="82"/>
    <x v="0"/>
    <x v="0"/>
    <m/>
    <x v="0"/>
    <x v="0"/>
    <x v="0"/>
    <x v="0"/>
    <x v="1"/>
    <x v="1"/>
    <x v="4"/>
    <x v="0"/>
    <x v="6"/>
    <x v="6"/>
    <x v="2"/>
    <x v="3"/>
    <x v="7"/>
    <x v="7"/>
    <x v="4"/>
    <x v="1"/>
    <x v="0"/>
    <n v="50"/>
    <x v="1"/>
    <x v="2"/>
    <x v="0"/>
  </r>
  <r>
    <s v="62a377987dc029e2d66c638d"/>
    <s v="anonymous"/>
    <x v="0"/>
    <x v="135"/>
    <x v="7"/>
    <x v="0"/>
    <x v="0"/>
    <m/>
    <x v="0"/>
    <x v="0"/>
    <x v="5"/>
    <x v="0"/>
    <x v="6"/>
    <x v="6"/>
    <x v="2"/>
    <x v="0"/>
    <x v="7"/>
    <x v="10"/>
    <x v="5"/>
    <x v="7"/>
    <x v="9"/>
    <x v="2"/>
    <x v="4"/>
    <x v="0"/>
    <x v="0"/>
    <n v="29"/>
    <x v="0"/>
    <x v="1"/>
    <x v="0"/>
  </r>
  <r>
    <s v="62a377f424a2626027389af3"/>
    <s v="anonymous"/>
    <x v="0"/>
    <x v="136"/>
    <x v="31"/>
    <x v="0"/>
    <x v="0"/>
    <m/>
    <x v="0"/>
    <x v="0"/>
    <x v="0"/>
    <x v="0"/>
    <x v="2"/>
    <x v="2"/>
    <x v="3"/>
    <x v="1"/>
    <x v="4"/>
    <x v="2"/>
    <x v="0"/>
    <x v="5"/>
    <x v="0"/>
    <x v="10"/>
    <x v="4"/>
    <x v="1"/>
    <x v="0"/>
    <n v="41"/>
    <x v="2"/>
    <x v="2"/>
    <x v="3"/>
  </r>
  <r>
    <s v="62a3784c0f8c8599d5af8fbc"/>
    <s v="anonymous"/>
    <x v="0"/>
    <x v="137"/>
    <x v="120"/>
    <x v="0"/>
    <x v="0"/>
    <m/>
    <x v="0"/>
    <x v="0"/>
    <x v="2"/>
    <x v="1"/>
    <x v="2"/>
    <x v="2"/>
    <x v="2"/>
    <x v="1"/>
    <x v="1"/>
    <x v="10"/>
    <x v="0"/>
    <x v="9"/>
    <x v="7"/>
    <x v="2"/>
    <x v="4"/>
    <x v="2"/>
    <x v="0"/>
    <n v="23"/>
    <x v="0"/>
    <x v="4"/>
    <x v="0"/>
  </r>
  <r>
    <s v="62a37a43d8c00e9f541a4a7c"/>
    <s v="anonymous"/>
    <x v="0"/>
    <x v="138"/>
    <x v="121"/>
    <x v="0"/>
    <x v="0"/>
    <m/>
    <x v="0"/>
    <x v="0"/>
    <x v="0"/>
    <x v="0"/>
    <x v="2"/>
    <x v="2"/>
    <x v="1"/>
    <x v="0"/>
    <x v="5"/>
    <x v="10"/>
    <x v="5"/>
    <x v="8"/>
    <x v="6"/>
    <x v="8"/>
    <x v="3"/>
    <x v="2"/>
    <x v="0"/>
    <n v="31"/>
    <x v="2"/>
    <x v="2"/>
    <x v="2"/>
  </r>
  <r>
    <s v="62a37a7818134ddc75cf0d4c"/>
    <s v="anonymous"/>
    <x v="0"/>
    <x v="139"/>
    <x v="8"/>
    <x v="0"/>
    <x v="0"/>
    <m/>
    <x v="0"/>
    <x v="0"/>
    <x v="0"/>
    <x v="1"/>
    <x v="2"/>
    <x v="2"/>
    <x v="0"/>
    <x v="0"/>
    <x v="2"/>
    <x v="8"/>
    <x v="6"/>
    <x v="2"/>
    <x v="9"/>
    <x v="2"/>
    <x v="3"/>
    <x v="2"/>
    <x v="0"/>
    <n v="22"/>
    <x v="2"/>
    <x v="2"/>
    <x v="5"/>
  </r>
  <r>
    <s v="62a37aa1cf255543173081e5"/>
    <s v="anonymous"/>
    <x v="0"/>
    <x v="139"/>
    <x v="4"/>
    <x v="0"/>
    <x v="0"/>
    <m/>
    <x v="0"/>
    <x v="0"/>
    <x v="0"/>
    <x v="1"/>
    <x v="6"/>
    <x v="6"/>
    <x v="1"/>
    <x v="0"/>
    <x v="6"/>
    <x v="6"/>
    <x v="1"/>
    <x v="0"/>
    <x v="4"/>
    <x v="1"/>
    <x v="0"/>
    <x v="2"/>
    <x v="0"/>
    <n v="29"/>
    <x v="0"/>
    <x v="3"/>
    <x v="3"/>
  </r>
  <r>
    <s v="62a37ad924a2626027389f8a"/>
    <s v="anonymous"/>
    <x v="0"/>
    <x v="140"/>
    <x v="50"/>
    <x v="0"/>
    <x v="0"/>
    <m/>
    <x v="0"/>
    <x v="0"/>
    <x v="3"/>
    <x v="0"/>
    <x v="2"/>
    <x v="2"/>
    <x v="4"/>
    <x v="0"/>
    <x v="5"/>
    <x v="4"/>
    <x v="2"/>
    <x v="10"/>
    <x v="3"/>
    <x v="10"/>
    <x v="3"/>
    <x v="3"/>
    <x v="0"/>
    <n v="23"/>
    <x v="2"/>
    <x v="2"/>
    <x v="4"/>
  </r>
  <r>
    <s v="62a37b7db4da29969c636123"/>
    <s v="anonymous"/>
    <x v="0"/>
    <x v="141"/>
    <x v="7"/>
    <x v="0"/>
    <x v="0"/>
    <m/>
    <x v="0"/>
    <x v="0"/>
    <x v="4"/>
    <x v="1"/>
    <x v="2"/>
    <x v="2"/>
    <x v="2"/>
    <x v="2"/>
    <x v="2"/>
    <x v="7"/>
    <x v="9"/>
    <x v="9"/>
    <x v="3"/>
    <x v="3"/>
    <x v="4"/>
    <x v="0"/>
    <x v="1"/>
    <n v="24"/>
    <x v="0"/>
    <x v="1"/>
    <x v="3"/>
  </r>
  <r>
    <s v="62a37bab2e54c9003e53a10a"/>
    <s v="anonymous"/>
    <x v="0"/>
    <x v="142"/>
    <x v="122"/>
    <x v="0"/>
    <x v="0"/>
    <m/>
    <x v="0"/>
    <x v="0"/>
    <x v="0"/>
    <x v="0"/>
    <x v="6"/>
    <x v="6"/>
    <x v="2"/>
    <x v="0"/>
    <x v="8"/>
    <x v="0"/>
    <x v="6"/>
    <x v="2"/>
    <x v="0"/>
    <x v="2"/>
    <x v="4"/>
    <x v="2"/>
    <x v="0"/>
    <n v="26"/>
    <x v="0"/>
    <x v="2"/>
    <x v="2"/>
  </r>
  <r>
    <s v="62a37c50cec54911e9cacee2"/>
    <s v="anonymous"/>
    <x v="0"/>
    <x v="143"/>
    <x v="1"/>
    <x v="0"/>
    <x v="0"/>
    <m/>
    <x v="0"/>
    <x v="0"/>
    <x v="4"/>
    <x v="0"/>
    <x v="2"/>
    <x v="2"/>
    <x v="1"/>
    <x v="0"/>
    <x v="5"/>
    <x v="5"/>
    <x v="1"/>
    <x v="1"/>
    <x v="8"/>
    <x v="1"/>
    <x v="3"/>
    <x v="3"/>
    <x v="0"/>
    <n v="31"/>
    <x v="4"/>
    <x v="2"/>
    <x v="1"/>
  </r>
  <r>
    <s v="62a37d41bae91e4b8b8369f7"/>
    <s v="anonymous"/>
    <x v="0"/>
    <x v="144"/>
    <x v="105"/>
    <x v="0"/>
    <x v="0"/>
    <m/>
    <x v="0"/>
    <x v="0"/>
    <x v="0"/>
    <x v="0"/>
    <x v="2"/>
    <x v="2"/>
    <x v="2"/>
    <x v="0"/>
    <x v="1"/>
    <x v="9"/>
    <x v="9"/>
    <x v="9"/>
    <x v="2"/>
    <x v="6"/>
    <x v="4"/>
    <x v="0"/>
    <x v="0"/>
    <n v="22"/>
    <x v="2"/>
    <x v="2"/>
    <x v="2"/>
  </r>
  <r>
    <s v="62a37f8db4da29969c6367bf"/>
    <s v="anonymous"/>
    <x v="0"/>
    <x v="145"/>
    <x v="38"/>
    <x v="0"/>
    <x v="0"/>
    <m/>
    <x v="0"/>
    <x v="0"/>
    <x v="0"/>
    <x v="0"/>
    <x v="6"/>
    <x v="6"/>
    <x v="2"/>
    <x v="0"/>
    <x v="7"/>
    <x v="2"/>
    <x v="6"/>
    <x v="6"/>
    <x v="2"/>
    <x v="5"/>
    <x v="4"/>
    <x v="0"/>
    <x v="0"/>
    <n v="31"/>
    <x v="2"/>
    <x v="2"/>
    <x v="0"/>
  </r>
  <r>
    <s v="62a37ff3bae91e4b8b836ed0"/>
    <s v="anonymous"/>
    <x v="0"/>
    <x v="146"/>
    <x v="18"/>
    <x v="0"/>
    <x v="0"/>
    <m/>
    <x v="0"/>
    <x v="0"/>
    <x v="4"/>
    <x v="0"/>
    <x v="2"/>
    <x v="2"/>
    <x v="4"/>
    <x v="0"/>
    <x v="2"/>
    <x v="4"/>
    <x v="10"/>
    <x v="10"/>
    <x v="7"/>
    <x v="5"/>
    <x v="4"/>
    <x v="2"/>
    <x v="0"/>
    <n v="27"/>
    <x v="0"/>
    <x v="3"/>
    <x v="1"/>
  </r>
  <r>
    <s v="62a38023575fa3a5ae89339e"/>
    <s v="anonymous"/>
    <x v="0"/>
    <x v="147"/>
    <x v="63"/>
    <x v="0"/>
    <x v="0"/>
    <m/>
    <x v="0"/>
    <x v="0"/>
    <x v="4"/>
    <x v="1"/>
    <x v="2"/>
    <x v="2"/>
    <x v="2"/>
    <x v="0"/>
    <x v="1"/>
    <x v="9"/>
    <x v="8"/>
    <x v="9"/>
    <x v="1"/>
    <x v="3"/>
    <x v="3"/>
    <x v="2"/>
    <x v="1"/>
    <n v="25"/>
    <x v="0"/>
    <x v="2"/>
    <x v="1"/>
  </r>
  <r>
    <s v="62a38153cec54911e9cad855"/>
    <s v="anonymous"/>
    <x v="0"/>
    <x v="148"/>
    <x v="123"/>
    <x v="0"/>
    <x v="0"/>
    <m/>
    <x v="0"/>
    <x v="0"/>
    <x v="0"/>
    <x v="0"/>
    <x v="2"/>
    <x v="2"/>
    <x v="0"/>
    <x v="0"/>
    <x v="5"/>
    <x v="8"/>
    <x v="6"/>
    <x v="6"/>
    <x v="6"/>
    <x v="2"/>
    <x v="1"/>
    <x v="1"/>
    <x v="0"/>
    <n v="30"/>
    <x v="2"/>
    <x v="3"/>
    <x v="3"/>
  </r>
  <r>
    <s v="62a381d024a262602738ab19"/>
    <s v="anonymous"/>
    <x v="0"/>
    <x v="149"/>
    <x v="47"/>
    <x v="0"/>
    <x v="0"/>
    <m/>
    <x v="0"/>
    <x v="0"/>
    <x v="0"/>
    <x v="0"/>
    <x v="1"/>
    <x v="1"/>
    <x v="0"/>
    <x v="1"/>
    <x v="2"/>
    <x v="3"/>
    <x v="1"/>
    <x v="5"/>
    <x v="3"/>
    <x v="4"/>
    <x v="1"/>
    <x v="4"/>
    <x v="0"/>
    <n v="28"/>
    <x v="0"/>
    <x v="3"/>
    <x v="3"/>
  </r>
  <r>
    <s v="62a38227bae91e4b8b837235"/>
    <s v="anonymous"/>
    <x v="0"/>
    <x v="150"/>
    <x v="29"/>
    <x v="0"/>
    <x v="0"/>
    <m/>
    <x v="0"/>
    <x v="0"/>
    <x v="0"/>
    <x v="1"/>
    <x v="4"/>
    <x v="4"/>
    <x v="1"/>
    <x v="0"/>
    <x v="9"/>
    <x v="3"/>
    <x v="1"/>
    <x v="3"/>
    <x v="8"/>
    <x v="7"/>
    <x v="1"/>
    <x v="0"/>
    <x v="0"/>
    <n v="26"/>
    <x v="0"/>
    <x v="2"/>
    <x v="0"/>
  </r>
  <r>
    <s v="62a38489cf25554317309145"/>
    <s v="anonymous"/>
    <x v="0"/>
    <x v="151"/>
    <x v="115"/>
    <x v="0"/>
    <x v="0"/>
    <m/>
    <x v="0"/>
    <x v="0"/>
    <x v="3"/>
    <x v="0"/>
    <x v="4"/>
    <x v="4"/>
    <x v="2"/>
    <x v="0"/>
    <x v="9"/>
    <x v="10"/>
    <x v="0"/>
    <x v="2"/>
    <x v="5"/>
    <x v="0"/>
    <x v="4"/>
    <x v="0"/>
    <x v="1"/>
    <n v="32"/>
    <x v="0"/>
    <x v="3"/>
    <x v="0"/>
  </r>
  <r>
    <s v="62a384f0cec54911e9cadd6f"/>
    <s v="anonymous"/>
    <x v="0"/>
    <x v="152"/>
    <x v="60"/>
    <x v="0"/>
    <x v="0"/>
    <m/>
    <x v="0"/>
    <x v="0"/>
    <x v="0"/>
    <x v="0"/>
    <x v="2"/>
    <x v="2"/>
    <x v="2"/>
    <x v="2"/>
    <x v="6"/>
    <x v="6"/>
    <x v="4"/>
    <x v="3"/>
    <x v="5"/>
    <x v="10"/>
    <x v="4"/>
    <x v="2"/>
    <x v="1"/>
    <n v="40"/>
    <x v="2"/>
    <x v="5"/>
    <x v="0"/>
  </r>
  <r>
    <s v="62a385480f8c8599d5afa5c6"/>
    <s v="anonymous"/>
    <x v="0"/>
    <x v="153"/>
    <x v="35"/>
    <x v="0"/>
    <x v="0"/>
    <m/>
    <x v="0"/>
    <x v="0"/>
    <x v="1"/>
    <x v="0"/>
    <x v="2"/>
    <x v="2"/>
    <x v="2"/>
    <x v="0"/>
    <x v="5"/>
    <x v="10"/>
    <x v="0"/>
    <x v="5"/>
    <x v="6"/>
    <x v="0"/>
    <x v="4"/>
    <x v="2"/>
    <x v="0"/>
    <n v="36"/>
    <x v="2"/>
    <x v="4"/>
    <x v="1"/>
  </r>
  <r>
    <s v="62a3856218134ddc75cf1ee0"/>
    <s v="anonymous"/>
    <x v="0"/>
    <x v="153"/>
    <x v="9"/>
    <x v="0"/>
    <x v="0"/>
    <m/>
    <x v="0"/>
    <x v="0"/>
    <x v="0"/>
    <x v="0"/>
    <x v="6"/>
    <x v="6"/>
    <x v="1"/>
    <x v="0"/>
    <x v="9"/>
    <x v="8"/>
    <x v="7"/>
    <x v="7"/>
    <x v="10"/>
    <x v="2"/>
    <x v="3"/>
    <x v="2"/>
    <x v="0"/>
    <n v="35"/>
    <x v="0"/>
    <x v="2"/>
    <x v="3"/>
  </r>
  <r>
    <s v="62a385c40f8c8599d5afa6cf"/>
    <s v="anonymous"/>
    <x v="0"/>
    <x v="154"/>
    <x v="118"/>
    <x v="0"/>
    <x v="0"/>
    <m/>
    <x v="0"/>
    <x v="0"/>
    <x v="0"/>
    <x v="0"/>
    <x v="6"/>
    <x v="6"/>
    <x v="4"/>
    <x v="0"/>
    <x v="6"/>
    <x v="4"/>
    <x v="2"/>
    <x v="3"/>
    <x v="0"/>
    <x v="5"/>
    <x v="0"/>
    <x v="1"/>
    <x v="0"/>
    <n v="29"/>
    <x v="0"/>
    <x v="3"/>
    <x v="1"/>
  </r>
  <r>
    <s v="62a385ddbae91e4b8b837855"/>
    <s v="anonymous"/>
    <x v="0"/>
    <x v="154"/>
    <x v="124"/>
    <x v="0"/>
    <x v="0"/>
    <m/>
    <x v="0"/>
    <x v="0"/>
    <x v="0"/>
    <x v="1"/>
    <x v="1"/>
    <x v="1"/>
    <x v="1"/>
    <x v="0"/>
    <x v="9"/>
    <x v="6"/>
    <x v="7"/>
    <x v="7"/>
    <x v="2"/>
    <x v="5"/>
    <x v="4"/>
    <x v="4"/>
    <x v="1"/>
    <n v="25"/>
    <x v="2"/>
    <x v="3"/>
    <x v="3"/>
  </r>
  <r>
    <s v="62a385e7b4da29969c6372ab"/>
    <s v="anonymous"/>
    <x v="0"/>
    <x v="154"/>
    <x v="125"/>
    <x v="0"/>
    <x v="0"/>
    <m/>
    <x v="0"/>
    <x v="0"/>
    <x v="6"/>
    <x v="0"/>
    <x v="1"/>
    <x v="1"/>
    <x v="2"/>
    <x v="0"/>
    <x v="9"/>
    <x v="2"/>
    <x v="5"/>
    <x v="7"/>
    <x v="5"/>
    <x v="8"/>
    <x v="3"/>
    <x v="0"/>
    <x v="0"/>
    <n v="29"/>
    <x v="0"/>
    <x v="2"/>
    <x v="0"/>
  </r>
  <r>
    <s v="62a386dfcec54911e9cae1d3"/>
    <s v="anonymous"/>
    <x v="0"/>
    <x v="155"/>
    <x v="50"/>
    <x v="0"/>
    <x v="0"/>
    <m/>
    <x v="0"/>
    <x v="0"/>
    <x v="0"/>
    <x v="1"/>
    <x v="5"/>
    <x v="5"/>
    <x v="8"/>
    <x v="0"/>
    <x v="7"/>
    <x v="3"/>
    <x v="0"/>
    <x v="3"/>
    <x v="0"/>
    <x v="8"/>
    <x v="3"/>
    <x v="1"/>
    <x v="0"/>
    <n v="26"/>
    <x v="0"/>
    <x v="2"/>
    <x v="2"/>
  </r>
  <r>
    <s v="62a3870bbc6861bf31775841"/>
    <s v="anonymous"/>
    <x v="0"/>
    <x v="155"/>
    <x v="75"/>
    <x v="0"/>
    <x v="0"/>
    <m/>
    <x v="0"/>
    <x v="0"/>
    <x v="0"/>
    <x v="1"/>
    <x v="2"/>
    <x v="2"/>
    <x v="2"/>
    <x v="1"/>
    <x v="1"/>
    <x v="9"/>
    <x v="9"/>
    <x v="9"/>
    <x v="1"/>
    <x v="3"/>
    <x v="4"/>
    <x v="0"/>
    <x v="0"/>
    <n v="34"/>
    <x v="2"/>
    <x v="2"/>
    <x v="2"/>
  </r>
  <r>
    <s v="62a38733f8d5efcc22f859fc"/>
    <s v="anonymous"/>
    <x v="0"/>
    <x v="156"/>
    <x v="8"/>
    <x v="0"/>
    <x v="0"/>
    <m/>
    <x v="0"/>
    <x v="0"/>
    <x v="0"/>
    <x v="0"/>
    <x v="2"/>
    <x v="2"/>
    <x v="1"/>
    <x v="0"/>
    <x v="8"/>
    <x v="1"/>
    <x v="1"/>
    <x v="3"/>
    <x v="4"/>
    <x v="5"/>
    <x v="4"/>
    <x v="1"/>
    <x v="0"/>
    <n v="26"/>
    <x v="2"/>
    <x v="2"/>
    <x v="0"/>
  </r>
  <r>
    <s v="62a387e6575fa3a5ae8940a1"/>
    <s v="anonymous"/>
    <x v="0"/>
    <x v="157"/>
    <x v="126"/>
    <x v="0"/>
    <x v="0"/>
    <m/>
    <x v="0"/>
    <x v="0"/>
    <x v="0"/>
    <x v="1"/>
    <x v="2"/>
    <x v="2"/>
    <x v="4"/>
    <x v="0"/>
    <x v="6"/>
    <x v="5"/>
    <x v="1"/>
    <x v="3"/>
    <x v="4"/>
    <x v="4"/>
    <x v="3"/>
    <x v="4"/>
    <x v="1"/>
    <n v="22"/>
    <x v="4"/>
    <x v="2"/>
    <x v="1"/>
  </r>
  <r>
    <s v="62a388d524a262602738b869"/>
    <s v="anonymous"/>
    <x v="0"/>
    <x v="158"/>
    <x v="115"/>
    <x v="0"/>
    <x v="0"/>
    <m/>
    <x v="0"/>
    <x v="0"/>
    <x v="4"/>
    <x v="0"/>
    <x v="2"/>
    <x v="2"/>
    <x v="6"/>
    <x v="0"/>
    <x v="2"/>
    <x v="1"/>
    <x v="10"/>
    <x v="9"/>
    <x v="1"/>
    <x v="4"/>
    <x v="0"/>
    <x v="0"/>
    <x v="1"/>
    <n v="24"/>
    <x v="2"/>
    <x v="2"/>
    <x v="2"/>
  </r>
  <r>
    <s v="62a38975b4da29969c637830"/>
    <s v="anonymous"/>
    <x v="0"/>
    <x v="159"/>
    <x v="68"/>
    <x v="0"/>
    <x v="0"/>
    <m/>
    <x v="0"/>
    <x v="0"/>
    <x v="0"/>
    <x v="1"/>
    <x v="2"/>
    <x v="2"/>
    <x v="2"/>
    <x v="0"/>
    <x v="6"/>
    <x v="3"/>
    <x v="4"/>
    <x v="5"/>
    <x v="7"/>
    <x v="1"/>
    <x v="4"/>
    <x v="2"/>
    <x v="0"/>
    <n v="26"/>
    <x v="2"/>
    <x v="2"/>
    <x v="3"/>
  </r>
  <r>
    <s v="62a38985f8f756164585b89c"/>
    <s v="anonymous"/>
    <x v="0"/>
    <x v="159"/>
    <x v="127"/>
    <x v="0"/>
    <x v="0"/>
    <m/>
    <x v="0"/>
    <x v="0"/>
    <x v="5"/>
    <x v="0"/>
    <x v="2"/>
    <x v="2"/>
    <x v="1"/>
    <x v="0"/>
    <x v="8"/>
    <x v="3"/>
    <x v="8"/>
    <x v="4"/>
    <x v="4"/>
    <x v="5"/>
    <x v="0"/>
    <x v="1"/>
    <x v="1"/>
    <n v="34"/>
    <x v="2"/>
    <x v="3"/>
    <x v="0"/>
  </r>
  <r>
    <s v="62a389b70f8c8599d5afad1a"/>
    <s v="anonymous"/>
    <x v="0"/>
    <x v="160"/>
    <x v="128"/>
    <x v="0"/>
    <x v="0"/>
    <m/>
    <x v="0"/>
    <x v="0"/>
    <x v="0"/>
    <x v="1"/>
    <x v="2"/>
    <x v="2"/>
    <x v="4"/>
    <x v="0"/>
    <x v="6"/>
    <x v="6"/>
    <x v="2"/>
    <x v="0"/>
    <x v="7"/>
    <x v="4"/>
    <x v="4"/>
    <x v="2"/>
    <x v="0"/>
    <n v="29"/>
    <x v="4"/>
    <x v="2"/>
    <x v="1"/>
  </r>
  <r>
    <s v="62a389ed18134ddc75cf24f8"/>
    <s v="anonymous"/>
    <x v="0"/>
    <x v="161"/>
    <x v="8"/>
    <x v="0"/>
    <x v="0"/>
    <m/>
    <x v="0"/>
    <x v="0"/>
    <x v="3"/>
    <x v="1"/>
    <x v="2"/>
    <x v="2"/>
    <x v="4"/>
    <x v="1"/>
    <x v="4"/>
    <x v="10"/>
    <x v="0"/>
    <x v="8"/>
    <x v="2"/>
    <x v="0"/>
    <x v="1"/>
    <x v="2"/>
    <x v="0"/>
    <n v="21"/>
    <x v="2"/>
    <x v="2"/>
    <x v="2"/>
  </r>
  <r>
    <s v="62a38a060a77c1a77f6654b7"/>
    <s v="anonymous"/>
    <x v="0"/>
    <x v="161"/>
    <x v="42"/>
    <x v="0"/>
    <x v="0"/>
    <m/>
    <x v="0"/>
    <x v="0"/>
    <x v="2"/>
    <x v="1"/>
    <x v="2"/>
    <x v="2"/>
    <x v="2"/>
    <x v="0"/>
    <x v="4"/>
    <x v="4"/>
    <x v="1"/>
    <x v="4"/>
    <x v="1"/>
    <x v="3"/>
    <x v="4"/>
    <x v="1"/>
    <x v="1"/>
    <n v="35"/>
    <x v="2"/>
    <x v="3"/>
    <x v="0"/>
  </r>
  <r>
    <s v="62a38a4d575fa3a5ae8944df"/>
    <s v="anonymous"/>
    <x v="0"/>
    <x v="162"/>
    <x v="129"/>
    <x v="0"/>
    <x v="0"/>
    <m/>
    <x v="0"/>
    <x v="0"/>
    <x v="0"/>
    <x v="1"/>
    <x v="1"/>
    <x v="1"/>
    <x v="5"/>
    <x v="0"/>
    <x v="7"/>
    <x v="10"/>
    <x v="5"/>
    <x v="6"/>
    <x v="5"/>
    <x v="0"/>
    <x v="4"/>
    <x v="1"/>
    <x v="0"/>
    <n v="26"/>
    <x v="0"/>
    <x v="2"/>
    <x v="2"/>
  </r>
  <r>
    <s v="62a38a97cf25554317309af2"/>
    <s v="anonymous"/>
    <x v="0"/>
    <x v="163"/>
    <x v="130"/>
    <x v="0"/>
    <x v="0"/>
    <m/>
    <x v="0"/>
    <x v="0"/>
    <x v="0"/>
    <x v="0"/>
    <x v="1"/>
    <x v="1"/>
    <x v="2"/>
    <x v="0"/>
    <x v="4"/>
    <x v="4"/>
    <x v="0"/>
    <x v="2"/>
    <x v="0"/>
    <x v="2"/>
    <x v="4"/>
    <x v="0"/>
    <x v="0"/>
    <n v="28"/>
    <x v="0"/>
    <x v="2"/>
    <x v="0"/>
  </r>
  <r>
    <s v="62a38c120f8c8599d5afb0e9"/>
    <s v="anonymous"/>
    <x v="0"/>
    <x v="164"/>
    <x v="75"/>
    <x v="0"/>
    <x v="0"/>
    <m/>
    <x v="0"/>
    <x v="0"/>
    <x v="2"/>
    <x v="1"/>
    <x v="1"/>
    <x v="1"/>
    <x v="2"/>
    <x v="0"/>
    <x v="1"/>
    <x v="6"/>
    <x v="1"/>
    <x v="9"/>
    <x v="3"/>
    <x v="1"/>
    <x v="1"/>
    <x v="2"/>
    <x v="1"/>
    <n v="33"/>
    <x v="0"/>
    <x v="2"/>
    <x v="0"/>
  </r>
  <r>
    <s v="62a38c9dbc6861bf317760c4"/>
    <s v="anonymous"/>
    <x v="0"/>
    <x v="165"/>
    <x v="43"/>
    <x v="0"/>
    <x v="0"/>
    <m/>
    <x v="0"/>
    <x v="0"/>
    <x v="0"/>
    <x v="0"/>
    <x v="6"/>
    <x v="6"/>
    <x v="2"/>
    <x v="2"/>
    <x v="7"/>
    <x v="3"/>
    <x v="1"/>
    <x v="8"/>
    <x v="7"/>
    <x v="7"/>
    <x v="1"/>
    <x v="2"/>
    <x v="1"/>
    <n v="56"/>
    <x v="0"/>
    <x v="2"/>
    <x v="0"/>
  </r>
  <r>
    <s v="62a38de50f8c8599d5afb3e7"/>
    <s v="anonymous"/>
    <x v="0"/>
    <x v="166"/>
    <x v="131"/>
    <x v="0"/>
    <x v="0"/>
    <m/>
    <x v="0"/>
    <x v="0"/>
    <x v="2"/>
    <x v="1"/>
    <x v="2"/>
    <x v="2"/>
    <x v="2"/>
    <x v="0"/>
    <x v="6"/>
    <x v="5"/>
    <x v="4"/>
    <x v="0"/>
    <x v="11"/>
    <x v="7"/>
    <x v="3"/>
    <x v="1"/>
    <x v="0"/>
    <n v="23"/>
    <x v="4"/>
    <x v="2"/>
    <x v="1"/>
  </r>
  <r>
    <s v="62a3906224a262602738c58a"/>
    <s v="anonymous"/>
    <x v="0"/>
    <x v="167"/>
    <x v="93"/>
    <x v="0"/>
    <x v="0"/>
    <m/>
    <x v="0"/>
    <x v="0"/>
    <x v="3"/>
    <x v="0"/>
    <x v="4"/>
    <x v="4"/>
    <x v="0"/>
    <x v="0"/>
    <x v="5"/>
    <x v="6"/>
    <x v="1"/>
    <x v="0"/>
    <x v="7"/>
    <x v="5"/>
    <x v="3"/>
    <x v="2"/>
    <x v="0"/>
    <n v="28"/>
    <x v="0"/>
    <x v="3"/>
    <x v="0"/>
  </r>
  <r>
    <s v="62a3907cbae91e4b8b838917"/>
    <s v="anonymous"/>
    <x v="0"/>
    <x v="168"/>
    <x v="47"/>
    <x v="0"/>
    <x v="0"/>
    <m/>
    <x v="0"/>
    <x v="0"/>
    <x v="4"/>
    <x v="1"/>
    <x v="2"/>
    <x v="2"/>
    <x v="2"/>
    <x v="3"/>
    <x v="2"/>
    <x v="7"/>
    <x v="10"/>
    <x v="10"/>
    <x v="3"/>
    <x v="2"/>
    <x v="4"/>
    <x v="0"/>
    <x v="0"/>
    <n v="21"/>
    <x v="2"/>
    <x v="1"/>
    <x v="0"/>
  </r>
  <r>
    <s v="62a390c0d8c00e9f541a6fd7"/>
    <s v="anonymous"/>
    <x v="0"/>
    <x v="169"/>
    <x v="22"/>
    <x v="0"/>
    <x v="0"/>
    <m/>
    <x v="0"/>
    <x v="0"/>
    <x v="4"/>
    <x v="1"/>
    <x v="6"/>
    <x v="6"/>
    <x v="2"/>
    <x v="0"/>
    <x v="4"/>
    <x v="1"/>
    <x v="2"/>
    <x v="9"/>
    <x v="8"/>
    <x v="3"/>
    <x v="4"/>
    <x v="1"/>
    <x v="0"/>
    <n v="35"/>
    <x v="0"/>
    <x v="3"/>
    <x v="2"/>
  </r>
  <r>
    <s v="62a390e4f3072dd89262c0cd"/>
    <s v="anonymous"/>
    <x v="0"/>
    <x v="169"/>
    <x v="7"/>
    <x v="0"/>
    <x v="0"/>
    <m/>
    <x v="0"/>
    <x v="0"/>
    <x v="0"/>
    <x v="1"/>
    <x v="1"/>
    <x v="1"/>
    <x v="0"/>
    <x v="0"/>
    <x v="7"/>
    <x v="6"/>
    <x v="7"/>
    <x v="7"/>
    <x v="10"/>
    <x v="8"/>
    <x v="4"/>
    <x v="0"/>
    <x v="0"/>
    <n v="29"/>
    <x v="2"/>
    <x v="3"/>
    <x v="1"/>
  </r>
  <r>
    <s v="62a391cacf2555431730a623"/>
    <s v="anonymous"/>
    <x v="0"/>
    <x v="170"/>
    <x v="45"/>
    <x v="0"/>
    <x v="0"/>
    <m/>
    <x v="0"/>
    <x v="0"/>
    <x v="0"/>
    <x v="1"/>
    <x v="5"/>
    <x v="5"/>
    <x v="4"/>
    <x v="0"/>
    <x v="0"/>
    <x v="8"/>
    <x v="5"/>
    <x v="6"/>
    <x v="2"/>
    <x v="0"/>
    <x v="4"/>
    <x v="4"/>
    <x v="1"/>
    <n v="23"/>
    <x v="0"/>
    <x v="2"/>
    <x v="1"/>
  </r>
  <r>
    <s v="62a39214f8f756164585c6b6"/>
    <s v="anonymous"/>
    <x v="0"/>
    <x v="171"/>
    <x v="132"/>
    <x v="0"/>
    <x v="0"/>
    <m/>
    <x v="0"/>
    <x v="0"/>
    <x v="2"/>
    <x v="1"/>
    <x v="1"/>
    <x v="1"/>
    <x v="1"/>
    <x v="0"/>
    <x v="6"/>
    <x v="5"/>
    <x v="3"/>
    <x v="10"/>
    <x v="3"/>
    <x v="3"/>
    <x v="3"/>
    <x v="1"/>
    <x v="0"/>
    <n v="25"/>
    <x v="4"/>
    <x v="2"/>
    <x v="1"/>
  </r>
  <r>
    <s v="62a39297b4da29969c638679"/>
    <s v="anonymous"/>
    <x v="0"/>
    <x v="172"/>
    <x v="67"/>
    <x v="0"/>
    <x v="0"/>
    <m/>
    <x v="0"/>
    <x v="0"/>
    <x v="1"/>
    <x v="0"/>
    <x v="5"/>
    <x v="5"/>
    <x v="2"/>
    <x v="0"/>
    <x v="10"/>
    <x v="10"/>
    <x v="6"/>
    <x v="7"/>
    <x v="9"/>
    <x v="2"/>
    <x v="1"/>
    <x v="2"/>
    <x v="0"/>
    <n v="27"/>
    <x v="0"/>
    <x v="3"/>
    <x v="0"/>
  </r>
  <r>
    <s v="62a393330a77c1a77f6662e4"/>
    <s v="anonymous"/>
    <x v="0"/>
    <x v="173"/>
    <x v="120"/>
    <x v="0"/>
    <x v="0"/>
    <m/>
    <x v="0"/>
    <x v="0"/>
    <x v="0"/>
    <x v="1"/>
    <x v="2"/>
    <x v="2"/>
    <x v="4"/>
    <x v="0"/>
    <x v="6"/>
    <x v="2"/>
    <x v="0"/>
    <x v="0"/>
    <x v="6"/>
    <x v="0"/>
    <x v="4"/>
    <x v="2"/>
    <x v="0"/>
    <n v="22"/>
    <x v="4"/>
    <x v="2"/>
    <x v="4"/>
  </r>
  <r>
    <s v="62a3944024a262602738cb07"/>
    <s v="anonymous"/>
    <x v="0"/>
    <x v="174"/>
    <x v="75"/>
    <x v="0"/>
    <x v="0"/>
    <m/>
    <x v="0"/>
    <x v="0"/>
    <x v="0"/>
    <x v="0"/>
    <x v="2"/>
    <x v="2"/>
    <x v="2"/>
    <x v="0"/>
    <x v="9"/>
    <x v="5"/>
    <x v="1"/>
    <x v="8"/>
    <x v="0"/>
    <x v="0"/>
    <x v="4"/>
    <x v="1"/>
    <x v="0"/>
    <n v="22"/>
    <x v="4"/>
    <x v="2"/>
    <x v="1"/>
  </r>
  <r>
    <s v="62a3951ed8c00e9f541a75d1"/>
    <s v="anonymous"/>
    <x v="0"/>
    <x v="175"/>
    <x v="66"/>
    <x v="0"/>
    <x v="0"/>
    <m/>
    <x v="0"/>
    <x v="0"/>
    <x v="2"/>
    <x v="1"/>
    <x v="0"/>
    <x v="0"/>
    <x v="2"/>
    <x v="5"/>
    <x v="7"/>
    <x v="10"/>
    <x v="2"/>
    <x v="0"/>
    <x v="0"/>
    <x v="7"/>
    <x v="4"/>
    <x v="2"/>
    <x v="0"/>
    <n v="43"/>
    <x v="0"/>
    <x v="3"/>
    <x v="1"/>
  </r>
  <r>
    <s v="62a3958fcec54911e9caf827"/>
    <s v="anonymous"/>
    <x v="0"/>
    <x v="176"/>
    <x v="133"/>
    <x v="0"/>
    <x v="0"/>
    <m/>
    <x v="0"/>
    <x v="0"/>
    <x v="2"/>
    <x v="0"/>
    <x v="2"/>
    <x v="2"/>
    <x v="4"/>
    <x v="0"/>
    <x v="6"/>
    <x v="6"/>
    <x v="5"/>
    <x v="3"/>
    <x v="0"/>
    <x v="5"/>
    <x v="3"/>
    <x v="2"/>
    <x v="1"/>
    <n v="32"/>
    <x v="0"/>
    <x v="2"/>
    <x v="1"/>
  </r>
  <r>
    <s v="62a3970ebae91e4b8b839495"/>
    <s v="anonymous"/>
    <x v="0"/>
    <x v="177"/>
    <x v="15"/>
    <x v="0"/>
    <x v="0"/>
    <m/>
    <x v="0"/>
    <x v="0"/>
    <x v="4"/>
    <x v="0"/>
    <x v="6"/>
    <x v="6"/>
    <x v="0"/>
    <x v="2"/>
    <x v="11"/>
    <x v="11"/>
    <x v="11"/>
    <x v="11"/>
    <x v="11"/>
    <x v="9"/>
    <x v="3"/>
    <x v="1"/>
    <x v="1"/>
    <n v="42"/>
    <x v="0"/>
    <x v="3"/>
    <x v="1"/>
  </r>
  <r>
    <s v="62a3976ecf2555431730af5e"/>
    <s v="anonymous"/>
    <x v="0"/>
    <x v="178"/>
    <x v="115"/>
    <x v="0"/>
    <x v="0"/>
    <m/>
    <x v="0"/>
    <x v="0"/>
    <x v="2"/>
    <x v="1"/>
    <x v="6"/>
    <x v="6"/>
    <x v="2"/>
    <x v="0"/>
    <x v="5"/>
    <x v="3"/>
    <x v="8"/>
    <x v="4"/>
    <x v="4"/>
    <x v="4"/>
    <x v="0"/>
    <x v="0"/>
    <x v="0"/>
    <n v="31"/>
    <x v="0"/>
    <x v="2"/>
    <x v="3"/>
  </r>
  <r>
    <s v="62a397fb5d257a28a30e279a"/>
    <s v="anonymous"/>
    <x v="0"/>
    <x v="179"/>
    <x v="25"/>
    <x v="0"/>
    <x v="0"/>
    <m/>
    <x v="0"/>
    <x v="0"/>
    <x v="1"/>
    <x v="1"/>
    <x v="2"/>
    <x v="2"/>
    <x v="2"/>
    <x v="0"/>
    <x v="2"/>
    <x v="8"/>
    <x v="6"/>
    <x v="0"/>
    <x v="3"/>
    <x v="1"/>
    <x v="4"/>
    <x v="2"/>
    <x v="0"/>
    <n v="25"/>
    <x v="3"/>
    <x v="2"/>
    <x v="0"/>
  </r>
  <r>
    <s v="62a3980c7dc029e2d66c9a81"/>
    <s v="anonymous"/>
    <x v="0"/>
    <x v="179"/>
    <x v="134"/>
    <x v="0"/>
    <x v="0"/>
    <m/>
    <x v="0"/>
    <x v="0"/>
    <x v="0"/>
    <x v="1"/>
    <x v="1"/>
    <x v="1"/>
    <x v="8"/>
    <x v="2"/>
    <x v="6"/>
    <x v="6"/>
    <x v="1"/>
    <x v="0"/>
    <x v="4"/>
    <x v="4"/>
    <x v="4"/>
    <x v="2"/>
    <x v="1"/>
    <n v="25"/>
    <x v="0"/>
    <x v="3"/>
    <x v="1"/>
  </r>
  <r>
    <s v="62a3980e0f8c8599d5afc32c"/>
    <s v="anonymous"/>
    <x v="0"/>
    <x v="179"/>
    <x v="8"/>
    <x v="0"/>
    <x v="0"/>
    <m/>
    <x v="0"/>
    <x v="0"/>
    <x v="0"/>
    <x v="0"/>
    <x v="0"/>
    <x v="0"/>
    <x v="2"/>
    <x v="2"/>
    <x v="0"/>
    <x v="0"/>
    <x v="7"/>
    <x v="5"/>
    <x v="10"/>
    <x v="8"/>
    <x v="3"/>
    <x v="1"/>
    <x v="0"/>
    <n v="31"/>
    <x v="0"/>
    <x v="3"/>
    <x v="1"/>
  </r>
  <r>
    <s v="62a39a340f8c8599d5afc6ce"/>
    <s v="anonymous"/>
    <x v="0"/>
    <x v="180"/>
    <x v="19"/>
    <x v="0"/>
    <x v="0"/>
    <m/>
    <x v="0"/>
    <x v="0"/>
    <x v="3"/>
    <x v="0"/>
    <x v="2"/>
    <x v="2"/>
    <x v="5"/>
    <x v="0"/>
    <x v="6"/>
    <x v="5"/>
    <x v="9"/>
    <x v="9"/>
    <x v="1"/>
    <x v="10"/>
    <x v="3"/>
    <x v="2"/>
    <x v="0"/>
    <n v="36"/>
    <x v="2"/>
    <x v="3"/>
    <x v="0"/>
  </r>
  <r>
    <s v="62a39a95bc6861bf3177751d"/>
    <s v="anonymous"/>
    <x v="0"/>
    <x v="181"/>
    <x v="88"/>
    <x v="0"/>
    <x v="0"/>
    <m/>
    <x v="0"/>
    <x v="0"/>
    <x v="2"/>
    <x v="1"/>
    <x v="1"/>
    <x v="1"/>
    <x v="0"/>
    <x v="0"/>
    <x v="9"/>
    <x v="2"/>
    <x v="5"/>
    <x v="6"/>
    <x v="6"/>
    <x v="2"/>
    <x v="4"/>
    <x v="1"/>
    <x v="1"/>
    <n v="35"/>
    <x v="2"/>
    <x v="3"/>
    <x v="0"/>
  </r>
  <r>
    <s v="62a39b315d257a28a30e2cae"/>
    <s v="anonymous"/>
    <x v="0"/>
    <x v="182"/>
    <x v="115"/>
    <x v="0"/>
    <x v="0"/>
    <m/>
    <x v="0"/>
    <x v="0"/>
    <x v="0"/>
    <x v="0"/>
    <x v="6"/>
    <x v="6"/>
    <x v="2"/>
    <x v="1"/>
    <x v="9"/>
    <x v="8"/>
    <x v="6"/>
    <x v="2"/>
    <x v="10"/>
    <x v="8"/>
    <x v="1"/>
    <x v="0"/>
    <x v="0"/>
    <n v="28"/>
    <x v="0"/>
    <x v="2"/>
    <x v="0"/>
  </r>
  <r>
    <s v="62a39b6cf408bae018ede929"/>
    <s v="anonymous"/>
    <x v="0"/>
    <x v="183"/>
    <x v="82"/>
    <x v="0"/>
    <x v="0"/>
    <m/>
    <x v="0"/>
    <x v="0"/>
    <x v="0"/>
    <x v="1"/>
    <x v="2"/>
    <x v="2"/>
    <x v="2"/>
    <x v="0"/>
    <x v="10"/>
    <x v="2"/>
    <x v="7"/>
    <x v="7"/>
    <x v="6"/>
    <x v="0"/>
    <x v="4"/>
    <x v="2"/>
    <x v="0"/>
    <n v="27"/>
    <x v="2"/>
    <x v="2"/>
    <x v="3"/>
  </r>
  <r>
    <s v="62a39bd324a262602738d725"/>
    <s v="anonymous"/>
    <x v="0"/>
    <x v="184"/>
    <x v="19"/>
    <x v="0"/>
    <x v="0"/>
    <m/>
    <x v="0"/>
    <x v="0"/>
    <x v="0"/>
    <x v="0"/>
    <x v="2"/>
    <x v="2"/>
    <x v="2"/>
    <x v="0"/>
    <x v="7"/>
    <x v="4"/>
    <x v="0"/>
    <x v="3"/>
    <x v="6"/>
    <x v="2"/>
    <x v="1"/>
    <x v="1"/>
    <x v="0"/>
    <n v="25"/>
    <x v="2"/>
    <x v="2"/>
    <x v="3"/>
  </r>
  <r>
    <s v="62a39e03f408bae018eded39"/>
    <s v="anonymous"/>
    <x v="0"/>
    <x v="185"/>
    <x v="44"/>
    <x v="0"/>
    <x v="0"/>
    <m/>
    <x v="0"/>
    <x v="0"/>
    <x v="0"/>
    <x v="1"/>
    <x v="2"/>
    <x v="2"/>
    <x v="2"/>
    <x v="0"/>
    <x v="9"/>
    <x v="3"/>
    <x v="6"/>
    <x v="6"/>
    <x v="5"/>
    <x v="8"/>
    <x v="4"/>
    <x v="2"/>
    <x v="0"/>
    <n v="25"/>
    <x v="2"/>
    <x v="2"/>
    <x v="0"/>
  </r>
  <r>
    <s v="62a39e69d8c00e9f541a8358"/>
    <s v="anonymous"/>
    <x v="0"/>
    <x v="186"/>
    <x v="79"/>
    <x v="0"/>
    <x v="0"/>
    <m/>
    <x v="0"/>
    <x v="0"/>
    <x v="2"/>
    <x v="1"/>
    <x v="1"/>
    <x v="1"/>
    <x v="2"/>
    <x v="1"/>
    <x v="8"/>
    <x v="6"/>
    <x v="1"/>
    <x v="0"/>
    <x v="0"/>
    <x v="5"/>
    <x v="3"/>
    <x v="1"/>
    <x v="0"/>
    <n v="22"/>
    <x v="0"/>
    <x v="3"/>
    <x v="0"/>
  </r>
  <r>
    <s v="62a3a0bcf8f756164585daf7"/>
    <s v="anonymous"/>
    <x v="0"/>
    <x v="187"/>
    <x v="135"/>
    <x v="0"/>
    <x v="0"/>
    <m/>
    <x v="0"/>
    <x v="0"/>
    <x v="0"/>
    <x v="0"/>
    <x v="1"/>
    <x v="1"/>
    <x v="0"/>
    <x v="2"/>
    <x v="7"/>
    <x v="2"/>
    <x v="5"/>
    <x v="3"/>
    <x v="5"/>
    <x v="8"/>
    <x v="4"/>
    <x v="3"/>
    <x v="0"/>
    <n v="38"/>
    <x v="2"/>
    <x v="1"/>
    <x v="0"/>
  </r>
  <r>
    <s v="62a3a1a62e54c9003e53dc35"/>
    <s v="anonymous"/>
    <x v="0"/>
    <x v="188"/>
    <x v="21"/>
    <x v="0"/>
    <x v="0"/>
    <m/>
    <x v="0"/>
    <x v="0"/>
    <x v="0"/>
    <x v="0"/>
    <x v="2"/>
    <x v="2"/>
    <x v="5"/>
    <x v="0"/>
    <x v="2"/>
    <x v="7"/>
    <x v="1"/>
    <x v="10"/>
    <x v="3"/>
    <x v="9"/>
    <x v="3"/>
    <x v="3"/>
    <x v="0"/>
    <n v="27"/>
    <x v="2"/>
    <x v="2"/>
    <x v="2"/>
  </r>
  <r>
    <s v="62a3a231b4da29969c639b2c"/>
    <s v="anonymous"/>
    <x v="0"/>
    <x v="189"/>
    <x v="136"/>
    <x v="0"/>
    <x v="0"/>
    <m/>
    <x v="0"/>
    <x v="0"/>
    <x v="0"/>
    <x v="0"/>
    <x v="5"/>
    <x v="5"/>
    <x v="2"/>
    <x v="2"/>
    <x v="5"/>
    <x v="4"/>
    <x v="8"/>
    <x v="1"/>
    <x v="8"/>
    <x v="4"/>
    <x v="1"/>
    <x v="0"/>
    <x v="1"/>
    <n v="34"/>
    <x v="1"/>
    <x v="2"/>
    <x v="2"/>
  </r>
  <r>
    <s v="62a3a3800f8c8599d5afd4db"/>
    <s v="anonymous"/>
    <x v="0"/>
    <x v="190"/>
    <x v="76"/>
    <x v="0"/>
    <x v="0"/>
    <m/>
    <x v="0"/>
    <x v="0"/>
    <x v="0"/>
    <x v="0"/>
    <x v="6"/>
    <x v="6"/>
    <x v="2"/>
    <x v="0"/>
    <x v="0"/>
    <x v="8"/>
    <x v="6"/>
    <x v="7"/>
    <x v="6"/>
    <x v="2"/>
    <x v="3"/>
    <x v="2"/>
    <x v="1"/>
    <n v="31"/>
    <x v="0"/>
    <x v="2"/>
    <x v="0"/>
  </r>
  <r>
    <s v="62a3a4fdbae91e4b8b83ab6f"/>
    <s v="anonymous"/>
    <x v="0"/>
    <x v="191"/>
    <x v="137"/>
    <x v="0"/>
    <x v="0"/>
    <m/>
    <x v="0"/>
    <x v="0"/>
    <x v="0"/>
    <x v="0"/>
    <x v="1"/>
    <x v="1"/>
    <x v="4"/>
    <x v="0"/>
    <x v="5"/>
    <x v="0"/>
    <x v="5"/>
    <x v="6"/>
    <x v="5"/>
    <x v="2"/>
    <x v="4"/>
    <x v="2"/>
    <x v="1"/>
    <n v="33"/>
    <x v="1"/>
    <x v="3"/>
    <x v="2"/>
  </r>
  <r>
    <s v="62a3a7f50a77c1a77f668221"/>
    <s v="anonymous"/>
    <x v="0"/>
    <x v="192"/>
    <x v="118"/>
    <x v="0"/>
    <x v="0"/>
    <m/>
    <x v="0"/>
    <x v="0"/>
    <x v="4"/>
    <x v="0"/>
    <x v="2"/>
    <x v="2"/>
    <x v="4"/>
    <x v="0"/>
    <x v="4"/>
    <x v="6"/>
    <x v="1"/>
    <x v="0"/>
    <x v="0"/>
    <x v="5"/>
    <x v="0"/>
    <x v="0"/>
    <x v="0"/>
    <n v="23"/>
    <x v="0"/>
    <x v="2"/>
    <x v="1"/>
  </r>
  <r>
    <s v="62a3a90f24a262602738e800"/>
    <s v="anonymous"/>
    <x v="0"/>
    <x v="193"/>
    <x v="87"/>
    <x v="0"/>
    <x v="0"/>
    <m/>
    <x v="0"/>
    <x v="0"/>
    <x v="0"/>
    <x v="0"/>
    <x v="1"/>
    <x v="1"/>
    <x v="0"/>
    <x v="2"/>
    <x v="6"/>
    <x v="8"/>
    <x v="7"/>
    <x v="2"/>
    <x v="0"/>
    <x v="9"/>
    <x v="4"/>
    <x v="2"/>
    <x v="1"/>
    <n v="25"/>
    <x v="0"/>
    <x v="2"/>
    <x v="1"/>
  </r>
  <r>
    <s v="62a3a9dbd8c00e9f541a93eb"/>
    <s v="anonymous"/>
    <x v="0"/>
    <x v="194"/>
    <x v="120"/>
    <x v="0"/>
    <x v="0"/>
    <m/>
    <x v="0"/>
    <x v="0"/>
    <x v="0"/>
    <x v="0"/>
    <x v="2"/>
    <x v="2"/>
    <x v="4"/>
    <x v="0"/>
    <x v="5"/>
    <x v="4"/>
    <x v="2"/>
    <x v="0"/>
    <x v="8"/>
    <x v="3"/>
    <x v="3"/>
    <x v="2"/>
    <x v="0"/>
    <n v="29"/>
    <x v="2"/>
    <x v="3"/>
    <x v="0"/>
  </r>
  <r>
    <s v="62a3aaa3cec54911e9cb1724"/>
    <s v="anonymous"/>
    <x v="0"/>
    <x v="195"/>
    <x v="138"/>
    <x v="0"/>
    <x v="0"/>
    <m/>
    <x v="0"/>
    <x v="0"/>
    <x v="2"/>
    <x v="0"/>
    <x v="1"/>
    <x v="1"/>
    <x v="0"/>
    <x v="1"/>
    <x v="8"/>
    <x v="10"/>
    <x v="7"/>
    <x v="6"/>
    <x v="6"/>
    <x v="8"/>
    <x v="4"/>
    <x v="2"/>
    <x v="1"/>
    <n v="29"/>
    <x v="0"/>
    <x v="3"/>
    <x v="2"/>
  </r>
  <r>
    <s v="62a3ab320f8c8599d5afdfa8"/>
    <s v="anonymous"/>
    <x v="0"/>
    <x v="196"/>
    <x v="76"/>
    <x v="0"/>
    <x v="0"/>
    <m/>
    <x v="0"/>
    <x v="0"/>
    <x v="0"/>
    <x v="0"/>
    <x v="2"/>
    <x v="2"/>
    <x v="4"/>
    <x v="1"/>
    <x v="6"/>
    <x v="4"/>
    <x v="2"/>
    <x v="3"/>
    <x v="7"/>
    <x v="4"/>
    <x v="1"/>
    <x v="2"/>
    <x v="0"/>
    <n v="31"/>
    <x v="4"/>
    <x v="3"/>
    <x v="1"/>
  </r>
  <r>
    <s v="62a3abacd8c00e9f541a96eb"/>
    <s v="anonymous"/>
    <x v="0"/>
    <x v="197"/>
    <x v="33"/>
    <x v="0"/>
    <x v="0"/>
    <m/>
    <x v="0"/>
    <x v="0"/>
    <x v="4"/>
    <x v="1"/>
    <x v="2"/>
    <x v="2"/>
    <x v="7"/>
    <x v="1"/>
    <x v="2"/>
    <x v="6"/>
    <x v="10"/>
    <x v="10"/>
    <x v="3"/>
    <x v="9"/>
    <x v="0"/>
    <x v="0"/>
    <x v="0"/>
    <n v="34"/>
    <x v="2"/>
    <x v="1"/>
    <x v="2"/>
  </r>
  <r>
    <s v="62a3ac4bf8f756164585ea83"/>
    <s v="anonymous"/>
    <x v="0"/>
    <x v="198"/>
    <x v="50"/>
    <x v="0"/>
    <x v="0"/>
    <m/>
    <x v="0"/>
    <x v="0"/>
    <x v="0"/>
    <x v="0"/>
    <x v="2"/>
    <x v="2"/>
    <x v="4"/>
    <x v="0"/>
    <x v="6"/>
    <x v="1"/>
    <x v="2"/>
    <x v="4"/>
    <x v="2"/>
    <x v="8"/>
    <x v="1"/>
    <x v="1"/>
    <x v="0"/>
    <n v="26"/>
    <x v="2"/>
    <x v="2"/>
    <x v="4"/>
  </r>
  <r>
    <s v="62a3ad35cec54911e9cb1b5c"/>
    <s v="anonymous"/>
    <x v="0"/>
    <x v="199"/>
    <x v="26"/>
    <x v="0"/>
    <x v="0"/>
    <m/>
    <x v="0"/>
    <x v="0"/>
    <x v="2"/>
    <x v="1"/>
    <x v="5"/>
    <x v="5"/>
    <x v="0"/>
    <x v="0"/>
    <x v="5"/>
    <x v="3"/>
    <x v="1"/>
    <x v="5"/>
    <x v="5"/>
    <x v="7"/>
    <x v="4"/>
    <x v="0"/>
    <x v="1"/>
    <n v="26"/>
    <x v="0"/>
    <x v="2"/>
    <x v="0"/>
  </r>
  <r>
    <s v="62a3ae69bc6861bf3177900d"/>
    <s v="anonymous"/>
    <x v="0"/>
    <x v="200"/>
    <x v="136"/>
    <x v="0"/>
    <x v="0"/>
    <m/>
    <x v="0"/>
    <x v="0"/>
    <x v="2"/>
    <x v="0"/>
    <x v="1"/>
    <x v="1"/>
    <x v="2"/>
    <x v="2"/>
    <x v="6"/>
    <x v="3"/>
    <x v="7"/>
    <x v="5"/>
    <x v="0"/>
    <x v="2"/>
    <x v="3"/>
    <x v="4"/>
    <x v="0"/>
    <n v="27"/>
    <x v="0"/>
    <x v="3"/>
    <x v="2"/>
  </r>
  <r>
    <s v="62a3af26cec54911e9cb1f3a"/>
    <s v="anonymous"/>
    <x v="0"/>
    <x v="201"/>
    <x v="130"/>
    <x v="0"/>
    <x v="0"/>
    <m/>
    <x v="0"/>
    <x v="0"/>
    <x v="0"/>
    <x v="0"/>
    <x v="6"/>
    <x v="6"/>
    <x v="2"/>
    <x v="0"/>
    <x v="10"/>
    <x v="6"/>
    <x v="7"/>
    <x v="5"/>
    <x v="5"/>
    <x v="2"/>
    <x v="4"/>
    <x v="0"/>
    <x v="0"/>
    <n v="26"/>
    <x v="0"/>
    <x v="2"/>
    <x v="0"/>
  </r>
  <r>
    <s v="62a3af66f8f756164585eeb8"/>
    <s v="anonymous"/>
    <x v="0"/>
    <x v="202"/>
    <x v="102"/>
    <x v="0"/>
    <x v="0"/>
    <m/>
    <x v="0"/>
    <x v="0"/>
    <x v="4"/>
    <x v="0"/>
    <x v="2"/>
    <x v="2"/>
    <x v="4"/>
    <x v="0"/>
    <x v="5"/>
    <x v="6"/>
    <x v="2"/>
    <x v="3"/>
    <x v="4"/>
    <x v="7"/>
    <x v="0"/>
    <x v="2"/>
    <x v="1"/>
    <n v="26"/>
    <x v="0"/>
    <x v="3"/>
    <x v="1"/>
  </r>
  <r>
    <s v="62a3b135b4da29969c63b1ed"/>
    <s v="anonymous"/>
    <x v="0"/>
    <x v="203"/>
    <x v="45"/>
    <x v="0"/>
    <x v="0"/>
    <m/>
    <x v="0"/>
    <x v="0"/>
    <x v="0"/>
    <x v="0"/>
    <x v="1"/>
    <x v="1"/>
    <x v="1"/>
    <x v="1"/>
    <x v="4"/>
    <x v="6"/>
    <x v="1"/>
    <x v="0"/>
    <x v="7"/>
    <x v="5"/>
    <x v="1"/>
    <x v="2"/>
    <x v="0"/>
    <n v="24"/>
    <x v="0"/>
    <x v="2"/>
    <x v="0"/>
  </r>
  <r>
    <s v="62a3b255d8c00e9f541a9fd5"/>
    <s v="anonymous"/>
    <x v="0"/>
    <x v="204"/>
    <x v="2"/>
    <x v="0"/>
    <x v="0"/>
    <m/>
    <x v="0"/>
    <x v="0"/>
    <x v="0"/>
    <x v="0"/>
    <x v="5"/>
    <x v="5"/>
    <x v="2"/>
    <x v="0"/>
    <x v="5"/>
    <x v="3"/>
    <x v="3"/>
    <x v="3"/>
    <x v="7"/>
    <x v="4"/>
    <x v="1"/>
    <x v="2"/>
    <x v="1"/>
    <n v="28"/>
    <x v="2"/>
    <x v="3"/>
    <x v="4"/>
  </r>
  <r>
    <s v="62a3b314f408bae018ee0938"/>
    <s v="anonymous"/>
    <x v="0"/>
    <x v="205"/>
    <x v="45"/>
    <x v="0"/>
    <x v="0"/>
    <m/>
    <x v="0"/>
    <x v="0"/>
    <x v="0"/>
    <x v="0"/>
    <x v="0"/>
    <x v="0"/>
    <x v="2"/>
    <x v="1"/>
    <x v="10"/>
    <x v="2"/>
    <x v="6"/>
    <x v="7"/>
    <x v="2"/>
    <x v="5"/>
    <x v="1"/>
    <x v="2"/>
    <x v="0"/>
    <n v="29"/>
    <x v="0"/>
    <x v="2"/>
    <x v="0"/>
  </r>
  <r>
    <s v="62a3b3f6bc6861bf3177973b"/>
    <s v="anonymous"/>
    <x v="0"/>
    <x v="206"/>
    <x v="139"/>
    <x v="0"/>
    <x v="0"/>
    <m/>
    <x v="0"/>
    <x v="0"/>
    <x v="0"/>
    <x v="0"/>
    <x v="6"/>
    <x v="6"/>
    <x v="1"/>
    <x v="0"/>
    <x v="6"/>
    <x v="1"/>
    <x v="9"/>
    <x v="9"/>
    <x v="3"/>
    <x v="4"/>
    <x v="0"/>
    <x v="2"/>
    <x v="1"/>
    <n v="26"/>
    <x v="0"/>
    <x v="3"/>
    <x v="1"/>
  </r>
  <r>
    <s v="62a3ba4dbc6861bf31779f24"/>
    <s v="anonymous"/>
    <x v="0"/>
    <x v="207"/>
    <x v="64"/>
    <x v="0"/>
    <x v="0"/>
    <m/>
    <x v="0"/>
    <x v="0"/>
    <x v="0"/>
    <x v="0"/>
    <x v="1"/>
    <x v="1"/>
    <x v="2"/>
    <x v="0"/>
    <x v="6"/>
    <x v="6"/>
    <x v="3"/>
    <x v="4"/>
    <x v="1"/>
    <x v="3"/>
    <x v="4"/>
    <x v="2"/>
    <x v="0"/>
    <n v="28"/>
    <x v="3"/>
    <x v="2"/>
    <x v="0"/>
  </r>
  <r>
    <s v="62a3baa624a262602738ff27"/>
    <s v="anonymous"/>
    <x v="0"/>
    <x v="208"/>
    <x v="140"/>
    <x v="0"/>
    <x v="0"/>
    <m/>
    <x v="0"/>
    <x v="0"/>
    <x v="0"/>
    <x v="1"/>
    <x v="2"/>
    <x v="2"/>
    <x v="1"/>
    <x v="0"/>
    <x v="9"/>
    <x v="2"/>
    <x v="0"/>
    <x v="5"/>
    <x v="8"/>
    <x v="7"/>
    <x v="1"/>
    <x v="4"/>
    <x v="0"/>
    <n v="25"/>
    <x v="2"/>
    <x v="3"/>
    <x v="0"/>
  </r>
  <r>
    <s v="62a3bc00d8c00e9f541aad66"/>
    <s v="anonymous"/>
    <x v="0"/>
    <x v="209"/>
    <x v="1"/>
    <x v="0"/>
    <x v="0"/>
    <m/>
    <x v="0"/>
    <x v="0"/>
    <x v="0"/>
    <x v="0"/>
    <x v="6"/>
    <x v="6"/>
    <x v="1"/>
    <x v="1"/>
    <x v="8"/>
    <x v="10"/>
    <x v="0"/>
    <x v="4"/>
    <x v="2"/>
    <x v="6"/>
    <x v="3"/>
    <x v="2"/>
    <x v="1"/>
    <n v="26"/>
    <x v="0"/>
    <x v="2"/>
    <x v="1"/>
  </r>
  <r>
    <s v="62a3bf1b0a77c1a77f66a347"/>
    <s v="anonymous"/>
    <x v="0"/>
    <x v="210"/>
    <x v="141"/>
    <x v="0"/>
    <x v="0"/>
    <m/>
    <x v="0"/>
    <x v="0"/>
    <x v="1"/>
    <x v="0"/>
    <x v="4"/>
    <x v="4"/>
    <x v="0"/>
    <x v="0"/>
    <x v="9"/>
    <x v="5"/>
    <x v="7"/>
    <x v="0"/>
    <x v="6"/>
    <x v="8"/>
    <x v="4"/>
    <x v="0"/>
    <x v="1"/>
    <n v="38"/>
    <x v="0"/>
    <x v="3"/>
    <x v="0"/>
  </r>
  <r>
    <s v="62a3c021f8f756164586043f"/>
    <s v="anonymous"/>
    <x v="0"/>
    <x v="211"/>
    <x v="84"/>
    <x v="0"/>
    <x v="0"/>
    <m/>
    <x v="0"/>
    <x v="0"/>
    <x v="2"/>
    <x v="0"/>
    <x v="2"/>
    <x v="2"/>
    <x v="2"/>
    <x v="2"/>
    <x v="2"/>
    <x v="5"/>
    <x v="3"/>
    <x v="4"/>
    <x v="7"/>
    <x v="7"/>
    <x v="4"/>
    <x v="2"/>
    <x v="1"/>
    <n v="20"/>
    <x v="2"/>
    <x v="1"/>
    <x v="2"/>
  </r>
  <r>
    <s v="62a3c1b1bc6861bf3177aa8c"/>
    <s v="anonymous"/>
    <x v="0"/>
    <x v="212"/>
    <x v="50"/>
    <x v="0"/>
    <x v="0"/>
    <m/>
    <x v="0"/>
    <x v="0"/>
    <x v="0"/>
    <x v="1"/>
    <x v="6"/>
    <x v="6"/>
    <x v="5"/>
    <x v="2"/>
    <x v="5"/>
    <x v="3"/>
    <x v="0"/>
    <x v="8"/>
    <x v="8"/>
    <x v="4"/>
    <x v="4"/>
    <x v="0"/>
    <x v="1"/>
    <n v="45"/>
    <x v="0"/>
    <x v="3"/>
    <x v="2"/>
  </r>
  <r>
    <s v="62a3c30324a26260273909b9"/>
    <s v="anonymous"/>
    <x v="0"/>
    <x v="213"/>
    <x v="45"/>
    <x v="0"/>
    <x v="0"/>
    <m/>
    <x v="0"/>
    <x v="0"/>
    <x v="0"/>
    <x v="1"/>
    <x v="5"/>
    <x v="5"/>
    <x v="2"/>
    <x v="0"/>
    <x v="8"/>
    <x v="5"/>
    <x v="1"/>
    <x v="5"/>
    <x v="5"/>
    <x v="7"/>
    <x v="3"/>
    <x v="1"/>
    <x v="0"/>
    <n v="27"/>
    <x v="1"/>
    <x v="3"/>
    <x v="4"/>
  </r>
  <r>
    <s v="62a3c476bc6861bf3177ad9d"/>
    <s v="anonymous"/>
    <x v="0"/>
    <x v="214"/>
    <x v="116"/>
    <x v="0"/>
    <x v="0"/>
    <m/>
    <x v="0"/>
    <x v="0"/>
    <x v="0"/>
    <x v="0"/>
    <x v="1"/>
    <x v="1"/>
    <x v="2"/>
    <x v="0"/>
    <x v="6"/>
    <x v="10"/>
    <x v="0"/>
    <x v="8"/>
    <x v="2"/>
    <x v="10"/>
    <x v="3"/>
    <x v="3"/>
    <x v="0"/>
    <n v="28"/>
    <x v="1"/>
    <x v="3"/>
    <x v="1"/>
  </r>
  <r>
    <s v="62a3c5f2cec54911e9cb3d9b"/>
    <s v="anonymous"/>
    <x v="0"/>
    <x v="215"/>
    <x v="131"/>
    <x v="0"/>
    <x v="0"/>
    <m/>
    <x v="0"/>
    <x v="0"/>
    <x v="4"/>
    <x v="0"/>
    <x v="2"/>
    <x v="2"/>
    <x v="2"/>
    <x v="1"/>
    <x v="4"/>
    <x v="8"/>
    <x v="6"/>
    <x v="2"/>
    <x v="9"/>
    <x v="1"/>
    <x v="4"/>
    <x v="0"/>
    <x v="1"/>
    <n v="29"/>
    <x v="2"/>
    <x v="2"/>
    <x v="4"/>
  </r>
  <r>
    <s v="62a3c7f1bc6861bf3177b06e"/>
    <s v="anonymous"/>
    <x v="0"/>
    <x v="216"/>
    <x v="43"/>
    <x v="0"/>
    <x v="0"/>
    <m/>
    <x v="0"/>
    <x v="0"/>
    <x v="2"/>
    <x v="1"/>
    <x v="1"/>
    <x v="1"/>
    <x v="4"/>
    <x v="4"/>
    <x v="7"/>
    <x v="10"/>
    <x v="0"/>
    <x v="8"/>
    <x v="2"/>
    <x v="0"/>
    <x v="4"/>
    <x v="2"/>
    <x v="1"/>
    <n v="43"/>
    <x v="2"/>
    <x v="1"/>
    <x v="1"/>
  </r>
  <r>
    <s v="62a3c8652e54c9003e54103e"/>
    <s v="anonymous"/>
    <x v="0"/>
    <x v="217"/>
    <x v="128"/>
    <x v="0"/>
    <x v="0"/>
    <m/>
    <x v="0"/>
    <x v="0"/>
    <x v="0"/>
    <x v="0"/>
    <x v="2"/>
    <x v="2"/>
    <x v="1"/>
    <x v="0"/>
    <x v="2"/>
    <x v="6"/>
    <x v="7"/>
    <x v="7"/>
    <x v="3"/>
    <x v="2"/>
    <x v="4"/>
    <x v="0"/>
    <x v="0"/>
    <n v="26"/>
    <x v="2"/>
    <x v="2"/>
    <x v="2"/>
  </r>
  <r>
    <s v="62a3ca44bae91e4b8b83dcd4"/>
    <s v="anonymous"/>
    <x v="0"/>
    <x v="218"/>
    <x v="142"/>
    <x v="0"/>
    <x v="0"/>
    <m/>
    <x v="0"/>
    <x v="0"/>
    <x v="4"/>
    <x v="1"/>
    <x v="1"/>
    <x v="1"/>
    <x v="4"/>
    <x v="2"/>
    <x v="7"/>
    <x v="2"/>
    <x v="0"/>
    <x v="8"/>
    <x v="6"/>
    <x v="0"/>
    <x v="4"/>
    <x v="4"/>
    <x v="1"/>
    <n v="47"/>
    <x v="0"/>
    <x v="2"/>
    <x v="2"/>
  </r>
  <r>
    <s v="62a3cafff8d5efcc22f8b5cb"/>
    <s v="anonymous"/>
    <x v="0"/>
    <x v="219"/>
    <x v="130"/>
    <x v="0"/>
    <x v="0"/>
    <m/>
    <x v="0"/>
    <x v="0"/>
    <x v="4"/>
    <x v="0"/>
    <x v="2"/>
    <x v="2"/>
    <x v="1"/>
    <x v="0"/>
    <x v="11"/>
    <x v="11"/>
    <x v="11"/>
    <x v="6"/>
    <x v="9"/>
    <x v="2"/>
    <x v="1"/>
    <x v="0"/>
    <x v="0"/>
    <n v="23"/>
    <x v="2"/>
    <x v="2"/>
    <x v="2"/>
  </r>
  <r>
    <s v="62a3cbfef8d5efcc22f8b6f1"/>
    <s v="anonymous"/>
    <x v="0"/>
    <x v="220"/>
    <x v="25"/>
    <x v="0"/>
    <x v="0"/>
    <m/>
    <x v="0"/>
    <x v="0"/>
    <x v="0"/>
    <x v="0"/>
    <x v="2"/>
    <x v="2"/>
    <x v="4"/>
    <x v="0"/>
    <x v="2"/>
    <x v="9"/>
    <x v="9"/>
    <x v="9"/>
    <x v="1"/>
    <x v="4"/>
    <x v="0"/>
    <x v="2"/>
    <x v="0"/>
    <n v="25"/>
    <x v="2"/>
    <x v="2"/>
    <x v="4"/>
  </r>
  <r>
    <s v="62a3cde8f8f7561645861366"/>
    <s v="anonymous"/>
    <x v="0"/>
    <x v="221"/>
    <x v="75"/>
    <x v="0"/>
    <x v="0"/>
    <m/>
    <x v="0"/>
    <x v="0"/>
    <x v="2"/>
    <x v="1"/>
    <x v="2"/>
    <x v="2"/>
    <x v="1"/>
    <x v="0"/>
    <x v="9"/>
    <x v="3"/>
    <x v="3"/>
    <x v="8"/>
    <x v="8"/>
    <x v="7"/>
    <x v="0"/>
    <x v="4"/>
    <x v="0"/>
    <n v="32"/>
    <x v="2"/>
    <x v="3"/>
    <x v="0"/>
  </r>
  <r>
    <s v="62a3cfed0f8c8599d5b00b12"/>
    <s v="anonymous"/>
    <x v="0"/>
    <x v="222"/>
    <x v="52"/>
    <x v="0"/>
    <x v="0"/>
    <m/>
    <x v="0"/>
    <x v="0"/>
    <x v="0"/>
    <x v="0"/>
    <x v="2"/>
    <x v="2"/>
    <x v="1"/>
    <x v="0"/>
    <x v="1"/>
    <x v="8"/>
    <x v="6"/>
    <x v="0"/>
    <x v="4"/>
    <x v="3"/>
    <x v="4"/>
    <x v="2"/>
    <x v="1"/>
    <n v="25"/>
    <x v="0"/>
    <x v="2"/>
    <x v="0"/>
  </r>
  <r>
    <s v="62a3d21ef3072dd8926314d1"/>
    <s v="anonymous"/>
    <x v="0"/>
    <x v="223"/>
    <x v="110"/>
    <x v="0"/>
    <x v="0"/>
    <m/>
    <x v="0"/>
    <x v="0"/>
    <x v="0"/>
    <x v="1"/>
    <x v="2"/>
    <x v="2"/>
    <x v="1"/>
    <x v="0"/>
    <x v="1"/>
    <x v="1"/>
    <x v="6"/>
    <x v="9"/>
    <x v="8"/>
    <x v="8"/>
    <x v="3"/>
    <x v="0"/>
    <x v="1"/>
    <n v="29"/>
    <x v="2"/>
    <x v="2"/>
    <x v="3"/>
  </r>
  <r>
    <s v="62a3d37c0a77c1a77f66bc0e"/>
    <s v="anonymous"/>
    <x v="0"/>
    <x v="224"/>
    <x v="40"/>
    <x v="0"/>
    <x v="0"/>
    <m/>
    <x v="0"/>
    <x v="0"/>
    <x v="0"/>
    <x v="1"/>
    <x v="1"/>
    <x v="1"/>
    <x v="0"/>
    <x v="2"/>
    <x v="6"/>
    <x v="10"/>
    <x v="1"/>
    <x v="0"/>
    <x v="4"/>
    <x v="1"/>
    <x v="4"/>
    <x v="2"/>
    <x v="1"/>
    <n v="33"/>
    <x v="0"/>
    <x v="2"/>
    <x v="1"/>
  </r>
  <r>
    <s v="62a3d8dbf8f7561645861f9d"/>
    <s v="anonymous"/>
    <x v="0"/>
    <x v="225"/>
    <x v="143"/>
    <x v="0"/>
    <x v="0"/>
    <m/>
    <x v="0"/>
    <x v="0"/>
    <x v="0"/>
    <x v="1"/>
    <x v="0"/>
    <x v="0"/>
    <x v="5"/>
    <x v="0"/>
    <x v="9"/>
    <x v="8"/>
    <x v="6"/>
    <x v="2"/>
    <x v="2"/>
    <x v="10"/>
    <x v="1"/>
    <x v="4"/>
    <x v="0"/>
    <n v="36"/>
    <x v="0"/>
    <x v="3"/>
    <x v="1"/>
  </r>
  <r>
    <s v="62a3d9697dc029e2d66cf087"/>
    <s v="anonymous"/>
    <x v="0"/>
    <x v="226"/>
    <x v="63"/>
    <x v="0"/>
    <x v="0"/>
    <m/>
    <x v="0"/>
    <x v="0"/>
    <x v="0"/>
    <x v="0"/>
    <x v="1"/>
    <x v="1"/>
    <x v="0"/>
    <x v="0"/>
    <x v="5"/>
    <x v="8"/>
    <x v="7"/>
    <x v="4"/>
    <x v="3"/>
    <x v="2"/>
    <x v="3"/>
    <x v="1"/>
    <x v="0"/>
    <n v="25"/>
    <x v="0"/>
    <x v="2"/>
    <x v="0"/>
  </r>
  <r>
    <s v="62a3dac9f3072dd892631e12"/>
    <s v="anonymous"/>
    <x v="0"/>
    <x v="227"/>
    <x v="144"/>
    <x v="0"/>
    <x v="0"/>
    <m/>
    <x v="0"/>
    <x v="0"/>
    <x v="3"/>
    <x v="1"/>
    <x v="3"/>
    <x v="3"/>
    <x v="2"/>
    <x v="0"/>
    <x v="10"/>
    <x v="10"/>
    <x v="5"/>
    <x v="8"/>
    <x v="2"/>
    <x v="8"/>
    <x v="4"/>
    <x v="1"/>
    <x v="0"/>
    <n v="38"/>
    <x v="0"/>
    <x v="3"/>
    <x v="0"/>
  </r>
  <r>
    <s v="62a3dc3ab4da29969c63e3d7"/>
    <s v="anonymous"/>
    <x v="0"/>
    <x v="228"/>
    <x v="99"/>
    <x v="0"/>
    <x v="0"/>
    <m/>
    <x v="0"/>
    <x v="0"/>
    <x v="0"/>
    <x v="0"/>
    <x v="6"/>
    <x v="6"/>
    <x v="2"/>
    <x v="1"/>
    <x v="6"/>
    <x v="1"/>
    <x v="4"/>
    <x v="5"/>
    <x v="0"/>
    <x v="7"/>
    <x v="3"/>
    <x v="1"/>
    <x v="0"/>
    <n v="30"/>
    <x v="0"/>
    <x v="3"/>
    <x v="4"/>
  </r>
  <r>
    <s v="62a3e2abf8f75616458628d1"/>
    <s v="anonymous"/>
    <x v="0"/>
    <x v="229"/>
    <x v="98"/>
    <x v="0"/>
    <x v="0"/>
    <m/>
    <x v="0"/>
    <x v="0"/>
    <x v="0"/>
    <x v="0"/>
    <x v="1"/>
    <x v="1"/>
    <x v="4"/>
    <x v="0"/>
    <x v="6"/>
    <x v="6"/>
    <x v="4"/>
    <x v="5"/>
    <x v="5"/>
    <x v="0"/>
    <x v="3"/>
    <x v="3"/>
    <x v="0"/>
    <n v="35"/>
    <x v="0"/>
    <x v="3"/>
    <x v="2"/>
  </r>
  <r>
    <s v="62a3e32bd8c00e9f541ad5f0"/>
    <s v="anonymous"/>
    <x v="0"/>
    <x v="230"/>
    <x v="47"/>
    <x v="0"/>
    <x v="0"/>
    <m/>
    <x v="0"/>
    <x v="0"/>
    <x v="2"/>
    <x v="1"/>
    <x v="1"/>
    <x v="1"/>
    <x v="5"/>
    <x v="2"/>
    <x v="2"/>
    <x v="9"/>
    <x v="6"/>
    <x v="0"/>
    <x v="3"/>
    <x v="9"/>
    <x v="3"/>
    <x v="2"/>
    <x v="1"/>
    <n v="42"/>
    <x v="0"/>
    <x v="2"/>
    <x v="0"/>
  </r>
  <r>
    <s v="62a3ecf7bc6861bf3177d5c2"/>
    <s v="anonymous"/>
    <x v="0"/>
    <x v="231"/>
    <x v="115"/>
    <x v="0"/>
    <x v="0"/>
    <m/>
    <x v="0"/>
    <x v="0"/>
    <x v="0"/>
    <x v="0"/>
    <x v="6"/>
    <x v="6"/>
    <x v="0"/>
    <x v="0"/>
    <x v="6"/>
    <x v="6"/>
    <x v="2"/>
    <x v="5"/>
    <x v="7"/>
    <x v="10"/>
    <x v="1"/>
    <x v="0"/>
    <x v="0"/>
    <n v="30"/>
    <x v="0"/>
    <x v="3"/>
    <x v="0"/>
  </r>
  <r>
    <s v="62a3eea9bae91e4b8b8401a4"/>
    <s v="anonymous"/>
    <x v="0"/>
    <x v="232"/>
    <x v="43"/>
    <x v="0"/>
    <x v="0"/>
    <m/>
    <x v="0"/>
    <x v="0"/>
    <x v="4"/>
    <x v="0"/>
    <x v="2"/>
    <x v="2"/>
    <x v="2"/>
    <x v="0"/>
    <x v="2"/>
    <x v="7"/>
    <x v="10"/>
    <x v="10"/>
    <x v="3"/>
    <x v="7"/>
    <x v="0"/>
    <x v="2"/>
    <x v="1"/>
    <n v="25"/>
    <x v="2"/>
    <x v="2"/>
    <x v="2"/>
  </r>
  <r>
    <s v="62a3f39df8d5efcc22f8ddc2"/>
    <s v="anonymous"/>
    <x v="0"/>
    <x v="233"/>
    <x v="145"/>
    <x v="0"/>
    <x v="0"/>
    <m/>
    <x v="0"/>
    <x v="0"/>
    <x v="0"/>
    <x v="1"/>
    <x v="5"/>
    <x v="5"/>
    <x v="0"/>
    <x v="0"/>
    <x v="8"/>
    <x v="0"/>
    <x v="1"/>
    <x v="1"/>
    <x v="0"/>
    <x v="3"/>
    <x v="3"/>
    <x v="3"/>
    <x v="1"/>
    <n v="28"/>
    <x v="0"/>
    <x v="2"/>
    <x v="1"/>
  </r>
  <r>
    <s v="62a3f6a25d257a28a30e9d02"/>
    <s v="anonymous"/>
    <x v="0"/>
    <x v="234"/>
    <x v="146"/>
    <x v="0"/>
    <x v="0"/>
    <m/>
    <x v="0"/>
    <x v="0"/>
    <x v="0"/>
    <x v="0"/>
    <x v="2"/>
    <x v="2"/>
    <x v="2"/>
    <x v="0"/>
    <x v="8"/>
    <x v="8"/>
    <x v="5"/>
    <x v="0"/>
    <x v="2"/>
    <x v="2"/>
    <x v="0"/>
    <x v="4"/>
    <x v="0"/>
    <n v="28"/>
    <x v="1"/>
    <x v="2"/>
    <x v="1"/>
  </r>
  <r>
    <s v="62a3f6d9bae91e4b8b8408ca"/>
    <s v="anonymous"/>
    <x v="0"/>
    <x v="235"/>
    <x v="118"/>
    <x v="0"/>
    <x v="0"/>
    <m/>
    <x v="0"/>
    <x v="0"/>
    <x v="4"/>
    <x v="1"/>
    <x v="2"/>
    <x v="2"/>
    <x v="2"/>
    <x v="2"/>
    <x v="2"/>
    <x v="7"/>
    <x v="10"/>
    <x v="10"/>
    <x v="3"/>
    <x v="9"/>
    <x v="4"/>
    <x v="2"/>
    <x v="0"/>
    <n v="20"/>
    <x v="2"/>
    <x v="1"/>
    <x v="1"/>
  </r>
  <r>
    <s v="62a3fc7c7dc029e2d66d10e8"/>
    <s v="anonymous"/>
    <x v="0"/>
    <x v="236"/>
    <x v="147"/>
    <x v="0"/>
    <x v="0"/>
    <m/>
    <x v="0"/>
    <x v="0"/>
    <x v="0"/>
    <x v="0"/>
    <x v="0"/>
    <x v="0"/>
    <x v="6"/>
    <x v="2"/>
    <x v="7"/>
    <x v="2"/>
    <x v="0"/>
    <x v="8"/>
    <x v="9"/>
    <x v="2"/>
    <x v="1"/>
    <x v="3"/>
    <x v="0"/>
    <n v="33"/>
    <x v="0"/>
    <x v="3"/>
    <x v="3"/>
  </r>
  <r>
    <s v="62a3fe0d5d257a28a30ea3c8"/>
    <s v="anonymous"/>
    <x v="0"/>
    <x v="237"/>
    <x v="148"/>
    <x v="0"/>
    <x v="0"/>
    <m/>
    <x v="0"/>
    <x v="0"/>
    <x v="0"/>
    <x v="1"/>
    <x v="6"/>
    <x v="6"/>
    <x v="4"/>
    <x v="0"/>
    <x v="10"/>
    <x v="3"/>
    <x v="0"/>
    <x v="8"/>
    <x v="6"/>
    <x v="8"/>
    <x v="1"/>
    <x v="2"/>
    <x v="0"/>
    <n v="23"/>
    <x v="0"/>
    <x v="4"/>
    <x v="0"/>
  </r>
  <r>
    <s v="62a3fea50a77c1a77f66e41b"/>
    <s v="anonymous"/>
    <x v="0"/>
    <x v="238"/>
    <x v="149"/>
    <x v="0"/>
    <x v="0"/>
    <m/>
    <x v="0"/>
    <x v="0"/>
    <x v="0"/>
    <x v="0"/>
    <x v="2"/>
    <x v="2"/>
    <x v="0"/>
    <x v="1"/>
    <x v="5"/>
    <x v="6"/>
    <x v="0"/>
    <x v="8"/>
    <x v="0"/>
    <x v="0"/>
    <x v="4"/>
    <x v="2"/>
    <x v="1"/>
    <n v="35"/>
    <x v="2"/>
    <x v="2"/>
    <x v="3"/>
  </r>
  <r>
    <s v="62a40276bc6861bf3177e6fd"/>
    <s v="anonymous"/>
    <x v="0"/>
    <x v="239"/>
    <x v="150"/>
    <x v="0"/>
    <x v="0"/>
    <m/>
    <x v="0"/>
    <x v="0"/>
    <x v="4"/>
    <x v="0"/>
    <x v="2"/>
    <x v="2"/>
    <x v="2"/>
    <x v="0"/>
    <x v="4"/>
    <x v="1"/>
    <x v="3"/>
    <x v="4"/>
    <x v="8"/>
    <x v="1"/>
    <x v="3"/>
    <x v="1"/>
    <x v="0"/>
    <n v="22"/>
    <x v="4"/>
    <x v="2"/>
    <x v="1"/>
  </r>
  <r>
    <s v="62a403bbf8d5efcc22f8eb18"/>
    <s v="anonymous"/>
    <x v="0"/>
    <x v="240"/>
    <x v="110"/>
    <x v="0"/>
    <x v="0"/>
    <m/>
    <x v="0"/>
    <x v="0"/>
    <x v="0"/>
    <x v="0"/>
    <x v="2"/>
    <x v="2"/>
    <x v="4"/>
    <x v="0"/>
    <x v="8"/>
    <x v="8"/>
    <x v="1"/>
    <x v="5"/>
    <x v="5"/>
    <x v="8"/>
    <x v="0"/>
    <x v="2"/>
    <x v="0"/>
    <n v="33"/>
    <x v="4"/>
    <x v="2"/>
    <x v="1"/>
  </r>
  <r>
    <s v="62a403d30f8c8599d5b03d65"/>
    <s v="anonymous"/>
    <x v="0"/>
    <x v="241"/>
    <x v="118"/>
    <x v="0"/>
    <x v="0"/>
    <m/>
    <x v="0"/>
    <x v="0"/>
    <x v="1"/>
    <x v="1"/>
    <x v="2"/>
    <x v="2"/>
    <x v="7"/>
    <x v="0"/>
    <x v="1"/>
    <x v="10"/>
    <x v="0"/>
    <x v="8"/>
    <x v="1"/>
    <x v="4"/>
    <x v="2"/>
    <x v="2"/>
    <x v="0"/>
    <n v="22"/>
    <x v="0"/>
    <x v="2"/>
    <x v="0"/>
  </r>
  <r>
    <s v="62a4044acf25554317312a81"/>
    <s v="anonymous"/>
    <x v="0"/>
    <x v="242"/>
    <x v="151"/>
    <x v="0"/>
    <x v="0"/>
    <m/>
    <x v="0"/>
    <x v="0"/>
    <x v="0"/>
    <x v="0"/>
    <x v="5"/>
    <x v="5"/>
    <x v="2"/>
    <x v="1"/>
    <x v="7"/>
    <x v="2"/>
    <x v="5"/>
    <x v="8"/>
    <x v="0"/>
    <x v="6"/>
    <x v="4"/>
    <x v="0"/>
    <x v="0"/>
    <n v="35"/>
    <x v="0"/>
    <x v="2"/>
    <x v="0"/>
  </r>
  <r>
    <s v="62a4061bf408bae018ee5deb"/>
    <s v="anonymous"/>
    <x v="0"/>
    <x v="243"/>
    <x v="136"/>
    <x v="0"/>
    <x v="0"/>
    <m/>
    <x v="0"/>
    <x v="0"/>
    <x v="0"/>
    <x v="0"/>
    <x v="6"/>
    <x v="6"/>
    <x v="8"/>
    <x v="2"/>
    <x v="10"/>
    <x v="6"/>
    <x v="4"/>
    <x v="3"/>
    <x v="7"/>
    <x v="8"/>
    <x v="1"/>
    <x v="1"/>
    <x v="1"/>
    <n v="37"/>
    <x v="0"/>
    <x v="3"/>
    <x v="0"/>
  </r>
  <r>
    <s v="62a40726575fa3a5ae89d990"/>
    <s v="anonymous"/>
    <x v="0"/>
    <x v="244"/>
    <x v="152"/>
    <x v="0"/>
    <x v="0"/>
    <m/>
    <x v="0"/>
    <x v="0"/>
    <x v="4"/>
    <x v="0"/>
    <x v="2"/>
    <x v="2"/>
    <x v="1"/>
    <x v="0"/>
    <x v="5"/>
    <x v="11"/>
    <x v="11"/>
    <x v="11"/>
    <x v="11"/>
    <x v="11"/>
    <x v="2"/>
    <x v="2"/>
    <x v="0"/>
    <n v="22"/>
    <x v="0"/>
    <x v="4"/>
    <x v="4"/>
  </r>
  <r>
    <s v="62a4098124a2626027394ddc"/>
    <s v="anonymous"/>
    <x v="0"/>
    <x v="245"/>
    <x v="153"/>
    <x v="0"/>
    <x v="0"/>
    <m/>
    <x v="0"/>
    <x v="0"/>
    <x v="0"/>
    <x v="0"/>
    <x v="6"/>
    <x v="6"/>
    <x v="0"/>
    <x v="0"/>
    <x v="3"/>
    <x v="8"/>
    <x v="6"/>
    <x v="8"/>
    <x v="9"/>
    <x v="2"/>
    <x v="4"/>
    <x v="2"/>
    <x v="0"/>
    <n v="36"/>
    <x v="0"/>
    <x v="3"/>
    <x v="0"/>
  </r>
  <r>
    <s v="62a40c99575fa3a5ae89de4b"/>
    <s v="anonymous"/>
    <x v="0"/>
    <x v="246"/>
    <x v="72"/>
    <x v="0"/>
    <x v="0"/>
    <m/>
    <x v="0"/>
    <x v="0"/>
    <x v="3"/>
    <x v="0"/>
    <x v="5"/>
    <x v="5"/>
    <x v="2"/>
    <x v="0"/>
    <x v="9"/>
    <x v="6"/>
    <x v="5"/>
    <x v="6"/>
    <x v="2"/>
    <x v="6"/>
    <x v="1"/>
    <x v="1"/>
    <x v="0"/>
    <n v="26"/>
    <x v="4"/>
    <x v="2"/>
    <x v="3"/>
  </r>
  <r>
    <s v="62a40d86d8c00e9f541afb5e"/>
    <s v="anonymous"/>
    <x v="0"/>
    <x v="247"/>
    <x v="154"/>
    <x v="0"/>
    <x v="0"/>
    <m/>
    <x v="0"/>
    <x v="0"/>
    <x v="0"/>
    <x v="0"/>
    <x v="2"/>
    <x v="2"/>
    <x v="2"/>
    <x v="1"/>
    <x v="6"/>
    <x v="1"/>
    <x v="4"/>
    <x v="0"/>
    <x v="0"/>
    <x v="10"/>
    <x v="4"/>
    <x v="3"/>
    <x v="1"/>
    <n v="25"/>
    <x v="2"/>
    <x v="2"/>
    <x v="1"/>
  </r>
  <r>
    <s v="62a40da3cf255543173132e2"/>
    <s v="anonymous"/>
    <x v="0"/>
    <x v="248"/>
    <x v="136"/>
    <x v="0"/>
    <x v="0"/>
    <m/>
    <x v="0"/>
    <x v="0"/>
    <x v="0"/>
    <x v="0"/>
    <x v="1"/>
    <x v="1"/>
    <x v="2"/>
    <x v="1"/>
    <x v="5"/>
    <x v="3"/>
    <x v="4"/>
    <x v="0"/>
    <x v="0"/>
    <x v="10"/>
    <x v="4"/>
    <x v="0"/>
    <x v="1"/>
    <n v="34"/>
    <x v="0"/>
    <x v="1"/>
    <x v="0"/>
  </r>
  <r>
    <s v="62a40dfa5d257a28a30eb110"/>
    <s v="anonymous"/>
    <x v="0"/>
    <x v="249"/>
    <x v="116"/>
    <x v="0"/>
    <x v="0"/>
    <m/>
    <x v="0"/>
    <x v="0"/>
    <x v="0"/>
    <x v="0"/>
    <x v="2"/>
    <x v="2"/>
    <x v="2"/>
    <x v="0"/>
    <x v="5"/>
    <x v="2"/>
    <x v="5"/>
    <x v="6"/>
    <x v="2"/>
    <x v="8"/>
    <x v="3"/>
    <x v="0"/>
    <x v="0"/>
    <n v="33"/>
    <x v="2"/>
    <x v="2"/>
    <x v="3"/>
  </r>
  <r>
    <s v="62a410b5cec54911e9cb8262"/>
    <s v="anonymous"/>
    <x v="0"/>
    <x v="250"/>
    <x v="84"/>
    <x v="0"/>
    <x v="0"/>
    <m/>
    <x v="0"/>
    <x v="0"/>
    <x v="4"/>
    <x v="1"/>
    <x v="1"/>
    <x v="1"/>
    <x v="2"/>
    <x v="0"/>
    <x v="2"/>
    <x v="4"/>
    <x v="10"/>
    <x v="9"/>
    <x v="7"/>
    <x v="4"/>
    <x v="0"/>
    <x v="1"/>
    <x v="0"/>
    <n v="37"/>
    <x v="0"/>
    <x v="2"/>
    <x v="0"/>
  </r>
  <r>
    <s v="62a41135bc6861bf3177f3d8"/>
    <s v="anonymous"/>
    <x v="0"/>
    <x v="251"/>
    <x v="8"/>
    <x v="0"/>
    <x v="0"/>
    <m/>
    <x v="0"/>
    <x v="0"/>
    <x v="0"/>
    <x v="1"/>
    <x v="6"/>
    <x v="6"/>
    <x v="2"/>
    <x v="0"/>
    <x v="8"/>
    <x v="6"/>
    <x v="0"/>
    <x v="5"/>
    <x v="7"/>
    <x v="10"/>
    <x v="2"/>
    <x v="2"/>
    <x v="1"/>
    <n v="54"/>
    <x v="0"/>
    <x v="1"/>
    <x v="0"/>
  </r>
  <r>
    <s v="62a41795cec54911e9cb8854"/>
    <s v="anonymous"/>
    <x v="1"/>
    <x v="252"/>
    <x v="118"/>
    <x v="0"/>
    <x v="0"/>
    <m/>
    <x v="0"/>
    <x v="0"/>
    <x v="0"/>
    <x v="0"/>
    <x v="2"/>
    <x v="2"/>
    <x v="1"/>
    <x v="0"/>
    <x v="4"/>
    <x v="11"/>
    <x v="11"/>
    <x v="11"/>
    <x v="11"/>
    <x v="11"/>
    <x v="2"/>
    <x v="2"/>
    <x v="0"/>
    <n v="26"/>
    <x v="4"/>
    <x v="2"/>
    <x v="1"/>
  </r>
  <r>
    <s v="62a41964d8c00e9f541b061d"/>
    <s v="anonymous"/>
    <x v="1"/>
    <x v="253"/>
    <x v="134"/>
    <x v="0"/>
    <x v="0"/>
    <m/>
    <x v="0"/>
    <x v="0"/>
    <x v="0"/>
    <x v="1"/>
    <x v="1"/>
    <x v="1"/>
    <x v="5"/>
    <x v="1"/>
    <x v="5"/>
    <x v="10"/>
    <x v="0"/>
    <x v="8"/>
    <x v="8"/>
    <x v="0"/>
    <x v="4"/>
    <x v="2"/>
    <x v="1"/>
    <n v="27"/>
    <x v="0"/>
    <x v="3"/>
    <x v="3"/>
  </r>
  <r>
    <s v="62a41968f8d5efcc22f8fd44"/>
    <s v="anonymous"/>
    <x v="1"/>
    <x v="253"/>
    <x v="155"/>
    <x v="0"/>
    <x v="0"/>
    <m/>
    <x v="0"/>
    <x v="0"/>
    <x v="6"/>
    <x v="0"/>
    <x v="2"/>
    <x v="2"/>
    <x v="3"/>
    <x v="2"/>
    <x v="4"/>
    <x v="5"/>
    <x v="4"/>
    <x v="5"/>
    <x v="4"/>
    <x v="5"/>
    <x v="3"/>
    <x v="2"/>
    <x v="0"/>
    <n v="24"/>
    <x v="3"/>
    <x v="2"/>
    <x v="0"/>
  </r>
  <r>
    <s v="62a41e23bc6861bf3177fffb"/>
    <s v="anonymous"/>
    <x v="1"/>
    <x v="254"/>
    <x v="66"/>
    <x v="0"/>
    <x v="0"/>
    <m/>
    <x v="0"/>
    <x v="0"/>
    <x v="0"/>
    <x v="0"/>
    <x v="2"/>
    <x v="2"/>
    <x v="1"/>
    <x v="0"/>
    <x v="8"/>
    <x v="6"/>
    <x v="1"/>
    <x v="0"/>
    <x v="0"/>
    <x v="2"/>
    <x v="4"/>
    <x v="2"/>
    <x v="0"/>
    <n v="24"/>
    <x v="2"/>
    <x v="2"/>
    <x v="0"/>
  </r>
  <r>
    <s v="62a421cebc6861bf317803f5"/>
    <s v="anonymous"/>
    <x v="1"/>
    <x v="255"/>
    <x v="9"/>
    <x v="0"/>
    <x v="0"/>
    <m/>
    <x v="0"/>
    <x v="0"/>
    <x v="2"/>
    <x v="0"/>
    <x v="2"/>
    <x v="2"/>
    <x v="2"/>
    <x v="0"/>
    <x v="6"/>
    <x v="4"/>
    <x v="1"/>
    <x v="4"/>
    <x v="8"/>
    <x v="1"/>
    <x v="4"/>
    <x v="2"/>
    <x v="0"/>
    <n v="27"/>
    <x v="2"/>
    <x v="2"/>
    <x v="0"/>
  </r>
  <r>
    <s v="62a42243f8d5efcc22f90c55"/>
    <s v="anonymous"/>
    <x v="1"/>
    <x v="256"/>
    <x v="29"/>
    <x v="0"/>
    <x v="0"/>
    <m/>
    <x v="0"/>
    <x v="0"/>
    <x v="4"/>
    <x v="1"/>
    <x v="2"/>
    <x v="2"/>
    <x v="2"/>
    <x v="0"/>
    <x v="2"/>
    <x v="7"/>
    <x v="10"/>
    <x v="10"/>
    <x v="3"/>
    <x v="9"/>
    <x v="0"/>
    <x v="0"/>
    <x v="0"/>
    <n v="25"/>
    <x v="2"/>
    <x v="2"/>
    <x v="1"/>
  </r>
  <r>
    <s v="62a424ccd8c00e9f541b114e"/>
    <s v="anonymous"/>
    <x v="1"/>
    <x v="257"/>
    <x v="42"/>
    <x v="0"/>
    <x v="0"/>
    <m/>
    <x v="0"/>
    <x v="0"/>
    <x v="0"/>
    <x v="0"/>
    <x v="2"/>
    <x v="2"/>
    <x v="4"/>
    <x v="0"/>
    <x v="1"/>
    <x v="10"/>
    <x v="0"/>
    <x v="8"/>
    <x v="2"/>
    <x v="3"/>
    <x v="3"/>
    <x v="2"/>
    <x v="1"/>
    <n v="28"/>
    <x v="3"/>
    <x v="3"/>
    <x v="2"/>
  </r>
  <r>
    <s v="62a42527b4da29969c6423f7"/>
    <s v="anonymous"/>
    <x v="1"/>
    <x v="258"/>
    <x v="19"/>
    <x v="0"/>
    <x v="0"/>
    <m/>
    <x v="0"/>
    <x v="0"/>
    <x v="2"/>
    <x v="1"/>
    <x v="1"/>
    <x v="1"/>
    <x v="5"/>
    <x v="0"/>
    <x v="6"/>
    <x v="3"/>
    <x v="1"/>
    <x v="0"/>
    <x v="4"/>
    <x v="7"/>
    <x v="1"/>
    <x v="0"/>
    <x v="0"/>
    <n v="21"/>
    <x v="0"/>
    <x v="2"/>
    <x v="1"/>
  </r>
  <r>
    <s v="62a425ec2e54c9003e5467bf"/>
    <s v="anonymous"/>
    <x v="1"/>
    <x v="259"/>
    <x v="6"/>
    <x v="0"/>
    <x v="0"/>
    <m/>
    <x v="0"/>
    <x v="0"/>
    <x v="0"/>
    <x v="0"/>
    <x v="5"/>
    <x v="5"/>
    <x v="0"/>
    <x v="2"/>
    <x v="5"/>
    <x v="4"/>
    <x v="1"/>
    <x v="0"/>
    <x v="7"/>
    <x v="10"/>
    <x v="3"/>
    <x v="1"/>
    <x v="1"/>
    <n v="28"/>
    <x v="0"/>
    <x v="2"/>
    <x v="0"/>
  </r>
  <r>
    <s v="62a427190a77c1a77f67095c"/>
    <s v="anonymous"/>
    <x v="1"/>
    <x v="260"/>
    <x v="11"/>
    <x v="0"/>
    <x v="0"/>
    <m/>
    <x v="0"/>
    <x v="0"/>
    <x v="0"/>
    <x v="0"/>
    <x v="2"/>
    <x v="2"/>
    <x v="4"/>
    <x v="0"/>
    <x v="6"/>
    <x v="6"/>
    <x v="1"/>
    <x v="0"/>
    <x v="0"/>
    <x v="4"/>
    <x v="4"/>
    <x v="0"/>
    <x v="0"/>
    <n v="30"/>
    <x v="2"/>
    <x v="3"/>
    <x v="2"/>
  </r>
  <r>
    <s v="62a429f0f3072dd892636396"/>
    <s v="anonymous"/>
    <x v="1"/>
    <x v="261"/>
    <x v="39"/>
    <x v="0"/>
    <x v="0"/>
    <m/>
    <x v="0"/>
    <x v="0"/>
    <x v="0"/>
    <x v="1"/>
    <x v="2"/>
    <x v="2"/>
    <x v="5"/>
    <x v="0"/>
    <x v="2"/>
    <x v="8"/>
    <x v="10"/>
    <x v="7"/>
    <x v="0"/>
    <x v="2"/>
    <x v="1"/>
    <x v="0"/>
    <x v="0"/>
    <n v="24"/>
    <x v="2"/>
    <x v="4"/>
    <x v="2"/>
  </r>
  <r>
    <s v="62a42d6ef8d5efcc22f9178a"/>
    <s v="anonymous"/>
    <x v="1"/>
    <x v="262"/>
    <x v="108"/>
    <x v="0"/>
    <x v="0"/>
    <m/>
    <x v="0"/>
    <x v="0"/>
    <x v="0"/>
    <x v="0"/>
    <x v="2"/>
    <x v="2"/>
    <x v="0"/>
    <x v="0"/>
    <x v="7"/>
    <x v="4"/>
    <x v="4"/>
    <x v="0"/>
    <x v="5"/>
    <x v="10"/>
    <x v="3"/>
    <x v="0"/>
    <x v="0"/>
    <n v="26"/>
    <x v="4"/>
    <x v="2"/>
    <x v="4"/>
  </r>
  <r>
    <s v="62a436fd24a2626027397c93"/>
    <s v="anonymous"/>
    <x v="1"/>
    <x v="263"/>
    <x v="156"/>
    <x v="0"/>
    <x v="0"/>
    <m/>
    <x v="0"/>
    <x v="0"/>
    <x v="0"/>
    <x v="0"/>
    <x v="2"/>
    <x v="2"/>
    <x v="4"/>
    <x v="0"/>
    <x v="11"/>
    <x v="11"/>
    <x v="11"/>
    <x v="11"/>
    <x v="11"/>
    <x v="5"/>
    <x v="4"/>
    <x v="1"/>
    <x v="1"/>
    <n v="19"/>
    <x v="2"/>
    <x v="1"/>
    <x v="1"/>
  </r>
  <r>
    <s v="62a43e86f408bae018ee913a"/>
    <s v="anonymous"/>
    <x v="1"/>
    <x v="264"/>
    <x v="53"/>
    <x v="0"/>
    <x v="0"/>
    <m/>
    <x v="0"/>
    <x v="0"/>
    <x v="4"/>
    <x v="1"/>
    <x v="2"/>
    <x v="2"/>
    <x v="2"/>
    <x v="0"/>
    <x v="8"/>
    <x v="3"/>
    <x v="4"/>
    <x v="0"/>
    <x v="1"/>
    <x v="1"/>
    <x v="4"/>
    <x v="1"/>
    <x v="1"/>
    <n v="92"/>
    <x v="4"/>
    <x v="3"/>
    <x v="1"/>
  </r>
  <r>
    <s v="62a43ed4f8d5efcc22f92d0a"/>
    <s v="anonymous"/>
    <x v="1"/>
    <x v="265"/>
    <x v="157"/>
    <x v="0"/>
    <x v="0"/>
    <m/>
    <x v="0"/>
    <x v="0"/>
    <x v="0"/>
    <x v="0"/>
    <x v="2"/>
    <x v="2"/>
    <x v="0"/>
    <x v="0"/>
    <x v="1"/>
    <x v="2"/>
    <x v="1"/>
    <x v="9"/>
    <x v="2"/>
    <x v="8"/>
    <x v="4"/>
    <x v="0"/>
    <x v="0"/>
    <n v="28"/>
    <x v="2"/>
    <x v="2"/>
    <x v="2"/>
  </r>
  <r>
    <s v="62a43f43f408bae018ee9281"/>
    <s v="anonymous"/>
    <x v="1"/>
    <x v="266"/>
    <x v="26"/>
    <x v="0"/>
    <x v="0"/>
    <m/>
    <x v="0"/>
    <x v="0"/>
    <x v="4"/>
    <x v="0"/>
    <x v="2"/>
    <x v="2"/>
    <x v="5"/>
    <x v="0"/>
    <x v="2"/>
    <x v="9"/>
    <x v="8"/>
    <x v="1"/>
    <x v="1"/>
    <x v="3"/>
    <x v="4"/>
    <x v="2"/>
    <x v="1"/>
    <n v="24"/>
    <x v="4"/>
    <x v="3"/>
    <x v="1"/>
  </r>
  <r>
    <s v="62a440ab575fa3a5ae8a1418"/>
    <s v="anonymous"/>
    <x v="1"/>
    <x v="267"/>
    <x v="158"/>
    <x v="0"/>
    <x v="0"/>
    <m/>
    <x v="0"/>
    <x v="0"/>
    <x v="2"/>
    <x v="1"/>
    <x v="1"/>
    <x v="1"/>
    <x v="0"/>
    <x v="0"/>
    <x v="7"/>
    <x v="8"/>
    <x v="6"/>
    <x v="2"/>
    <x v="0"/>
    <x v="2"/>
    <x v="1"/>
    <x v="2"/>
    <x v="0"/>
    <n v="25"/>
    <x v="0"/>
    <x v="3"/>
    <x v="1"/>
  </r>
  <r>
    <s v="62a441e3575fa3a5ae8a1552"/>
    <s v="anonymous"/>
    <x v="1"/>
    <x v="268"/>
    <x v="159"/>
    <x v="0"/>
    <x v="0"/>
    <m/>
    <x v="0"/>
    <x v="0"/>
    <x v="0"/>
    <x v="0"/>
    <x v="1"/>
    <x v="1"/>
    <x v="1"/>
    <x v="0"/>
    <x v="5"/>
    <x v="6"/>
    <x v="1"/>
    <x v="0"/>
    <x v="5"/>
    <x v="10"/>
    <x v="4"/>
    <x v="1"/>
    <x v="0"/>
    <n v="42"/>
    <x v="3"/>
    <x v="3"/>
    <x v="2"/>
  </r>
  <r>
    <s v="62a446faf8f7561645868c60"/>
    <s v="anonymous"/>
    <x v="1"/>
    <x v="269"/>
    <x v="17"/>
    <x v="0"/>
    <x v="0"/>
    <m/>
    <x v="0"/>
    <x v="0"/>
    <x v="0"/>
    <x v="0"/>
    <x v="2"/>
    <x v="2"/>
    <x v="4"/>
    <x v="0"/>
    <x v="4"/>
    <x v="5"/>
    <x v="3"/>
    <x v="4"/>
    <x v="4"/>
    <x v="1"/>
    <x v="3"/>
    <x v="2"/>
    <x v="0"/>
    <n v="21"/>
    <x v="4"/>
    <x v="2"/>
    <x v="1"/>
  </r>
  <r>
    <s v="62a448832e54c9003e5491c5"/>
    <s v="anonymous"/>
    <x v="1"/>
    <x v="270"/>
    <x v="59"/>
    <x v="0"/>
    <x v="0"/>
    <m/>
    <x v="0"/>
    <x v="0"/>
    <x v="0"/>
    <x v="1"/>
    <x v="6"/>
    <x v="6"/>
    <x v="0"/>
    <x v="0"/>
    <x v="7"/>
    <x v="2"/>
    <x v="7"/>
    <x v="8"/>
    <x v="2"/>
    <x v="10"/>
    <x v="1"/>
    <x v="2"/>
    <x v="0"/>
    <n v="24"/>
    <x v="0"/>
    <x v="2"/>
    <x v="0"/>
  </r>
  <r>
    <s v="62a44ae2f8f7561645869335"/>
    <s v="anonymous"/>
    <x v="1"/>
    <x v="271"/>
    <x v="38"/>
    <x v="0"/>
    <x v="0"/>
    <m/>
    <x v="0"/>
    <x v="0"/>
    <x v="0"/>
    <x v="0"/>
    <x v="1"/>
    <x v="1"/>
    <x v="0"/>
    <x v="0"/>
    <x v="5"/>
    <x v="10"/>
    <x v="4"/>
    <x v="5"/>
    <x v="5"/>
    <x v="0"/>
    <x v="4"/>
    <x v="2"/>
    <x v="1"/>
    <n v="26"/>
    <x v="0"/>
    <x v="2"/>
    <x v="0"/>
  </r>
  <r>
    <s v="62a44bc7bc6861bf31783829"/>
    <s v="anonymous"/>
    <x v="1"/>
    <x v="272"/>
    <x v="93"/>
    <x v="0"/>
    <x v="0"/>
    <m/>
    <x v="0"/>
    <x v="0"/>
    <x v="0"/>
    <x v="0"/>
    <x v="2"/>
    <x v="2"/>
    <x v="2"/>
    <x v="0"/>
    <x v="4"/>
    <x v="2"/>
    <x v="5"/>
    <x v="7"/>
    <x v="6"/>
    <x v="2"/>
    <x v="3"/>
    <x v="2"/>
    <x v="0"/>
    <n v="30"/>
    <x v="3"/>
    <x v="2"/>
    <x v="0"/>
  </r>
  <r>
    <s v="62a44ea3f408bae018eea62a"/>
    <s v="anonymous"/>
    <x v="1"/>
    <x v="273"/>
    <x v="160"/>
    <x v="0"/>
    <x v="0"/>
    <m/>
    <x v="0"/>
    <x v="0"/>
    <x v="1"/>
    <x v="0"/>
    <x v="5"/>
    <x v="5"/>
    <x v="2"/>
    <x v="2"/>
    <x v="9"/>
    <x v="8"/>
    <x v="6"/>
    <x v="2"/>
    <x v="9"/>
    <x v="2"/>
    <x v="4"/>
    <x v="3"/>
    <x v="0"/>
    <n v="27"/>
    <x v="0"/>
    <x v="2"/>
    <x v="2"/>
  </r>
  <r>
    <s v="62a4514ff408bae018eea94d"/>
    <s v="anonymous"/>
    <x v="1"/>
    <x v="274"/>
    <x v="108"/>
    <x v="0"/>
    <x v="0"/>
    <m/>
    <x v="0"/>
    <x v="0"/>
    <x v="1"/>
    <x v="0"/>
    <x v="2"/>
    <x v="2"/>
    <x v="4"/>
    <x v="0"/>
    <x v="2"/>
    <x v="4"/>
    <x v="9"/>
    <x v="10"/>
    <x v="1"/>
    <x v="1"/>
    <x v="1"/>
    <x v="2"/>
    <x v="0"/>
    <n v="28"/>
    <x v="4"/>
    <x v="2"/>
    <x v="1"/>
  </r>
  <r>
    <s v="62a45a140a77c1a77f67469d"/>
    <s v="anonymous"/>
    <x v="1"/>
    <x v="275"/>
    <x v="128"/>
    <x v="0"/>
    <x v="0"/>
    <m/>
    <x v="0"/>
    <x v="0"/>
    <x v="0"/>
    <x v="1"/>
    <x v="6"/>
    <x v="6"/>
    <x v="7"/>
    <x v="2"/>
    <x v="9"/>
    <x v="2"/>
    <x v="0"/>
    <x v="8"/>
    <x v="0"/>
    <x v="10"/>
    <x v="1"/>
    <x v="2"/>
    <x v="1"/>
    <n v="29"/>
    <x v="3"/>
    <x v="2"/>
    <x v="0"/>
  </r>
  <r>
    <s v="62a45c8bf3072dd89263a493"/>
    <s v="anonymous"/>
    <x v="1"/>
    <x v="276"/>
    <x v="56"/>
    <x v="0"/>
    <x v="0"/>
    <m/>
    <x v="0"/>
    <x v="0"/>
    <x v="0"/>
    <x v="1"/>
    <x v="2"/>
    <x v="2"/>
    <x v="2"/>
    <x v="0"/>
    <x v="2"/>
    <x v="7"/>
    <x v="10"/>
    <x v="10"/>
    <x v="3"/>
    <x v="9"/>
    <x v="1"/>
    <x v="1"/>
    <x v="1"/>
    <n v="26"/>
    <x v="4"/>
    <x v="2"/>
    <x v="1"/>
  </r>
  <r>
    <s v="62a45f8c0f8c8599d5b09d40"/>
    <s v="anonymous"/>
    <x v="1"/>
    <x v="277"/>
    <x v="42"/>
    <x v="0"/>
    <x v="0"/>
    <m/>
    <x v="0"/>
    <x v="0"/>
    <x v="1"/>
    <x v="0"/>
    <x v="2"/>
    <x v="2"/>
    <x v="1"/>
    <x v="0"/>
    <x v="6"/>
    <x v="5"/>
    <x v="3"/>
    <x v="4"/>
    <x v="4"/>
    <x v="7"/>
    <x v="4"/>
    <x v="0"/>
    <x v="0"/>
    <n v="29"/>
    <x v="2"/>
    <x v="2"/>
    <x v="2"/>
  </r>
  <r>
    <s v="62a4604d0a77c1a77f674e29"/>
    <s v="anonymous"/>
    <x v="1"/>
    <x v="278"/>
    <x v="4"/>
    <x v="0"/>
    <x v="0"/>
    <m/>
    <x v="0"/>
    <x v="0"/>
    <x v="2"/>
    <x v="1"/>
    <x v="6"/>
    <x v="6"/>
    <x v="1"/>
    <x v="2"/>
    <x v="6"/>
    <x v="6"/>
    <x v="0"/>
    <x v="1"/>
    <x v="0"/>
    <x v="0"/>
    <x v="1"/>
    <x v="0"/>
    <x v="0"/>
    <n v="60"/>
    <x v="3"/>
    <x v="3"/>
    <x v="0"/>
  </r>
  <r>
    <s v="62a46a66f8d5efcc22f95a7a"/>
    <s v="anonymous"/>
    <x v="1"/>
    <x v="279"/>
    <x v="82"/>
    <x v="0"/>
    <x v="0"/>
    <m/>
    <x v="0"/>
    <x v="0"/>
    <x v="0"/>
    <x v="0"/>
    <x v="2"/>
    <x v="2"/>
    <x v="0"/>
    <x v="0"/>
    <x v="8"/>
    <x v="2"/>
    <x v="5"/>
    <x v="0"/>
    <x v="0"/>
    <x v="10"/>
    <x v="4"/>
    <x v="2"/>
    <x v="0"/>
    <n v="25"/>
    <x v="2"/>
    <x v="2"/>
    <x v="2"/>
  </r>
  <r>
    <s v="62a46ad7d8c00e9f541b664a"/>
    <s v="anonymous"/>
    <x v="1"/>
    <x v="280"/>
    <x v="127"/>
    <x v="0"/>
    <x v="0"/>
    <m/>
    <x v="0"/>
    <x v="0"/>
    <x v="2"/>
    <x v="1"/>
    <x v="2"/>
    <x v="2"/>
    <x v="6"/>
    <x v="1"/>
    <x v="2"/>
    <x v="7"/>
    <x v="9"/>
    <x v="4"/>
    <x v="8"/>
    <x v="3"/>
    <x v="4"/>
    <x v="1"/>
    <x v="1"/>
    <n v="37"/>
    <x v="2"/>
    <x v="3"/>
    <x v="4"/>
  </r>
  <r>
    <s v="62a46dbecf25554317319e48"/>
    <s v="anonymous"/>
    <x v="1"/>
    <x v="281"/>
    <x v="105"/>
    <x v="0"/>
    <x v="0"/>
    <m/>
    <x v="0"/>
    <x v="0"/>
    <x v="0"/>
    <x v="0"/>
    <x v="6"/>
    <x v="6"/>
    <x v="1"/>
    <x v="0"/>
    <x v="9"/>
    <x v="2"/>
    <x v="3"/>
    <x v="3"/>
    <x v="0"/>
    <x v="3"/>
    <x v="4"/>
    <x v="2"/>
    <x v="1"/>
    <n v="30"/>
    <x v="1"/>
    <x v="2"/>
    <x v="1"/>
  </r>
  <r>
    <s v="62a475dcf408bae018eed15c"/>
    <s v="anonymous"/>
    <x v="1"/>
    <x v="282"/>
    <x v="161"/>
    <x v="0"/>
    <x v="0"/>
    <m/>
    <x v="0"/>
    <x v="0"/>
    <x v="0"/>
    <x v="0"/>
    <x v="2"/>
    <x v="2"/>
    <x v="0"/>
    <x v="0"/>
    <x v="2"/>
    <x v="9"/>
    <x v="8"/>
    <x v="9"/>
    <x v="3"/>
    <x v="1"/>
    <x v="4"/>
    <x v="2"/>
    <x v="1"/>
    <n v="27"/>
    <x v="2"/>
    <x v="3"/>
    <x v="2"/>
  </r>
  <r>
    <s v="62a477f0b4da29969c64892f"/>
    <s v="anonymous"/>
    <x v="1"/>
    <x v="283"/>
    <x v="16"/>
    <x v="0"/>
    <x v="0"/>
    <m/>
    <x v="0"/>
    <x v="0"/>
    <x v="3"/>
    <x v="0"/>
    <x v="7"/>
    <x v="7"/>
    <x v="4"/>
    <x v="1"/>
    <x v="8"/>
    <x v="3"/>
    <x v="1"/>
    <x v="0"/>
    <x v="5"/>
    <x v="10"/>
    <x v="3"/>
    <x v="4"/>
    <x v="0"/>
    <n v="31"/>
    <x v="0"/>
    <x v="5"/>
    <x v="0"/>
  </r>
  <r>
    <s v="62a47947cec54911e9cbf6b2"/>
    <s v="anonymous"/>
    <x v="1"/>
    <x v="284"/>
    <x v="126"/>
    <x v="0"/>
    <x v="0"/>
    <m/>
    <x v="0"/>
    <x v="0"/>
    <x v="4"/>
    <x v="1"/>
    <x v="2"/>
    <x v="2"/>
    <x v="2"/>
    <x v="1"/>
    <x v="3"/>
    <x v="8"/>
    <x v="6"/>
    <x v="2"/>
    <x v="9"/>
    <x v="2"/>
    <x v="4"/>
    <x v="1"/>
    <x v="0"/>
    <n v="24"/>
    <x v="3"/>
    <x v="3"/>
    <x v="1"/>
  </r>
  <r>
    <s v="62a47c587dc029e2d66d9782"/>
    <s v="anonymous"/>
    <x v="1"/>
    <x v="285"/>
    <x v="162"/>
    <x v="0"/>
    <x v="0"/>
    <m/>
    <x v="0"/>
    <x v="0"/>
    <x v="0"/>
    <x v="1"/>
    <x v="2"/>
    <x v="2"/>
    <x v="1"/>
    <x v="2"/>
    <x v="2"/>
    <x v="3"/>
    <x v="4"/>
    <x v="5"/>
    <x v="0"/>
    <x v="10"/>
    <x v="4"/>
    <x v="2"/>
    <x v="1"/>
    <n v="20"/>
    <x v="0"/>
    <x v="2"/>
    <x v="2"/>
  </r>
  <r>
    <s v="62a47e3ef3072dd89263c8c0"/>
    <s v="anonymous"/>
    <x v="1"/>
    <x v="286"/>
    <x v="163"/>
    <x v="0"/>
    <x v="0"/>
    <m/>
    <x v="0"/>
    <x v="0"/>
    <x v="2"/>
    <x v="1"/>
    <x v="2"/>
    <x v="2"/>
    <x v="4"/>
    <x v="1"/>
    <x v="4"/>
    <x v="9"/>
    <x v="2"/>
    <x v="9"/>
    <x v="1"/>
    <x v="3"/>
    <x v="1"/>
    <x v="1"/>
    <x v="0"/>
    <n v="24"/>
    <x v="4"/>
    <x v="2"/>
    <x v="1"/>
  </r>
  <r>
    <s v="62a47e812e54c9003e54d789"/>
    <s v="anonymous"/>
    <x v="1"/>
    <x v="287"/>
    <x v="63"/>
    <x v="0"/>
    <x v="0"/>
    <m/>
    <x v="0"/>
    <x v="0"/>
    <x v="4"/>
    <x v="0"/>
    <x v="2"/>
    <x v="2"/>
    <x v="2"/>
    <x v="1"/>
    <x v="6"/>
    <x v="3"/>
    <x v="0"/>
    <x v="5"/>
    <x v="7"/>
    <x v="7"/>
    <x v="4"/>
    <x v="1"/>
    <x v="0"/>
    <n v="24"/>
    <x v="2"/>
    <x v="2"/>
    <x v="0"/>
  </r>
  <r>
    <s v="62a47ea87dc029e2d66d9b60"/>
    <s v="anonymous"/>
    <x v="1"/>
    <x v="288"/>
    <x v="1"/>
    <x v="0"/>
    <x v="0"/>
    <m/>
    <x v="0"/>
    <x v="0"/>
    <x v="4"/>
    <x v="1"/>
    <x v="2"/>
    <x v="2"/>
    <x v="2"/>
    <x v="1"/>
    <x v="2"/>
    <x v="9"/>
    <x v="3"/>
    <x v="10"/>
    <x v="3"/>
    <x v="9"/>
    <x v="4"/>
    <x v="1"/>
    <x v="0"/>
    <n v="41"/>
    <x v="2"/>
    <x v="2"/>
    <x v="3"/>
  </r>
  <r>
    <s v="62a47f1e0a77c1a77f677174"/>
    <s v="anonymous"/>
    <x v="1"/>
    <x v="289"/>
    <x v="153"/>
    <x v="0"/>
    <x v="0"/>
    <m/>
    <x v="0"/>
    <x v="0"/>
    <x v="0"/>
    <x v="0"/>
    <x v="5"/>
    <x v="5"/>
    <x v="4"/>
    <x v="1"/>
    <x v="10"/>
    <x v="2"/>
    <x v="5"/>
    <x v="6"/>
    <x v="6"/>
    <x v="8"/>
    <x v="3"/>
    <x v="2"/>
    <x v="0"/>
    <n v="41"/>
    <x v="0"/>
    <x v="2"/>
    <x v="0"/>
  </r>
  <r>
    <s v="62a48566b4da29969c64995a"/>
    <s v="anonymous"/>
    <x v="1"/>
    <x v="290"/>
    <x v="36"/>
    <x v="0"/>
    <x v="0"/>
    <m/>
    <x v="0"/>
    <x v="0"/>
    <x v="2"/>
    <x v="1"/>
    <x v="3"/>
    <x v="3"/>
    <x v="2"/>
    <x v="0"/>
    <x v="0"/>
    <x v="2"/>
    <x v="7"/>
    <x v="2"/>
    <x v="6"/>
    <x v="2"/>
    <x v="4"/>
    <x v="3"/>
    <x v="0"/>
    <n v="43"/>
    <x v="0"/>
    <x v="2"/>
    <x v="0"/>
  </r>
  <r>
    <s v="62a48612d8c00e9f541b86b8"/>
    <s v="anonymous"/>
    <x v="1"/>
    <x v="291"/>
    <x v="164"/>
    <x v="0"/>
    <x v="0"/>
    <m/>
    <x v="0"/>
    <x v="0"/>
    <x v="0"/>
    <x v="1"/>
    <x v="6"/>
    <x v="6"/>
    <x v="0"/>
    <x v="0"/>
    <x v="7"/>
    <x v="10"/>
    <x v="5"/>
    <x v="3"/>
    <x v="5"/>
    <x v="6"/>
    <x v="1"/>
    <x v="0"/>
    <x v="1"/>
    <n v="38"/>
    <x v="0"/>
    <x v="2"/>
    <x v="0"/>
  </r>
  <r>
    <s v="62a487167dc029e2d66da73e"/>
    <s v="anonymous"/>
    <x v="1"/>
    <x v="292"/>
    <x v="164"/>
    <x v="0"/>
    <x v="0"/>
    <m/>
    <x v="0"/>
    <x v="0"/>
    <x v="0"/>
    <x v="0"/>
    <x v="2"/>
    <x v="2"/>
    <x v="2"/>
    <x v="0"/>
    <x v="8"/>
    <x v="6"/>
    <x v="1"/>
    <x v="0"/>
    <x v="0"/>
    <x v="10"/>
    <x v="4"/>
    <x v="2"/>
    <x v="1"/>
    <n v="28"/>
    <x v="2"/>
    <x v="2"/>
    <x v="1"/>
  </r>
  <r>
    <s v="62a488197dc029e2d66da8a1"/>
    <s v="anonymous"/>
    <x v="1"/>
    <x v="293"/>
    <x v="1"/>
    <x v="0"/>
    <x v="0"/>
    <m/>
    <x v="0"/>
    <x v="0"/>
    <x v="0"/>
    <x v="0"/>
    <x v="5"/>
    <x v="5"/>
    <x v="0"/>
    <x v="0"/>
    <x v="3"/>
    <x v="2"/>
    <x v="4"/>
    <x v="2"/>
    <x v="2"/>
    <x v="5"/>
    <x v="4"/>
    <x v="3"/>
    <x v="1"/>
    <n v="31"/>
    <x v="2"/>
    <x v="2"/>
    <x v="3"/>
  </r>
  <r>
    <s v="62a48c4c24a262602739e141"/>
    <s v="anonymous"/>
    <x v="1"/>
    <x v="294"/>
    <x v="105"/>
    <x v="0"/>
    <x v="0"/>
    <m/>
    <x v="0"/>
    <x v="0"/>
    <x v="0"/>
    <x v="0"/>
    <x v="5"/>
    <x v="5"/>
    <x v="2"/>
    <x v="2"/>
    <x v="10"/>
    <x v="10"/>
    <x v="5"/>
    <x v="5"/>
    <x v="2"/>
    <x v="8"/>
    <x v="3"/>
    <x v="1"/>
    <x v="1"/>
    <n v="28"/>
    <x v="0"/>
    <x v="3"/>
    <x v="0"/>
  </r>
  <r>
    <s v="62a48cbdf408bae018eeeccf"/>
    <s v="anonymous"/>
    <x v="1"/>
    <x v="0"/>
    <x v="12"/>
    <x v="0"/>
    <x v="0"/>
    <m/>
    <x v="0"/>
    <x v="0"/>
    <x v="0"/>
    <x v="1"/>
    <x v="1"/>
    <x v="1"/>
    <x v="0"/>
    <x v="4"/>
    <x v="7"/>
    <x v="2"/>
    <x v="7"/>
    <x v="7"/>
    <x v="7"/>
    <x v="6"/>
    <x v="1"/>
    <x v="0"/>
    <x v="0"/>
    <n v="23"/>
    <x v="0"/>
    <x v="3"/>
    <x v="1"/>
  </r>
  <r>
    <s v="62a48d4df8d5efcc22f98308"/>
    <s v="anonymous"/>
    <x v="1"/>
    <x v="1"/>
    <x v="21"/>
    <x v="0"/>
    <x v="0"/>
    <m/>
    <x v="0"/>
    <x v="0"/>
    <x v="0"/>
    <x v="1"/>
    <x v="1"/>
    <x v="1"/>
    <x v="2"/>
    <x v="0"/>
    <x v="8"/>
    <x v="6"/>
    <x v="2"/>
    <x v="0"/>
    <x v="5"/>
    <x v="10"/>
    <x v="4"/>
    <x v="2"/>
    <x v="0"/>
    <n v="25"/>
    <x v="3"/>
    <x v="2"/>
    <x v="2"/>
  </r>
  <r>
    <s v="62a48d562e54c9003e54ea2b"/>
    <s v="anonymous"/>
    <x v="1"/>
    <x v="1"/>
    <x v="69"/>
    <x v="0"/>
    <x v="0"/>
    <m/>
    <x v="0"/>
    <x v="0"/>
    <x v="2"/>
    <x v="1"/>
    <x v="2"/>
    <x v="2"/>
    <x v="4"/>
    <x v="1"/>
    <x v="4"/>
    <x v="6"/>
    <x v="8"/>
    <x v="6"/>
    <x v="10"/>
    <x v="2"/>
    <x v="3"/>
    <x v="0"/>
    <x v="0"/>
    <n v="26"/>
    <x v="2"/>
    <x v="3"/>
    <x v="0"/>
  </r>
  <r>
    <s v="62a48da6b4da29969c64a3a5"/>
    <s v="anonymous"/>
    <x v="1"/>
    <x v="2"/>
    <x v="14"/>
    <x v="0"/>
    <x v="0"/>
    <m/>
    <x v="0"/>
    <x v="0"/>
    <x v="3"/>
    <x v="0"/>
    <x v="4"/>
    <x v="4"/>
    <x v="1"/>
    <x v="0"/>
    <x v="0"/>
    <x v="4"/>
    <x v="5"/>
    <x v="8"/>
    <x v="0"/>
    <x v="10"/>
    <x v="3"/>
    <x v="1"/>
    <x v="0"/>
    <n v="35"/>
    <x v="0"/>
    <x v="2"/>
    <x v="0"/>
  </r>
  <r>
    <s v="62a49012f408bae018eef16d"/>
    <s v="anonymous"/>
    <x v="1"/>
    <x v="12"/>
    <x v="129"/>
    <x v="0"/>
    <x v="0"/>
    <m/>
    <x v="0"/>
    <x v="0"/>
    <x v="0"/>
    <x v="0"/>
    <x v="0"/>
    <x v="0"/>
    <x v="2"/>
    <x v="1"/>
    <x v="10"/>
    <x v="0"/>
    <x v="7"/>
    <x v="8"/>
    <x v="6"/>
    <x v="8"/>
    <x v="4"/>
    <x v="0"/>
    <x v="0"/>
    <n v="30"/>
    <x v="2"/>
    <x v="3"/>
    <x v="0"/>
  </r>
  <r>
    <s v="62a491b3b4da29969c64a89e"/>
    <s v="anonymous"/>
    <x v="1"/>
    <x v="18"/>
    <x v="27"/>
    <x v="0"/>
    <x v="0"/>
    <m/>
    <x v="0"/>
    <x v="0"/>
    <x v="0"/>
    <x v="0"/>
    <x v="5"/>
    <x v="5"/>
    <x v="4"/>
    <x v="1"/>
    <x v="6"/>
    <x v="11"/>
    <x v="11"/>
    <x v="11"/>
    <x v="11"/>
    <x v="11"/>
    <x v="4"/>
    <x v="2"/>
    <x v="0"/>
    <n v="35"/>
    <x v="3"/>
    <x v="2"/>
    <x v="0"/>
  </r>
  <r>
    <s v="62a4926ef408bae018eef4ee"/>
    <s v="anonymous"/>
    <x v="1"/>
    <x v="20"/>
    <x v="165"/>
    <x v="0"/>
    <x v="0"/>
    <m/>
    <x v="0"/>
    <x v="0"/>
    <x v="0"/>
    <x v="0"/>
    <x v="2"/>
    <x v="2"/>
    <x v="3"/>
    <x v="0"/>
    <x v="2"/>
    <x v="2"/>
    <x v="1"/>
    <x v="0"/>
    <x v="8"/>
    <x v="4"/>
    <x v="1"/>
    <x v="2"/>
    <x v="0"/>
    <n v="28"/>
    <x v="2"/>
    <x v="2"/>
    <x v="3"/>
  </r>
  <r>
    <s v="62a495d724a262602739ee07"/>
    <s v="anonymous"/>
    <x v="1"/>
    <x v="32"/>
    <x v="108"/>
    <x v="0"/>
    <x v="0"/>
    <m/>
    <x v="0"/>
    <x v="0"/>
    <x v="4"/>
    <x v="1"/>
    <x v="2"/>
    <x v="2"/>
    <x v="4"/>
    <x v="0"/>
    <x v="2"/>
    <x v="1"/>
    <x v="3"/>
    <x v="4"/>
    <x v="8"/>
    <x v="1"/>
    <x v="1"/>
    <x v="1"/>
    <x v="1"/>
    <n v="24"/>
    <x v="2"/>
    <x v="2"/>
    <x v="2"/>
  </r>
  <r>
    <s v="62a49b3cb4da29969c64b5dc"/>
    <s v="anonymous"/>
    <x v="1"/>
    <x v="53"/>
    <x v="166"/>
    <x v="0"/>
    <x v="0"/>
    <m/>
    <x v="0"/>
    <x v="0"/>
    <x v="0"/>
    <x v="0"/>
    <x v="1"/>
    <x v="1"/>
    <x v="4"/>
    <x v="0"/>
    <x v="10"/>
    <x v="8"/>
    <x v="0"/>
    <x v="0"/>
    <x v="5"/>
    <x v="5"/>
    <x v="4"/>
    <x v="3"/>
    <x v="1"/>
    <n v="34"/>
    <x v="0"/>
    <x v="2"/>
    <x v="0"/>
  </r>
  <r>
    <s v="62a49e087dc029e2d66dc57e"/>
    <s v="anonymous"/>
    <x v="1"/>
    <x v="295"/>
    <x v="36"/>
    <x v="0"/>
    <x v="0"/>
    <m/>
    <x v="0"/>
    <x v="0"/>
    <x v="0"/>
    <x v="0"/>
    <x v="1"/>
    <x v="1"/>
    <x v="4"/>
    <x v="0"/>
    <x v="6"/>
    <x v="6"/>
    <x v="2"/>
    <x v="0"/>
    <x v="4"/>
    <x v="10"/>
    <x v="4"/>
    <x v="1"/>
    <x v="1"/>
    <n v="31"/>
    <x v="2"/>
    <x v="3"/>
    <x v="0"/>
  </r>
  <r>
    <s v="62a49e47b4da29969c64b9f9"/>
    <s v="anonymous"/>
    <x v="1"/>
    <x v="296"/>
    <x v="15"/>
    <x v="0"/>
    <x v="0"/>
    <m/>
    <x v="0"/>
    <x v="0"/>
    <x v="0"/>
    <x v="0"/>
    <x v="2"/>
    <x v="2"/>
    <x v="4"/>
    <x v="0"/>
    <x v="2"/>
    <x v="7"/>
    <x v="10"/>
    <x v="10"/>
    <x v="3"/>
    <x v="9"/>
    <x v="3"/>
    <x v="1"/>
    <x v="0"/>
    <n v="30"/>
    <x v="3"/>
    <x v="3"/>
    <x v="1"/>
  </r>
  <r>
    <s v="62a49e5f24a262602739f9af"/>
    <s v="anonymous"/>
    <x v="1"/>
    <x v="296"/>
    <x v="58"/>
    <x v="0"/>
    <x v="0"/>
    <m/>
    <x v="0"/>
    <x v="0"/>
    <x v="1"/>
    <x v="0"/>
    <x v="5"/>
    <x v="5"/>
    <x v="2"/>
    <x v="3"/>
    <x v="5"/>
    <x v="4"/>
    <x v="9"/>
    <x v="5"/>
    <x v="1"/>
    <x v="5"/>
    <x v="3"/>
    <x v="2"/>
    <x v="0"/>
    <n v="40"/>
    <x v="3"/>
    <x v="2"/>
    <x v="0"/>
  </r>
  <r>
    <s v="62a49fe7b4da29969c64bbe1"/>
    <s v="anonymous"/>
    <x v="1"/>
    <x v="297"/>
    <x v="75"/>
    <x v="0"/>
    <x v="0"/>
    <m/>
    <x v="0"/>
    <x v="0"/>
    <x v="0"/>
    <x v="1"/>
    <x v="1"/>
    <x v="1"/>
    <x v="2"/>
    <x v="1"/>
    <x v="5"/>
    <x v="8"/>
    <x v="6"/>
    <x v="2"/>
    <x v="6"/>
    <x v="10"/>
    <x v="0"/>
    <x v="2"/>
    <x v="0"/>
    <n v="26"/>
    <x v="0"/>
    <x v="2"/>
    <x v="3"/>
  </r>
  <r>
    <s v="62a4a3d4f8d5efcc22f9a051"/>
    <s v="anonymous"/>
    <x v="1"/>
    <x v="75"/>
    <x v="167"/>
    <x v="0"/>
    <x v="0"/>
    <m/>
    <x v="0"/>
    <x v="0"/>
    <x v="0"/>
    <x v="1"/>
    <x v="4"/>
    <x v="4"/>
    <x v="0"/>
    <x v="1"/>
    <x v="0"/>
    <x v="0"/>
    <x v="4"/>
    <x v="5"/>
    <x v="5"/>
    <x v="0"/>
    <x v="4"/>
    <x v="3"/>
    <x v="0"/>
    <n v="25"/>
    <x v="0"/>
    <x v="2"/>
    <x v="0"/>
  </r>
  <r>
    <s v="62a4a8cb0a77c1a77f67a405"/>
    <s v="anonymous"/>
    <x v="1"/>
    <x v="298"/>
    <x v="128"/>
    <x v="0"/>
    <x v="0"/>
    <m/>
    <x v="0"/>
    <x v="0"/>
    <x v="0"/>
    <x v="0"/>
    <x v="2"/>
    <x v="2"/>
    <x v="2"/>
    <x v="2"/>
    <x v="11"/>
    <x v="6"/>
    <x v="5"/>
    <x v="3"/>
    <x v="6"/>
    <x v="7"/>
    <x v="1"/>
    <x v="3"/>
    <x v="0"/>
    <n v="45"/>
    <x v="2"/>
    <x v="4"/>
    <x v="0"/>
  </r>
  <r>
    <s v="62a4abb30f8c8599d5b0fc24"/>
    <s v="anonymous"/>
    <x v="1"/>
    <x v="91"/>
    <x v="168"/>
    <x v="0"/>
    <x v="0"/>
    <m/>
    <x v="0"/>
    <x v="0"/>
    <x v="0"/>
    <x v="1"/>
    <x v="1"/>
    <x v="1"/>
    <x v="1"/>
    <x v="1"/>
    <x v="7"/>
    <x v="0"/>
    <x v="5"/>
    <x v="5"/>
    <x v="5"/>
    <x v="6"/>
    <x v="4"/>
    <x v="3"/>
    <x v="0"/>
    <n v="26"/>
    <x v="0"/>
    <x v="3"/>
    <x v="2"/>
  </r>
  <r>
    <s v="62a4afd87dc029e2d66ddb24"/>
    <s v="anonymous"/>
    <x v="1"/>
    <x v="299"/>
    <x v="129"/>
    <x v="0"/>
    <x v="0"/>
    <m/>
    <x v="0"/>
    <x v="0"/>
    <x v="3"/>
    <x v="1"/>
    <x v="2"/>
    <x v="2"/>
    <x v="1"/>
    <x v="0"/>
    <x v="7"/>
    <x v="10"/>
    <x v="5"/>
    <x v="5"/>
    <x v="5"/>
    <x v="7"/>
    <x v="4"/>
    <x v="1"/>
    <x v="0"/>
    <n v="26"/>
    <x v="4"/>
    <x v="3"/>
    <x v="4"/>
  </r>
  <r>
    <s v="62a4b085cec54911e9cc3afe"/>
    <s v="anonymous"/>
    <x v="1"/>
    <x v="100"/>
    <x v="169"/>
    <x v="0"/>
    <x v="0"/>
    <m/>
    <x v="0"/>
    <x v="0"/>
    <x v="2"/>
    <x v="0"/>
    <x v="2"/>
    <x v="2"/>
    <x v="1"/>
    <x v="0"/>
    <x v="6"/>
    <x v="1"/>
    <x v="2"/>
    <x v="1"/>
    <x v="8"/>
    <x v="1"/>
    <x v="3"/>
    <x v="2"/>
    <x v="0"/>
    <n v="23"/>
    <x v="4"/>
    <x v="3"/>
    <x v="1"/>
  </r>
  <r>
    <s v="62a4b23f5d257a28a30f6b8c"/>
    <s v="anonymous"/>
    <x v="1"/>
    <x v="104"/>
    <x v="34"/>
    <x v="0"/>
    <x v="0"/>
    <m/>
    <x v="0"/>
    <x v="0"/>
    <x v="1"/>
    <x v="0"/>
    <x v="0"/>
    <x v="0"/>
    <x v="4"/>
    <x v="0"/>
    <x v="5"/>
    <x v="4"/>
    <x v="2"/>
    <x v="3"/>
    <x v="0"/>
    <x v="10"/>
    <x v="4"/>
    <x v="1"/>
    <x v="0"/>
    <n v="25"/>
    <x v="4"/>
    <x v="3"/>
    <x v="1"/>
  </r>
  <r>
    <s v="62a4b29a5d257a28a30f6c63"/>
    <s v="anonymous"/>
    <x v="1"/>
    <x v="300"/>
    <x v="40"/>
    <x v="0"/>
    <x v="0"/>
    <m/>
    <x v="0"/>
    <x v="0"/>
    <x v="0"/>
    <x v="0"/>
    <x v="1"/>
    <x v="1"/>
    <x v="0"/>
    <x v="1"/>
    <x v="5"/>
    <x v="6"/>
    <x v="4"/>
    <x v="5"/>
    <x v="0"/>
    <x v="10"/>
    <x v="4"/>
    <x v="2"/>
    <x v="1"/>
    <n v="33"/>
    <x v="0"/>
    <x v="1"/>
    <x v="0"/>
  </r>
  <r>
    <s v="62a4b2e5f8f75616458712af"/>
    <s v="anonymous"/>
    <x v="1"/>
    <x v="301"/>
    <x v="75"/>
    <x v="0"/>
    <x v="0"/>
    <m/>
    <x v="0"/>
    <x v="0"/>
    <x v="2"/>
    <x v="1"/>
    <x v="2"/>
    <x v="2"/>
    <x v="2"/>
    <x v="2"/>
    <x v="9"/>
    <x v="5"/>
    <x v="3"/>
    <x v="5"/>
    <x v="5"/>
    <x v="7"/>
    <x v="2"/>
    <x v="4"/>
    <x v="0"/>
    <n v="33"/>
    <x v="4"/>
    <x v="2"/>
    <x v="1"/>
  </r>
  <r>
    <s v="62a4b6c30a77c1a77f67b54c"/>
    <s v="anonymous"/>
    <x v="1"/>
    <x v="302"/>
    <x v="90"/>
    <x v="0"/>
    <x v="0"/>
    <m/>
    <x v="0"/>
    <x v="0"/>
    <x v="0"/>
    <x v="0"/>
    <x v="5"/>
    <x v="5"/>
    <x v="0"/>
    <x v="1"/>
    <x v="7"/>
    <x v="2"/>
    <x v="0"/>
    <x v="6"/>
    <x v="4"/>
    <x v="7"/>
    <x v="1"/>
    <x v="3"/>
    <x v="0"/>
    <n v="27"/>
    <x v="0"/>
    <x v="2"/>
    <x v="0"/>
  </r>
  <r>
    <s v="62a4bf07b4da29969c64e4f8"/>
    <s v="anonymous"/>
    <x v="1"/>
    <x v="303"/>
    <x v="44"/>
    <x v="0"/>
    <x v="0"/>
    <m/>
    <x v="0"/>
    <x v="0"/>
    <x v="0"/>
    <x v="0"/>
    <x v="0"/>
    <x v="0"/>
    <x v="4"/>
    <x v="0"/>
    <x v="0"/>
    <x v="0"/>
    <x v="7"/>
    <x v="6"/>
    <x v="6"/>
    <x v="6"/>
    <x v="3"/>
    <x v="0"/>
    <x v="1"/>
    <n v="28"/>
    <x v="0"/>
    <x v="3"/>
    <x v="3"/>
  </r>
  <r>
    <s v="62a4bf3a0a77c1a77f67bef2"/>
    <s v="anonymous"/>
    <x v="1"/>
    <x v="304"/>
    <x v="81"/>
    <x v="0"/>
    <x v="0"/>
    <m/>
    <x v="0"/>
    <x v="0"/>
    <x v="0"/>
    <x v="0"/>
    <x v="6"/>
    <x v="6"/>
    <x v="4"/>
    <x v="0"/>
    <x v="8"/>
    <x v="3"/>
    <x v="0"/>
    <x v="5"/>
    <x v="5"/>
    <x v="0"/>
    <x v="2"/>
    <x v="2"/>
    <x v="0"/>
    <n v="32"/>
    <x v="0"/>
    <x v="2"/>
    <x v="3"/>
  </r>
  <r>
    <s v="62a4c49a575fa3a5ae8aadf4"/>
    <s v="anonymous"/>
    <x v="1"/>
    <x v="305"/>
    <x v="13"/>
    <x v="0"/>
    <x v="0"/>
    <m/>
    <x v="0"/>
    <x v="0"/>
    <x v="0"/>
    <x v="0"/>
    <x v="2"/>
    <x v="2"/>
    <x v="4"/>
    <x v="0"/>
    <x v="4"/>
    <x v="3"/>
    <x v="3"/>
    <x v="5"/>
    <x v="5"/>
    <x v="0"/>
    <x v="4"/>
    <x v="2"/>
    <x v="0"/>
    <n v="35"/>
    <x v="4"/>
    <x v="3"/>
    <x v="1"/>
  </r>
  <r>
    <s v="62a4c57af3072dd8926421ac"/>
    <s v="anonymous"/>
    <x v="1"/>
    <x v="133"/>
    <x v="134"/>
    <x v="0"/>
    <x v="0"/>
    <m/>
    <x v="0"/>
    <x v="0"/>
    <x v="0"/>
    <x v="0"/>
    <x v="5"/>
    <x v="5"/>
    <x v="7"/>
    <x v="0"/>
    <x v="10"/>
    <x v="0"/>
    <x v="6"/>
    <x v="2"/>
    <x v="10"/>
    <x v="2"/>
    <x v="4"/>
    <x v="3"/>
    <x v="0"/>
    <n v="34"/>
    <x v="0"/>
    <x v="3"/>
    <x v="3"/>
  </r>
  <r>
    <s v="62a4c6060a77c1a77f67c772"/>
    <s v="anonymous"/>
    <x v="1"/>
    <x v="306"/>
    <x v="94"/>
    <x v="0"/>
    <x v="0"/>
    <m/>
    <x v="0"/>
    <x v="0"/>
    <x v="0"/>
    <x v="1"/>
    <x v="1"/>
    <x v="1"/>
    <x v="2"/>
    <x v="0"/>
    <x v="0"/>
    <x v="2"/>
    <x v="3"/>
    <x v="0"/>
    <x v="8"/>
    <x v="7"/>
    <x v="1"/>
    <x v="2"/>
    <x v="0"/>
    <n v="27"/>
    <x v="2"/>
    <x v="3"/>
    <x v="0"/>
  </r>
  <r>
    <s v="62a4c7d0f8f7561645872912"/>
    <s v="anonymous"/>
    <x v="1"/>
    <x v="307"/>
    <x v="163"/>
    <x v="0"/>
    <x v="0"/>
    <m/>
    <x v="0"/>
    <x v="0"/>
    <x v="2"/>
    <x v="0"/>
    <x v="6"/>
    <x v="6"/>
    <x v="5"/>
    <x v="1"/>
    <x v="5"/>
    <x v="6"/>
    <x v="1"/>
    <x v="4"/>
    <x v="4"/>
    <x v="7"/>
    <x v="1"/>
    <x v="3"/>
    <x v="1"/>
    <n v="30"/>
    <x v="0"/>
    <x v="3"/>
    <x v="0"/>
  </r>
  <r>
    <s v="62a4cdfad8c00e9f541bdc6b"/>
    <s v="anonymous"/>
    <x v="1"/>
    <x v="143"/>
    <x v="165"/>
    <x v="0"/>
    <x v="0"/>
    <m/>
    <x v="0"/>
    <x v="0"/>
    <x v="0"/>
    <x v="1"/>
    <x v="6"/>
    <x v="6"/>
    <x v="2"/>
    <x v="0"/>
    <x v="10"/>
    <x v="0"/>
    <x v="7"/>
    <x v="7"/>
    <x v="10"/>
    <x v="2"/>
    <x v="4"/>
    <x v="2"/>
    <x v="0"/>
    <n v="34"/>
    <x v="0"/>
    <x v="3"/>
    <x v="0"/>
  </r>
  <r>
    <s v="62a4ce2bbae91e4b8b84f3db"/>
    <s v="anonymous"/>
    <x v="1"/>
    <x v="308"/>
    <x v="155"/>
    <x v="0"/>
    <x v="0"/>
    <m/>
    <x v="0"/>
    <x v="0"/>
    <x v="2"/>
    <x v="1"/>
    <x v="1"/>
    <x v="1"/>
    <x v="2"/>
    <x v="0"/>
    <x v="6"/>
    <x v="8"/>
    <x v="4"/>
    <x v="0"/>
    <x v="2"/>
    <x v="8"/>
    <x v="4"/>
    <x v="0"/>
    <x v="1"/>
    <n v="22"/>
    <x v="0"/>
    <x v="2"/>
    <x v="0"/>
  </r>
  <r>
    <s v="62a4cffeb4da29969c64f6a1"/>
    <s v="anonymous"/>
    <x v="1"/>
    <x v="309"/>
    <x v="139"/>
    <x v="0"/>
    <x v="0"/>
    <m/>
    <x v="0"/>
    <x v="0"/>
    <x v="0"/>
    <x v="0"/>
    <x v="2"/>
    <x v="2"/>
    <x v="1"/>
    <x v="0"/>
    <x v="4"/>
    <x v="1"/>
    <x v="1"/>
    <x v="0"/>
    <x v="8"/>
    <x v="1"/>
    <x v="0"/>
    <x v="1"/>
    <x v="1"/>
    <n v="33"/>
    <x v="4"/>
    <x v="3"/>
    <x v="1"/>
  </r>
  <r>
    <s v="62a4d08bf3072dd892642d2c"/>
    <s v="anonymous"/>
    <x v="1"/>
    <x v="310"/>
    <x v="164"/>
    <x v="0"/>
    <x v="0"/>
    <m/>
    <x v="0"/>
    <x v="0"/>
    <x v="0"/>
    <x v="1"/>
    <x v="2"/>
    <x v="2"/>
    <x v="1"/>
    <x v="0"/>
    <x v="10"/>
    <x v="0"/>
    <x v="7"/>
    <x v="7"/>
    <x v="10"/>
    <x v="6"/>
    <x v="4"/>
    <x v="2"/>
    <x v="1"/>
    <n v="26"/>
    <x v="4"/>
    <x v="3"/>
    <x v="1"/>
  </r>
  <r>
    <s v="62a4d13bbae91e4b8b84f89b"/>
    <s v="anonymous"/>
    <x v="1"/>
    <x v="311"/>
    <x v="67"/>
    <x v="0"/>
    <x v="0"/>
    <m/>
    <x v="0"/>
    <x v="0"/>
    <x v="1"/>
    <x v="0"/>
    <x v="2"/>
    <x v="2"/>
    <x v="4"/>
    <x v="0"/>
    <x v="2"/>
    <x v="6"/>
    <x v="5"/>
    <x v="5"/>
    <x v="0"/>
    <x v="0"/>
    <x v="4"/>
    <x v="2"/>
    <x v="0"/>
    <n v="28"/>
    <x v="2"/>
    <x v="2"/>
    <x v="3"/>
  </r>
  <r>
    <s v="62a4d74c5d257a28a30f97fc"/>
    <s v="anonymous"/>
    <x v="1"/>
    <x v="154"/>
    <x v="170"/>
    <x v="0"/>
    <x v="0"/>
    <m/>
    <x v="0"/>
    <x v="0"/>
    <x v="2"/>
    <x v="1"/>
    <x v="2"/>
    <x v="2"/>
    <x v="2"/>
    <x v="0"/>
    <x v="4"/>
    <x v="1"/>
    <x v="0"/>
    <x v="3"/>
    <x v="6"/>
    <x v="3"/>
    <x v="3"/>
    <x v="0"/>
    <x v="0"/>
    <n v="42"/>
    <x v="3"/>
    <x v="2"/>
    <x v="4"/>
  </r>
  <r>
    <s v="62a4d7f6bae91e4b8b84ffed"/>
    <s v="anonymous"/>
    <x v="1"/>
    <x v="312"/>
    <x v="165"/>
    <x v="0"/>
    <x v="0"/>
    <m/>
    <x v="0"/>
    <x v="0"/>
    <x v="0"/>
    <x v="1"/>
    <x v="2"/>
    <x v="2"/>
    <x v="2"/>
    <x v="1"/>
    <x v="5"/>
    <x v="8"/>
    <x v="8"/>
    <x v="4"/>
    <x v="8"/>
    <x v="1"/>
    <x v="4"/>
    <x v="2"/>
    <x v="0"/>
    <n v="30"/>
    <x v="2"/>
    <x v="3"/>
    <x v="4"/>
  </r>
  <r>
    <s v="62a4d9d4bae91e4b8b8501f1"/>
    <s v="anonymous"/>
    <x v="1"/>
    <x v="313"/>
    <x v="69"/>
    <x v="0"/>
    <x v="0"/>
    <m/>
    <x v="0"/>
    <x v="0"/>
    <x v="3"/>
    <x v="0"/>
    <x v="0"/>
    <x v="0"/>
    <x v="4"/>
    <x v="2"/>
    <x v="3"/>
    <x v="0"/>
    <x v="5"/>
    <x v="6"/>
    <x v="10"/>
    <x v="2"/>
    <x v="3"/>
    <x v="2"/>
    <x v="0"/>
    <n v="25"/>
    <x v="0"/>
    <x v="4"/>
    <x v="0"/>
  </r>
  <r>
    <s v="62a4dd63f408bae018ef4e51"/>
    <s v="anonymous"/>
    <x v="1"/>
    <x v="314"/>
    <x v="167"/>
    <x v="0"/>
    <x v="0"/>
    <m/>
    <x v="0"/>
    <x v="0"/>
    <x v="0"/>
    <x v="0"/>
    <x v="1"/>
    <x v="1"/>
    <x v="6"/>
    <x v="0"/>
    <x v="5"/>
    <x v="3"/>
    <x v="4"/>
    <x v="5"/>
    <x v="0"/>
    <x v="0"/>
    <x v="1"/>
    <x v="2"/>
    <x v="0"/>
    <n v="32"/>
    <x v="0"/>
    <x v="2"/>
    <x v="2"/>
  </r>
  <r>
    <s v="62a4e34d7dc029e2d66e10b9"/>
    <s v="anonymous"/>
    <x v="1"/>
    <x v="170"/>
    <x v="78"/>
    <x v="0"/>
    <x v="0"/>
    <m/>
    <x v="0"/>
    <x v="0"/>
    <x v="0"/>
    <x v="1"/>
    <x v="2"/>
    <x v="2"/>
    <x v="4"/>
    <x v="0"/>
    <x v="6"/>
    <x v="4"/>
    <x v="1"/>
    <x v="0"/>
    <x v="5"/>
    <x v="10"/>
    <x v="4"/>
    <x v="2"/>
    <x v="0"/>
    <n v="31"/>
    <x v="2"/>
    <x v="3"/>
    <x v="1"/>
  </r>
  <r>
    <s v="62a4e4c90f8c8599d5b13d8f"/>
    <s v="anonymous"/>
    <x v="1"/>
    <x v="315"/>
    <x v="171"/>
    <x v="0"/>
    <x v="0"/>
    <m/>
    <x v="0"/>
    <x v="0"/>
    <x v="0"/>
    <x v="0"/>
    <x v="3"/>
    <x v="3"/>
    <x v="5"/>
    <x v="0"/>
    <x v="10"/>
    <x v="10"/>
    <x v="1"/>
    <x v="3"/>
    <x v="2"/>
    <x v="0"/>
    <x v="1"/>
    <x v="0"/>
    <x v="0"/>
    <n v="30"/>
    <x v="2"/>
    <x v="1"/>
    <x v="0"/>
  </r>
  <r>
    <s v="62a4e5aed8c00e9f541bf48c"/>
    <s v="anonymous"/>
    <x v="1"/>
    <x v="316"/>
    <x v="147"/>
    <x v="0"/>
    <x v="0"/>
    <m/>
    <x v="0"/>
    <x v="0"/>
    <x v="4"/>
    <x v="0"/>
    <x v="2"/>
    <x v="2"/>
    <x v="2"/>
    <x v="0"/>
    <x v="2"/>
    <x v="3"/>
    <x v="4"/>
    <x v="1"/>
    <x v="3"/>
    <x v="1"/>
    <x v="4"/>
    <x v="2"/>
    <x v="0"/>
    <n v="23"/>
    <x v="1"/>
    <x v="2"/>
    <x v="1"/>
  </r>
  <r>
    <s v="62a4f6eef3072dd892645775"/>
    <s v="anonymous"/>
    <x v="1"/>
    <x v="317"/>
    <x v="62"/>
    <x v="0"/>
    <x v="0"/>
    <m/>
    <x v="0"/>
    <x v="0"/>
    <x v="2"/>
    <x v="1"/>
    <x v="6"/>
    <x v="6"/>
    <x v="5"/>
    <x v="1"/>
    <x v="7"/>
    <x v="10"/>
    <x v="4"/>
    <x v="8"/>
    <x v="5"/>
    <x v="10"/>
    <x v="1"/>
    <x v="0"/>
    <x v="1"/>
    <n v="31"/>
    <x v="3"/>
    <x v="2"/>
    <x v="0"/>
  </r>
  <r>
    <s v="62a4fe370f8c8599d5b158c4"/>
    <s v="anonymous"/>
    <x v="1"/>
    <x v="318"/>
    <x v="110"/>
    <x v="0"/>
    <x v="0"/>
    <m/>
    <x v="0"/>
    <x v="0"/>
    <x v="0"/>
    <x v="1"/>
    <x v="1"/>
    <x v="1"/>
    <x v="2"/>
    <x v="0"/>
    <x v="7"/>
    <x v="6"/>
    <x v="7"/>
    <x v="7"/>
    <x v="7"/>
    <x v="6"/>
    <x v="4"/>
    <x v="1"/>
    <x v="1"/>
    <n v="29"/>
    <x v="2"/>
    <x v="3"/>
    <x v="2"/>
  </r>
  <r>
    <s v="62a5008c5d257a28a30fbde5"/>
    <s v="anonymous"/>
    <x v="1"/>
    <x v="201"/>
    <x v="35"/>
    <x v="0"/>
    <x v="0"/>
    <m/>
    <x v="0"/>
    <x v="0"/>
    <x v="0"/>
    <x v="0"/>
    <x v="2"/>
    <x v="2"/>
    <x v="4"/>
    <x v="0"/>
    <x v="8"/>
    <x v="4"/>
    <x v="2"/>
    <x v="0"/>
    <x v="2"/>
    <x v="2"/>
    <x v="4"/>
    <x v="0"/>
    <x v="0"/>
    <n v="24"/>
    <x v="2"/>
    <x v="2"/>
    <x v="4"/>
  </r>
  <r>
    <s v="62a5038acec54911e9cc9526"/>
    <s v="anonymous"/>
    <x v="1"/>
    <x v="319"/>
    <x v="35"/>
    <x v="0"/>
    <x v="0"/>
    <m/>
    <x v="0"/>
    <x v="0"/>
    <x v="2"/>
    <x v="1"/>
    <x v="1"/>
    <x v="1"/>
    <x v="2"/>
    <x v="0"/>
    <x v="4"/>
    <x v="10"/>
    <x v="4"/>
    <x v="0"/>
    <x v="5"/>
    <x v="7"/>
    <x v="4"/>
    <x v="2"/>
    <x v="0"/>
    <n v="36"/>
    <x v="0"/>
    <x v="3"/>
    <x v="1"/>
  </r>
  <r>
    <s v="62a50775f8f756164587677b"/>
    <s v="anonymous"/>
    <x v="1"/>
    <x v="320"/>
    <x v="72"/>
    <x v="0"/>
    <x v="0"/>
    <m/>
    <x v="0"/>
    <x v="0"/>
    <x v="0"/>
    <x v="0"/>
    <x v="1"/>
    <x v="1"/>
    <x v="7"/>
    <x v="1"/>
    <x v="5"/>
    <x v="3"/>
    <x v="4"/>
    <x v="5"/>
    <x v="5"/>
    <x v="10"/>
    <x v="3"/>
    <x v="0"/>
    <x v="1"/>
    <n v="32"/>
    <x v="0"/>
    <x v="3"/>
    <x v="0"/>
  </r>
  <r>
    <s v="62a50eddf8d5efcc22fa1a4e"/>
    <s v="anonymous"/>
    <x v="1"/>
    <x v="321"/>
    <x v="41"/>
    <x v="0"/>
    <x v="0"/>
    <m/>
    <x v="0"/>
    <x v="0"/>
    <x v="2"/>
    <x v="0"/>
    <x v="5"/>
    <x v="5"/>
    <x v="0"/>
    <x v="0"/>
    <x v="10"/>
    <x v="0"/>
    <x v="0"/>
    <x v="8"/>
    <x v="2"/>
    <x v="6"/>
    <x v="3"/>
    <x v="0"/>
    <x v="1"/>
    <n v="36"/>
    <x v="0"/>
    <x v="2"/>
    <x v="0"/>
  </r>
  <r>
    <s v="62a511acbc6861bf3179178a"/>
    <s v="anonymous"/>
    <x v="1"/>
    <x v="211"/>
    <x v="164"/>
    <x v="0"/>
    <x v="0"/>
    <m/>
    <x v="0"/>
    <x v="0"/>
    <x v="1"/>
    <x v="1"/>
    <x v="0"/>
    <x v="0"/>
    <x v="0"/>
    <x v="2"/>
    <x v="10"/>
    <x v="3"/>
    <x v="1"/>
    <x v="1"/>
    <x v="4"/>
    <x v="4"/>
    <x v="1"/>
    <x v="2"/>
    <x v="0"/>
    <n v="30"/>
    <x v="0"/>
    <x v="2"/>
    <x v="0"/>
  </r>
  <r>
    <s v="62a5177d18134ddc75d0e9d8"/>
    <s v="anonymous"/>
    <x v="1"/>
    <x v="215"/>
    <x v="172"/>
    <x v="0"/>
    <x v="0"/>
    <m/>
    <x v="0"/>
    <x v="0"/>
    <x v="4"/>
    <x v="0"/>
    <x v="2"/>
    <x v="2"/>
    <x v="2"/>
    <x v="1"/>
    <x v="2"/>
    <x v="1"/>
    <x v="8"/>
    <x v="4"/>
    <x v="4"/>
    <x v="7"/>
    <x v="4"/>
    <x v="1"/>
    <x v="0"/>
    <n v="42"/>
    <x v="2"/>
    <x v="3"/>
    <x v="2"/>
  </r>
  <r>
    <s v="62a51aaacec54911e9cca93b"/>
    <s v="anonymous"/>
    <x v="1"/>
    <x v="322"/>
    <x v="173"/>
    <x v="0"/>
    <x v="0"/>
    <m/>
    <x v="0"/>
    <x v="0"/>
    <x v="0"/>
    <x v="0"/>
    <x v="5"/>
    <x v="5"/>
    <x v="0"/>
    <x v="2"/>
    <x v="9"/>
    <x v="3"/>
    <x v="4"/>
    <x v="0"/>
    <x v="7"/>
    <x v="7"/>
    <x v="1"/>
    <x v="0"/>
    <x v="0"/>
    <n v="53"/>
    <x v="2"/>
    <x v="5"/>
    <x v="0"/>
  </r>
  <r>
    <s v="62a51dc6575fa3a5ae8b09f3"/>
    <s v="anonymous"/>
    <x v="1"/>
    <x v="323"/>
    <x v="174"/>
    <x v="0"/>
    <x v="0"/>
    <m/>
    <x v="0"/>
    <x v="0"/>
    <x v="0"/>
    <x v="1"/>
    <x v="2"/>
    <x v="2"/>
    <x v="1"/>
    <x v="0"/>
    <x v="1"/>
    <x v="10"/>
    <x v="2"/>
    <x v="2"/>
    <x v="9"/>
    <x v="2"/>
    <x v="4"/>
    <x v="2"/>
    <x v="0"/>
    <n v="25"/>
    <x v="2"/>
    <x v="1"/>
    <x v="4"/>
  </r>
  <r>
    <s v="62a51fe0575fa3a5ae8b0c06"/>
    <s v="anonymous"/>
    <x v="1"/>
    <x v="324"/>
    <x v="23"/>
    <x v="0"/>
    <x v="0"/>
    <m/>
    <x v="0"/>
    <x v="0"/>
    <x v="0"/>
    <x v="1"/>
    <x v="2"/>
    <x v="2"/>
    <x v="0"/>
    <x v="0"/>
    <x v="1"/>
    <x v="6"/>
    <x v="2"/>
    <x v="5"/>
    <x v="0"/>
    <x v="10"/>
    <x v="4"/>
    <x v="2"/>
    <x v="0"/>
    <n v="23"/>
    <x v="2"/>
    <x v="2"/>
    <x v="0"/>
  </r>
  <r>
    <s v="62a525aff8f75616458784dd"/>
    <s v="anonymous"/>
    <x v="1"/>
    <x v="325"/>
    <x v="175"/>
    <x v="0"/>
    <x v="0"/>
    <m/>
    <x v="0"/>
    <x v="0"/>
    <x v="0"/>
    <x v="0"/>
    <x v="2"/>
    <x v="2"/>
    <x v="8"/>
    <x v="0"/>
    <x v="4"/>
    <x v="9"/>
    <x v="3"/>
    <x v="4"/>
    <x v="4"/>
    <x v="7"/>
    <x v="3"/>
    <x v="2"/>
    <x v="0"/>
    <n v="36"/>
    <x v="2"/>
    <x v="2"/>
    <x v="4"/>
  </r>
  <r>
    <s v="62a52629b4da29969c654a94"/>
    <s v="anonymous"/>
    <x v="1"/>
    <x v="326"/>
    <x v="176"/>
    <x v="0"/>
    <x v="0"/>
    <m/>
    <x v="0"/>
    <x v="0"/>
    <x v="0"/>
    <x v="0"/>
    <x v="1"/>
    <x v="1"/>
    <x v="0"/>
    <x v="2"/>
    <x v="11"/>
    <x v="11"/>
    <x v="11"/>
    <x v="11"/>
    <x v="11"/>
    <x v="10"/>
    <x v="1"/>
    <x v="1"/>
    <x v="0"/>
    <n v="32"/>
    <x v="2"/>
    <x v="2"/>
    <x v="4"/>
  </r>
  <r>
    <s v="62a52725d8c00e9f541c3b4a"/>
    <s v="anonymous"/>
    <x v="1"/>
    <x v="327"/>
    <x v="19"/>
    <x v="0"/>
    <x v="0"/>
    <m/>
    <x v="0"/>
    <x v="0"/>
    <x v="0"/>
    <x v="1"/>
    <x v="5"/>
    <x v="5"/>
    <x v="1"/>
    <x v="0"/>
    <x v="6"/>
    <x v="3"/>
    <x v="2"/>
    <x v="1"/>
    <x v="8"/>
    <x v="1"/>
    <x v="3"/>
    <x v="4"/>
    <x v="0"/>
    <n v="25"/>
    <x v="0"/>
    <x v="3"/>
    <x v="3"/>
  </r>
  <r>
    <s v="62a5390cb4da29969c655ccc"/>
    <s v="anonymous"/>
    <x v="1"/>
    <x v="328"/>
    <x v="144"/>
    <x v="0"/>
    <x v="0"/>
    <m/>
    <x v="0"/>
    <x v="0"/>
    <x v="1"/>
    <x v="0"/>
    <x v="1"/>
    <x v="1"/>
    <x v="4"/>
    <x v="0"/>
    <x v="5"/>
    <x v="4"/>
    <x v="3"/>
    <x v="3"/>
    <x v="7"/>
    <x v="5"/>
    <x v="4"/>
    <x v="0"/>
    <x v="1"/>
    <n v="35"/>
    <x v="3"/>
    <x v="3"/>
    <x v="1"/>
  </r>
  <r>
    <s v="62a53bc0bc6861bf31793947"/>
    <s v="anonymous"/>
    <x v="1"/>
    <x v="329"/>
    <x v="64"/>
    <x v="0"/>
    <x v="0"/>
    <m/>
    <x v="0"/>
    <x v="0"/>
    <x v="0"/>
    <x v="0"/>
    <x v="6"/>
    <x v="6"/>
    <x v="2"/>
    <x v="1"/>
    <x v="6"/>
    <x v="4"/>
    <x v="2"/>
    <x v="0"/>
    <x v="7"/>
    <x v="7"/>
    <x v="2"/>
    <x v="2"/>
    <x v="0"/>
    <n v="26"/>
    <x v="0"/>
    <x v="2"/>
    <x v="0"/>
  </r>
  <r>
    <s v="62a53c84f3072dd8926495c9"/>
    <s v="anonymous"/>
    <x v="1"/>
    <x v="330"/>
    <x v="104"/>
    <x v="0"/>
    <x v="0"/>
    <m/>
    <x v="0"/>
    <x v="0"/>
    <x v="4"/>
    <x v="1"/>
    <x v="2"/>
    <x v="2"/>
    <x v="4"/>
    <x v="0"/>
    <x v="4"/>
    <x v="10"/>
    <x v="7"/>
    <x v="8"/>
    <x v="4"/>
    <x v="1"/>
    <x v="3"/>
    <x v="0"/>
    <x v="0"/>
    <n v="22"/>
    <x v="0"/>
    <x v="2"/>
    <x v="0"/>
  </r>
  <r>
    <s v="62a54bccf3072dd89264a13b"/>
    <s v="anonymous"/>
    <x v="1"/>
    <x v="331"/>
    <x v="129"/>
    <x v="0"/>
    <x v="0"/>
    <m/>
    <x v="0"/>
    <x v="0"/>
    <x v="3"/>
    <x v="0"/>
    <x v="5"/>
    <x v="5"/>
    <x v="2"/>
    <x v="0"/>
    <x v="9"/>
    <x v="2"/>
    <x v="6"/>
    <x v="7"/>
    <x v="5"/>
    <x v="8"/>
    <x v="4"/>
    <x v="2"/>
    <x v="0"/>
    <n v="30"/>
    <x v="1"/>
    <x v="3"/>
    <x v="1"/>
  </r>
  <r>
    <s v="62a54f20d8c00e9f541c5cfa"/>
    <s v="anonymous"/>
    <x v="1"/>
    <x v="332"/>
    <x v="177"/>
    <x v="0"/>
    <x v="0"/>
    <m/>
    <x v="0"/>
    <x v="0"/>
    <x v="0"/>
    <x v="0"/>
    <x v="6"/>
    <x v="6"/>
    <x v="2"/>
    <x v="0"/>
    <x v="4"/>
    <x v="2"/>
    <x v="4"/>
    <x v="9"/>
    <x v="6"/>
    <x v="2"/>
    <x v="4"/>
    <x v="2"/>
    <x v="0"/>
    <n v="36"/>
    <x v="0"/>
    <x v="3"/>
    <x v="0"/>
  </r>
  <r>
    <s v="62a552e1cf2555431732922d"/>
    <s v="anonymous"/>
    <x v="1"/>
    <x v="333"/>
    <x v="178"/>
    <x v="0"/>
    <x v="0"/>
    <m/>
    <x v="0"/>
    <x v="0"/>
    <x v="0"/>
    <x v="0"/>
    <x v="6"/>
    <x v="6"/>
    <x v="0"/>
    <x v="1"/>
    <x v="5"/>
    <x v="4"/>
    <x v="1"/>
    <x v="0"/>
    <x v="7"/>
    <x v="10"/>
    <x v="4"/>
    <x v="4"/>
    <x v="1"/>
    <n v="30"/>
    <x v="0"/>
    <x v="3"/>
    <x v="0"/>
  </r>
  <r>
    <s v="62a557d10f8c8599d5b1a81c"/>
    <s v="anonymous"/>
    <x v="1"/>
    <x v="334"/>
    <x v="20"/>
    <x v="0"/>
    <x v="0"/>
    <m/>
    <x v="0"/>
    <x v="0"/>
    <x v="3"/>
    <x v="0"/>
    <x v="0"/>
    <x v="0"/>
    <x v="1"/>
    <x v="0"/>
    <x v="0"/>
    <x v="2"/>
    <x v="6"/>
    <x v="2"/>
    <x v="9"/>
    <x v="2"/>
    <x v="3"/>
    <x v="0"/>
    <x v="0"/>
    <n v="29"/>
    <x v="0"/>
    <x v="2"/>
    <x v="1"/>
  </r>
  <r>
    <s v="62a55b05f8d5efcc22fa5b65"/>
    <s v="anonymous"/>
    <x v="1"/>
    <x v="245"/>
    <x v="179"/>
    <x v="0"/>
    <x v="0"/>
    <m/>
    <x v="0"/>
    <x v="0"/>
    <x v="2"/>
    <x v="0"/>
    <x v="6"/>
    <x v="6"/>
    <x v="2"/>
    <x v="1"/>
    <x v="10"/>
    <x v="8"/>
    <x v="6"/>
    <x v="8"/>
    <x v="6"/>
    <x v="5"/>
    <x v="3"/>
    <x v="4"/>
    <x v="0"/>
    <n v="30"/>
    <x v="0"/>
    <x v="3"/>
    <x v="0"/>
  </r>
  <r>
    <s v="62a55fe1f8d5efcc22fa5fe4"/>
    <s v="anonymous"/>
    <x v="1"/>
    <x v="335"/>
    <x v="54"/>
    <x v="0"/>
    <x v="0"/>
    <m/>
    <x v="0"/>
    <x v="0"/>
    <x v="1"/>
    <x v="1"/>
    <x v="1"/>
    <x v="1"/>
    <x v="1"/>
    <x v="0"/>
    <x v="2"/>
    <x v="3"/>
    <x v="4"/>
    <x v="5"/>
    <x v="5"/>
    <x v="10"/>
    <x v="2"/>
    <x v="2"/>
    <x v="0"/>
    <n v="24"/>
    <x v="0"/>
    <x v="2"/>
    <x v="2"/>
  </r>
  <r>
    <s v="62a56bc67dc029e2d66e86c0"/>
    <s v="anonymous"/>
    <x v="2"/>
    <x v="336"/>
    <x v="29"/>
    <x v="0"/>
    <x v="0"/>
    <m/>
    <x v="0"/>
    <x v="0"/>
    <x v="1"/>
    <x v="0"/>
    <x v="7"/>
    <x v="7"/>
    <x v="4"/>
    <x v="2"/>
    <x v="6"/>
    <x v="5"/>
    <x v="2"/>
    <x v="3"/>
    <x v="4"/>
    <x v="5"/>
    <x v="4"/>
    <x v="2"/>
    <x v="0"/>
    <n v="33"/>
    <x v="0"/>
    <x v="2"/>
    <x v="1"/>
  </r>
  <r>
    <s v="62a57116f408bae018efd56a"/>
    <s v="anonymous"/>
    <x v="2"/>
    <x v="337"/>
    <x v="29"/>
    <x v="0"/>
    <x v="0"/>
    <m/>
    <x v="0"/>
    <x v="0"/>
    <x v="0"/>
    <x v="1"/>
    <x v="0"/>
    <x v="0"/>
    <x v="2"/>
    <x v="0"/>
    <x v="3"/>
    <x v="8"/>
    <x v="6"/>
    <x v="2"/>
    <x v="9"/>
    <x v="10"/>
    <x v="1"/>
    <x v="2"/>
    <x v="1"/>
    <n v="42"/>
    <x v="0"/>
    <x v="2"/>
    <x v="0"/>
  </r>
  <r>
    <s v="62a57263cec54911e9ccf648"/>
    <s v="anonymous"/>
    <x v="2"/>
    <x v="338"/>
    <x v="120"/>
    <x v="0"/>
    <x v="0"/>
    <m/>
    <x v="0"/>
    <x v="0"/>
    <x v="0"/>
    <x v="0"/>
    <x v="1"/>
    <x v="1"/>
    <x v="0"/>
    <x v="0"/>
    <x v="1"/>
    <x v="8"/>
    <x v="6"/>
    <x v="6"/>
    <x v="9"/>
    <x v="1"/>
    <x v="4"/>
    <x v="2"/>
    <x v="1"/>
    <n v="36"/>
    <x v="0"/>
    <x v="2"/>
    <x v="0"/>
  </r>
  <r>
    <s v="62a574b3b4da29969c658eb4"/>
    <s v="anonymous"/>
    <x v="2"/>
    <x v="339"/>
    <x v="129"/>
    <x v="0"/>
    <x v="0"/>
    <m/>
    <x v="0"/>
    <x v="0"/>
    <x v="0"/>
    <x v="0"/>
    <x v="1"/>
    <x v="1"/>
    <x v="2"/>
    <x v="0"/>
    <x v="4"/>
    <x v="5"/>
    <x v="0"/>
    <x v="5"/>
    <x v="0"/>
    <x v="10"/>
    <x v="4"/>
    <x v="2"/>
    <x v="0"/>
    <n v="27"/>
    <x v="0"/>
    <x v="2"/>
    <x v="0"/>
  </r>
  <r>
    <s v="62a58b267dc029e2d66ea3f8"/>
    <s v="anonymous"/>
    <x v="2"/>
    <x v="340"/>
    <x v="20"/>
    <x v="0"/>
    <x v="0"/>
    <m/>
    <x v="0"/>
    <x v="0"/>
    <x v="0"/>
    <x v="1"/>
    <x v="2"/>
    <x v="2"/>
    <x v="4"/>
    <x v="0"/>
    <x v="10"/>
    <x v="10"/>
    <x v="5"/>
    <x v="8"/>
    <x v="2"/>
    <x v="6"/>
    <x v="1"/>
    <x v="4"/>
    <x v="1"/>
    <n v="21"/>
    <x v="4"/>
    <x v="2"/>
    <x v="1"/>
  </r>
  <r>
    <s v="62a58d20575fa3a5ae8b6969"/>
    <s v="anonymous"/>
    <x v="2"/>
    <x v="341"/>
    <x v="105"/>
    <x v="0"/>
    <x v="0"/>
    <m/>
    <x v="0"/>
    <x v="0"/>
    <x v="0"/>
    <x v="0"/>
    <x v="1"/>
    <x v="1"/>
    <x v="0"/>
    <x v="0"/>
    <x v="10"/>
    <x v="6"/>
    <x v="5"/>
    <x v="6"/>
    <x v="0"/>
    <x v="2"/>
    <x v="3"/>
    <x v="0"/>
    <x v="1"/>
    <n v="34"/>
    <x v="2"/>
    <x v="3"/>
    <x v="0"/>
  </r>
  <r>
    <s v="62a58faf2e54c9003e55ef2e"/>
    <s v="anonymous"/>
    <x v="2"/>
    <x v="342"/>
    <x v="25"/>
    <x v="0"/>
    <x v="0"/>
    <m/>
    <x v="0"/>
    <x v="0"/>
    <x v="4"/>
    <x v="1"/>
    <x v="2"/>
    <x v="2"/>
    <x v="5"/>
    <x v="0"/>
    <x v="4"/>
    <x v="6"/>
    <x v="1"/>
    <x v="0"/>
    <x v="8"/>
    <x v="7"/>
    <x v="3"/>
    <x v="2"/>
    <x v="0"/>
    <n v="27"/>
    <x v="2"/>
    <x v="2"/>
    <x v="0"/>
  </r>
  <r>
    <s v="62a5998fbc6861bf31798ef0"/>
    <s v="anonymous"/>
    <x v="2"/>
    <x v="343"/>
    <x v="48"/>
    <x v="0"/>
    <x v="0"/>
    <m/>
    <x v="0"/>
    <x v="0"/>
    <x v="2"/>
    <x v="0"/>
    <x v="2"/>
    <x v="2"/>
    <x v="4"/>
    <x v="0"/>
    <x v="7"/>
    <x v="2"/>
    <x v="5"/>
    <x v="6"/>
    <x v="6"/>
    <x v="0"/>
    <x v="4"/>
    <x v="3"/>
    <x v="0"/>
    <n v="27"/>
    <x v="2"/>
    <x v="3"/>
    <x v="0"/>
  </r>
  <r>
    <s v="62a59cd2cec54911e9cd251a"/>
    <s v="anonymous"/>
    <x v="2"/>
    <x v="344"/>
    <x v="121"/>
    <x v="0"/>
    <x v="0"/>
    <m/>
    <x v="0"/>
    <x v="0"/>
    <x v="4"/>
    <x v="1"/>
    <x v="2"/>
    <x v="2"/>
    <x v="5"/>
    <x v="1"/>
    <x v="1"/>
    <x v="9"/>
    <x v="8"/>
    <x v="9"/>
    <x v="3"/>
    <x v="1"/>
    <x v="4"/>
    <x v="1"/>
    <x v="0"/>
    <n v="30"/>
    <x v="2"/>
    <x v="4"/>
    <x v="4"/>
  </r>
  <r>
    <s v="62a59d007dc029e2d66eb8f9"/>
    <s v="anonymous"/>
    <x v="2"/>
    <x v="345"/>
    <x v="9"/>
    <x v="0"/>
    <x v="0"/>
    <m/>
    <x v="0"/>
    <x v="0"/>
    <x v="0"/>
    <x v="0"/>
    <x v="6"/>
    <x v="6"/>
    <x v="2"/>
    <x v="2"/>
    <x v="4"/>
    <x v="7"/>
    <x v="10"/>
    <x v="10"/>
    <x v="3"/>
    <x v="4"/>
    <x v="3"/>
    <x v="2"/>
    <x v="1"/>
    <n v="33"/>
    <x v="0"/>
    <x v="2"/>
    <x v="0"/>
  </r>
  <r>
    <s v="62a5a124cec54911e9cd29f5"/>
    <s v="anonymous"/>
    <x v="2"/>
    <x v="346"/>
    <x v="43"/>
    <x v="0"/>
    <x v="0"/>
    <m/>
    <x v="0"/>
    <x v="0"/>
    <x v="0"/>
    <x v="0"/>
    <x v="5"/>
    <x v="5"/>
    <x v="1"/>
    <x v="0"/>
    <x v="6"/>
    <x v="5"/>
    <x v="2"/>
    <x v="3"/>
    <x v="7"/>
    <x v="7"/>
    <x v="3"/>
    <x v="3"/>
    <x v="0"/>
    <n v="47"/>
    <x v="4"/>
    <x v="3"/>
    <x v="6"/>
  </r>
  <r>
    <s v="62a5a44b24a26260273af0fc"/>
    <s v="anonymous"/>
    <x v="2"/>
    <x v="347"/>
    <x v="26"/>
    <x v="0"/>
    <x v="0"/>
    <m/>
    <x v="0"/>
    <x v="0"/>
    <x v="0"/>
    <x v="0"/>
    <x v="6"/>
    <x v="6"/>
    <x v="2"/>
    <x v="2"/>
    <x v="5"/>
    <x v="6"/>
    <x v="2"/>
    <x v="0"/>
    <x v="7"/>
    <x v="7"/>
    <x v="3"/>
    <x v="4"/>
    <x v="0"/>
    <n v="27"/>
    <x v="0"/>
    <x v="3"/>
    <x v="1"/>
  </r>
  <r>
    <s v="62a5a931cec54911e9cd3333"/>
    <s v="anonymous"/>
    <x v="2"/>
    <x v="348"/>
    <x v="144"/>
    <x v="0"/>
    <x v="0"/>
    <m/>
    <x v="0"/>
    <x v="0"/>
    <x v="0"/>
    <x v="1"/>
    <x v="2"/>
    <x v="2"/>
    <x v="0"/>
    <x v="0"/>
    <x v="9"/>
    <x v="10"/>
    <x v="5"/>
    <x v="8"/>
    <x v="5"/>
    <x v="0"/>
    <x v="4"/>
    <x v="2"/>
    <x v="0"/>
    <n v="26"/>
    <x v="4"/>
    <x v="2"/>
    <x v="1"/>
  </r>
  <r>
    <s v="62a5bea05d257a28a3106f7e"/>
    <s v="anonymous"/>
    <x v="2"/>
    <x v="349"/>
    <x v="66"/>
    <x v="0"/>
    <x v="0"/>
    <m/>
    <x v="0"/>
    <x v="0"/>
    <x v="0"/>
    <x v="1"/>
    <x v="2"/>
    <x v="2"/>
    <x v="1"/>
    <x v="0"/>
    <x v="4"/>
    <x v="5"/>
    <x v="8"/>
    <x v="0"/>
    <x v="0"/>
    <x v="10"/>
    <x v="4"/>
    <x v="0"/>
    <x v="1"/>
    <n v="35"/>
    <x v="4"/>
    <x v="3"/>
    <x v="1"/>
  </r>
  <r>
    <s v="62a5c571575fa3a5ae8baaa1"/>
    <s v="anonymous"/>
    <x v="2"/>
    <x v="350"/>
    <x v="40"/>
    <x v="0"/>
    <x v="0"/>
    <m/>
    <x v="0"/>
    <x v="0"/>
    <x v="0"/>
    <x v="0"/>
    <x v="5"/>
    <x v="5"/>
    <x v="5"/>
    <x v="0"/>
    <x v="2"/>
    <x v="9"/>
    <x v="9"/>
    <x v="10"/>
    <x v="3"/>
    <x v="9"/>
    <x v="4"/>
    <x v="3"/>
    <x v="0"/>
    <n v="31"/>
    <x v="0"/>
    <x v="3"/>
    <x v="3"/>
  </r>
  <r>
    <s v="62a5cb12cf25554317330d69"/>
    <s v="anonymous"/>
    <x v="2"/>
    <x v="351"/>
    <x v="180"/>
    <x v="0"/>
    <x v="0"/>
    <m/>
    <x v="0"/>
    <x v="0"/>
    <x v="0"/>
    <x v="0"/>
    <x v="2"/>
    <x v="2"/>
    <x v="5"/>
    <x v="0"/>
    <x v="4"/>
    <x v="9"/>
    <x v="8"/>
    <x v="4"/>
    <x v="7"/>
    <x v="1"/>
    <x v="3"/>
    <x v="0"/>
    <x v="0"/>
    <n v="25"/>
    <x v="2"/>
    <x v="2"/>
    <x v="2"/>
  </r>
  <r>
    <s v="62a5cba2575fa3a5ae8bb122"/>
    <s v="anonymous"/>
    <x v="2"/>
    <x v="352"/>
    <x v="126"/>
    <x v="0"/>
    <x v="0"/>
    <m/>
    <x v="0"/>
    <x v="0"/>
    <x v="1"/>
    <x v="0"/>
    <x v="6"/>
    <x v="6"/>
    <x v="7"/>
    <x v="0"/>
    <x v="6"/>
    <x v="8"/>
    <x v="5"/>
    <x v="6"/>
    <x v="9"/>
    <x v="2"/>
    <x v="1"/>
    <x v="0"/>
    <x v="0"/>
    <n v="27"/>
    <x v="0"/>
    <x v="2"/>
    <x v="0"/>
  </r>
  <r>
    <s v="62a5d350f3072dd892652c70"/>
    <s v="anonymous"/>
    <x v="2"/>
    <x v="353"/>
    <x v="43"/>
    <x v="0"/>
    <x v="0"/>
    <m/>
    <x v="0"/>
    <x v="0"/>
    <x v="0"/>
    <x v="0"/>
    <x v="1"/>
    <x v="1"/>
    <x v="4"/>
    <x v="0"/>
    <x v="8"/>
    <x v="2"/>
    <x v="3"/>
    <x v="1"/>
    <x v="7"/>
    <x v="8"/>
    <x v="4"/>
    <x v="3"/>
    <x v="0"/>
    <n v="32"/>
    <x v="2"/>
    <x v="2"/>
    <x v="0"/>
  </r>
  <r>
    <s v="62a5db29cf2555431733248f"/>
    <s v="anonymous"/>
    <x v="2"/>
    <x v="354"/>
    <x v="181"/>
    <x v="0"/>
    <x v="0"/>
    <m/>
    <x v="0"/>
    <x v="0"/>
    <x v="4"/>
    <x v="0"/>
    <x v="2"/>
    <x v="2"/>
    <x v="7"/>
    <x v="0"/>
    <x v="2"/>
    <x v="5"/>
    <x v="3"/>
    <x v="4"/>
    <x v="4"/>
    <x v="10"/>
    <x v="3"/>
    <x v="1"/>
    <x v="0"/>
    <n v="47"/>
    <x v="2"/>
    <x v="2"/>
    <x v="0"/>
  </r>
  <r>
    <s v="62a5e69f24a26260273b42bf"/>
    <s v="anonymous"/>
    <x v="2"/>
    <x v="29"/>
    <x v="105"/>
    <x v="0"/>
    <x v="0"/>
    <m/>
    <x v="0"/>
    <x v="0"/>
    <x v="2"/>
    <x v="1"/>
    <x v="6"/>
    <x v="6"/>
    <x v="1"/>
    <x v="0"/>
    <x v="2"/>
    <x v="8"/>
    <x v="6"/>
    <x v="0"/>
    <x v="3"/>
    <x v="9"/>
    <x v="4"/>
    <x v="1"/>
    <x v="1"/>
    <n v="30"/>
    <x v="0"/>
    <x v="3"/>
    <x v="1"/>
  </r>
  <r>
    <s v="62a5ea667dc029e2d66f153d"/>
    <s v="anonymous"/>
    <x v="2"/>
    <x v="43"/>
    <x v="36"/>
    <x v="0"/>
    <x v="0"/>
    <m/>
    <x v="0"/>
    <x v="0"/>
    <x v="0"/>
    <x v="0"/>
    <x v="0"/>
    <x v="0"/>
    <x v="2"/>
    <x v="0"/>
    <x v="10"/>
    <x v="3"/>
    <x v="4"/>
    <x v="8"/>
    <x v="10"/>
    <x v="2"/>
    <x v="1"/>
    <x v="2"/>
    <x v="1"/>
    <n v="35"/>
    <x v="0"/>
    <x v="3"/>
    <x v="2"/>
  </r>
  <r>
    <s v="62a5ebe05d257a28a310ac53"/>
    <s v="anonymous"/>
    <x v="2"/>
    <x v="49"/>
    <x v="138"/>
    <x v="0"/>
    <x v="0"/>
    <m/>
    <x v="0"/>
    <x v="0"/>
    <x v="0"/>
    <x v="0"/>
    <x v="1"/>
    <x v="1"/>
    <x v="1"/>
    <x v="0"/>
    <x v="9"/>
    <x v="0"/>
    <x v="1"/>
    <x v="8"/>
    <x v="6"/>
    <x v="6"/>
    <x v="3"/>
    <x v="0"/>
    <x v="0"/>
    <n v="25"/>
    <x v="0"/>
    <x v="1"/>
    <x v="3"/>
  </r>
  <r>
    <s v="62a5edb2575fa3a5ae8bdba5"/>
    <s v="anonymous"/>
    <x v="2"/>
    <x v="55"/>
    <x v="182"/>
    <x v="0"/>
    <x v="0"/>
    <m/>
    <x v="0"/>
    <x v="0"/>
    <x v="2"/>
    <x v="1"/>
    <x v="6"/>
    <x v="6"/>
    <x v="2"/>
    <x v="0"/>
    <x v="6"/>
    <x v="3"/>
    <x v="4"/>
    <x v="5"/>
    <x v="5"/>
    <x v="10"/>
    <x v="4"/>
    <x v="2"/>
    <x v="0"/>
    <n v="27"/>
    <x v="0"/>
    <x v="2"/>
    <x v="0"/>
  </r>
  <r>
    <s v="62a5edba0a77c1a77f68f1b5"/>
    <s v="anonymous"/>
    <x v="2"/>
    <x v="55"/>
    <x v="25"/>
    <x v="0"/>
    <x v="0"/>
    <m/>
    <x v="0"/>
    <x v="0"/>
    <x v="0"/>
    <x v="0"/>
    <x v="1"/>
    <x v="1"/>
    <x v="0"/>
    <x v="1"/>
    <x v="1"/>
    <x v="6"/>
    <x v="3"/>
    <x v="4"/>
    <x v="5"/>
    <x v="5"/>
    <x v="3"/>
    <x v="0"/>
    <x v="1"/>
    <n v="27"/>
    <x v="0"/>
    <x v="3"/>
    <x v="2"/>
  </r>
  <r>
    <s v="62a5f332bc6861bf3179f631"/>
    <s v="anonymous"/>
    <x v="2"/>
    <x v="355"/>
    <x v="36"/>
    <x v="0"/>
    <x v="0"/>
    <m/>
    <x v="0"/>
    <x v="0"/>
    <x v="4"/>
    <x v="1"/>
    <x v="2"/>
    <x v="2"/>
    <x v="2"/>
    <x v="0"/>
    <x v="1"/>
    <x v="2"/>
    <x v="5"/>
    <x v="9"/>
    <x v="4"/>
    <x v="0"/>
    <x v="2"/>
    <x v="2"/>
    <x v="1"/>
    <n v="23"/>
    <x v="4"/>
    <x v="3"/>
    <x v="1"/>
  </r>
  <r>
    <s v="62a5f872bae91e4b8b861e53"/>
    <s v="anonymous"/>
    <x v="2"/>
    <x v="356"/>
    <x v="3"/>
    <x v="0"/>
    <x v="0"/>
    <m/>
    <x v="0"/>
    <x v="0"/>
    <x v="3"/>
    <x v="1"/>
    <x v="1"/>
    <x v="1"/>
    <x v="2"/>
    <x v="0"/>
    <x v="0"/>
    <x v="8"/>
    <x v="6"/>
    <x v="2"/>
    <x v="9"/>
    <x v="2"/>
    <x v="4"/>
    <x v="3"/>
    <x v="0"/>
    <n v="18"/>
    <x v="0"/>
    <x v="2"/>
    <x v="0"/>
  </r>
  <r>
    <s v="62a609b8f8f75616458875b7"/>
    <s v="anonymous"/>
    <x v="2"/>
    <x v="357"/>
    <x v="130"/>
    <x v="0"/>
    <x v="0"/>
    <m/>
    <x v="0"/>
    <x v="0"/>
    <x v="0"/>
    <x v="0"/>
    <x v="2"/>
    <x v="2"/>
    <x v="0"/>
    <x v="0"/>
    <x v="10"/>
    <x v="8"/>
    <x v="7"/>
    <x v="5"/>
    <x v="6"/>
    <x v="6"/>
    <x v="1"/>
    <x v="0"/>
    <x v="1"/>
    <n v="28"/>
    <x v="2"/>
    <x v="3"/>
    <x v="3"/>
  </r>
  <r>
    <s v="62a609c4bc6861bf317a10a3"/>
    <s v="anonymous"/>
    <x v="2"/>
    <x v="358"/>
    <x v="25"/>
    <x v="0"/>
    <x v="0"/>
    <m/>
    <x v="0"/>
    <x v="0"/>
    <x v="2"/>
    <x v="0"/>
    <x v="4"/>
    <x v="4"/>
    <x v="0"/>
    <x v="0"/>
    <x v="7"/>
    <x v="3"/>
    <x v="5"/>
    <x v="6"/>
    <x v="6"/>
    <x v="0"/>
    <x v="1"/>
    <x v="0"/>
    <x v="0"/>
    <n v="28"/>
    <x v="0"/>
    <x v="2"/>
    <x v="0"/>
  </r>
  <r>
    <s v="62a61076f8f7561645887ded"/>
    <s v="anonymous"/>
    <x v="2"/>
    <x v="303"/>
    <x v="20"/>
    <x v="0"/>
    <x v="0"/>
    <m/>
    <x v="0"/>
    <x v="0"/>
    <x v="4"/>
    <x v="1"/>
    <x v="2"/>
    <x v="2"/>
    <x v="2"/>
    <x v="0"/>
    <x v="2"/>
    <x v="7"/>
    <x v="10"/>
    <x v="10"/>
    <x v="3"/>
    <x v="9"/>
    <x v="1"/>
    <x v="1"/>
    <x v="1"/>
    <n v="26"/>
    <x v="0"/>
    <x v="2"/>
    <x v="6"/>
  </r>
  <r>
    <s v="62a615fd18134ddc75d1f1fa"/>
    <s v="anonymous"/>
    <x v="2"/>
    <x v="305"/>
    <x v="43"/>
    <x v="0"/>
    <x v="0"/>
    <m/>
    <x v="0"/>
    <x v="0"/>
    <x v="4"/>
    <x v="1"/>
    <x v="2"/>
    <x v="2"/>
    <x v="5"/>
    <x v="0"/>
    <x v="2"/>
    <x v="7"/>
    <x v="3"/>
    <x v="10"/>
    <x v="3"/>
    <x v="8"/>
    <x v="3"/>
    <x v="2"/>
    <x v="0"/>
    <n v="27"/>
    <x v="2"/>
    <x v="2"/>
    <x v="2"/>
  </r>
  <r>
    <s v="62a617c30a77c1a77f6925fc"/>
    <s v="anonymous"/>
    <x v="2"/>
    <x v="359"/>
    <x v="183"/>
    <x v="0"/>
    <x v="0"/>
    <m/>
    <x v="0"/>
    <x v="0"/>
    <x v="0"/>
    <x v="1"/>
    <x v="1"/>
    <x v="1"/>
    <x v="4"/>
    <x v="0"/>
    <x v="0"/>
    <x v="10"/>
    <x v="7"/>
    <x v="2"/>
    <x v="9"/>
    <x v="2"/>
    <x v="4"/>
    <x v="1"/>
    <x v="1"/>
    <n v="22"/>
    <x v="4"/>
    <x v="3"/>
    <x v="1"/>
  </r>
  <r>
    <s v="62a618a9d8c00e9f541d3537"/>
    <s v="anonymous"/>
    <x v="2"/>
    <x v="134"/>
    <x v="78"/>
    <x v="0"/>
    <x v="0"/>
    <m/>
    <x v="0"/>
    <x v="0"/>
    <x v="0"/>
    <x v="0"/>
    <x v="2"/>
    <x v="2"/>
    <x v="4"/>
    <x v="1"/>
    <x v="2"/>
    <x v="2"/>
    <x v="0"/>
    <x v="5"/>
    <x v="4"/>
    <x v="6"/>
    <x v="0"/>
    <x v="2"/>
    <x v="0"/>
    <n v="27"/>
    <x v="0"/>
    <x v="1"/>
    <x v="0"/>
  </r>
  <r>
    <s v="62a61eb02e54c9003e5697f7"/>
    <s v="anonymous"/>
    <x v="2"/>
    <x v="142"/>
    <x v="129"/>
    <x v="0"/>
    <x v="0"/>
    <m/>
    <x v="0"/>
    <x v="0"/>
    <x v="1"/>
    <x v="0"/>
    <x v="2"/>
    <x v="2"/>
    <x v="2"/>
    <x v="0"/>
    <x v="8"/>
    <x v="10"/>
    <x v="4"/>
    <x v="6"/>
    <x v="2"/>
    <x v="0"/>
    <x v="4"/>
    <x v="1"/>
    <x v="0"/>
    <n v="28"/>
    <x v="4"/>
    <x v="2"/>
    <x v="1"/>
  </r>
  <r>
    <s v="62a6246df3072dd892659218"/>
    <s v="anonymous"/>
    <x v="2"/>
    <x v="148"/>
    <x v="51"/>
    <x v="0"/>
    <x v="0"/>
    <m/>
    <x v="0"/>
    <x v="0"/>
    <x v="0"/>
    <x v="0"/>
    <x v="2"/>
    <x v="2"/>
    <x v="4"/>
    <x v="0"/>
    <x v="6"/>
    <x v="1"/>
    <x v="2"/>
    <x v="4"/>
    <x v="4"/>
    <x v="1"/>
    <x v="4"/>
    <x v="2"/>
    <x v="0"/>
    <n v="25"/>
    <x v="2"/>
    <x v="1"/>
    <x v="2"/>
  </r>
  <r>
    <s v="62a62a7124a26260273b94fa"/>
    <s v="anonymous"/>
    <x v="2"/>
    <x v="360"/>
    <x v="36"/>
    <x v="0"/>
    <x v="0"/>
    <m/>
    <x v="0"/>
    <x v="0"/>
    <x v="0"/>
    <x v="1"/>
    <x v="2"/>
    <x v="2"/>
    <x v="0"/>
    <x v="0"/>
    <x v="4"/>
    <x v="3"/>
    <x v="4"/>
    <x v="8"/>
    <x v="2"/>
    <x v="6"/>
    <x v="3"/>
    <x v="2"/>
    <x v="0"/>
    <n v="32"/>
    <x v="3"/>
    <x v="2"/>
    <x v="3"/>
  </r>
  <r>
    <s v="62a631782e54c9003e56ac36"/>
    <s v="anonymous"/>
    <x v="2"/>
    <x v="361"/>
    <x v="184"/>
    <x v="0"/>
    <x v="0"/>
    <m/>
    <x v="0"/>
    <x v="0"/>
    <x v="4"/>
    <x v="0"/>
    <x v="2"/>
    <x v="2"/>
    <x v="1"/>
    <x v="2"/>
    <x v="7"/>
    <x v="0"/>
    <x v="6"/>
    <x v="2"/>
    <x v="4"/>
    <x v="7"/>
    <x v="1"/>
    <x v="0"/>
    <x v="0"/>
    <n v="33"/>
    <x v="2"/>
    <x v="2"/>
    <x v="0"/>
  </r>
  <r>
    <s v="62a633b4d8c00e9f541d54a4"/>
    <s v="anonymous"/>
    <x v="2"/>
    <x v="169"/>
    <x v="185"/>
    <x v="0"/>
    <x v="0"/>
    <m/>
    <x v="0"/>
    <x v="0"/>
    <x v="0"/>
    <x v="1"/>
    <x v="1"/>
    <x v="1"/>
    <x v="2"/>
    <x v="0"/>
    <x v="8"/>
    <x v="3"/>
    <x v="1"/>
    <x v="1"/>
    <x v="4"/>
    <x v="1"/>
    <x v="1"/>
    <x v="0"/>
    <x v="0"/>
    <n v="23"/>
    <x v="1"/>
    <x v="3"/>
    <x v="2"/>
  </r>
  <r>
    <s v="62a639e05d257a28a3110ef5"/>
    <s v="anonymous"/>
    <x v="2"/>
    <x v="362"/>
    <x v="134"/>
    <x v="0"/>
    <x v="0"/>
    <m/>
    <x v="0"/>
    <x v="0"/>
    <x v="4"/>
    <x v="0"/>
    <x v="2"/>
    <x v="2"/>
    <x v="1"/>
    <x v="1"/>
    <x v="5"/>
    <x v="6"/>
    <x v="2"/>
    <x v="3"/>
    <x v="0"/>
    <x v="10"/>
    <x v="4"/>
    <x v="0"/>
    <x v="1"/>
    <n v="40"/>
    <x v="2"/>
    <x v="2"/>
    <x v="2"/>
  </r>
  <r>
    <s v="62a642690f8c8599d5b2ab37"/>
    <s v="anonymous"/>
    <x v="2"/>
    <x v="363"/>
    <x v="39"/>
    <x v="0"/>
    <x v="0"/>
    <m/>
    <x v="0"/>
    <x v="0"/>
    <x v="0"/>
    <x v="0"/>
    <x v="1"/>
    <x v="1"/>
    <x v="2"/>
    <x v="0"/>
    <x v="7"/>
    <x v="0"/>
    <x v="7"/>
    <x v="7"/>
    <x v="2"/>
    <x v="6"/>
    <x v="1"/>
    <x v="2"/>
    <x v="1"/>
    <n v="28"/>
    <x v="3"/>
    <x v="2"/>
    <x v="1"/>
  </r>
  <r>
    <s v="62a64b4dd8c00e9f541d6d81"/>
    <s v="anonymous"/>
    <x v="2"/>
    <x v="364"/>
    <x v="186"/>
    <x v="0"/>
    <x v="0"/>
    <m/>
    <x v="0"/>
    <x v="0"/>
    <x v="0"/>
    <x v="1"/>
    <x v="2"/>
    <x v="2"/>
    <x v="7"/>
    <x v="1"/>
    <x v="6"/>
    <x v="10"/>
    <x v="5"/>
    <x v="5"/>
    <x v="5"/>
    <x v="6"/>
    <x v="3"/>
    <x v="0"/>
    <x v="0"/>
    <n v="26"/>
    <x v="2"/>
    <x v="1"/>
    <x v="2"/>
  </r>
  <r>
    <s v="62a64c6ecf2555431733a7a4"/>
    <s v="anonymous"/>
    <x v="2"/>
    <x v="365"/>
    <x v="107"/>
    <x v="0"/>
    <x v="0"/>
    <m/>
    <x v="0"/>
    <x v="0"/>
    <x v="2"/>
    <x v="0"/>
    <x v="2"/>
    <x v="2"/>
    <x v="4"/>
    <x v="0"/>
    <x v="6"/>
    <x v="6"/>
    <x v="1"/>
    <x v="3"/>
    <x v="4"/>
    <x v="4"/>
    <x v="3"/>
    <x v="2"/>
    <x v="1"/>
    <n v="24"/>
    <x v="4"/>
    <x v="2"/>
    <x v="1"/>
  </r>
  <r>
    <s v="62a654165d257a28a3112ac9"/>
    <s v="anonymous"/>
    <x v="2"/>
    <x v="203"/>
    <x v="50"/>
    <x v="0"/>
    <x v="0"/>
    <m/>
    <x v="0"/>
    <x v="0"/>
    <x v="2"/>
    <x v="0"/>
    <x v="5"/>
    <x v="5"/>
    <x v="1"/>
    <x v="0"/>
    <x v="7"/>
    <x v="6"/>
    <x v="1"/>
    <x v="6"/>
    <x v="6"/>
    <x v="8"/>
    <x v="4"/>
    <x v="0"/>
    <x v="1"/>
    <n v="40"/>
    <x v="0"/>
    <x v="4"/>
    <x v="4"/>
  </r>
  <r>
    <s v="62a65618d8c00e9f541d783a"/>
    <s v="anonymous"/>
    <x v="2"/>
    <x v="205"/>
    <x v="51"/>
    <x v="0"/>
    <x v="0"/>
    <m/>
    <x v="0"/>
    <x v="0"/>
    <x v="0"/>
    <x v="0"/>
    <x v="6"/>
    <x v="6"/>
    <x v="2"/>
    <x v="0"/>
    <x v="10"/>
    <x v="8"/>
    <x v="6"/>
    <x v="2"/>
    <x v="2"/>
    <x v="6"/>
    <x v="4"/>
    <x v="2"/>
    <x v="0"/>
    <n v="26"/>
    <x v="0"/>
    <x v="2"/>
    <x v="2"/>
  </r>
  <r>
    <s v="62a65db824a26260273bc9ff"/>
    <s v="anonymous"/>
    <x v="2"/>
    <x v="366"/>
    <x v="72"/>
    <x v="0"/>
    <x v="0"/>
    <m/>
    <x v="0"/>
    <x v="0"/>
    <x v="3"/>
    <x v="0"/>
    <x v="1"/>
    <x v="1"/>
    <x v="2"/>
    <x v="0"/>
    <x v="10"/>
    <x v="2"/>
    <x v="6"/>
    <x v="2"/>
    <x v="9"/>
    <x v="2"/>
    <x v="1"/>
    <x v="3"/>
    <x v="1"/>
    <n v="44"/>
    <x v="3"/>
    <x v="2"/>
    <x v="0"/>
  </r>
  <r>
    <s v="62a66558cf2555431733c0f9"/>
    <s v="anonymous"/>
    <x v="2"/>
    <x v="367"/>
    <x v="48"/>
    <x v="0"/>
    <x v="0"/>
    <m/>
    <x v="0"/>
    <x v="0"/>
    <x v="2"/>
    <x v="0"/>
    <x v="6"/>
    <x v="6"/>
    <x v="2"/>
    <x v="0"/>
    <x v="7"/>
    <x v="0"/>
    <x v="5"/>
    <x v="6"/>
    <x v="5"/>
    <x v="10"/>
    <x v="4"/>
    <x v="2"/>
    <x v="0"/>
    <n v="36"/>
    <x v="0"/>
    <x v="3"/>
    <x v="0"/>
  </r>
  <r>
    <s v="62a6772c18134ddc75d25895"/>
    <s v="anonymous"/>
    <x v="2"/>
    <x v="325"/>
    <x v="29"/>
    <x v="0"/>
    <x v="0"/>
    <m/>
    <x v="0"/>
    <x v="0"/>
    <x v="2"/>
    <x v="0"/>
    <x v="2"/>
    <x v="2"/>
    <x v="2"/>
    <x v="0"/>
    <x v="1"/>
    <x v="6"/>
    <x v="6"/>
    <x v="2"/>
    <x v="6"/>
    <x v="2"/>
    <x v="4"/>
    <x v="2"/>
    <x v="0"/>
    <n v="30"/>
    <x v="2"/>
    <x v="2"/>
    <x v="3"/>
  </r>
  <r>
    <s v="62a68f1e0a77c1a77f69a381"/>
    <s v="anonymous"/>
    <x v="2"/>
    <x v="368"/>
    <x v="187"/>
    <x v="0"/>
    <x v="0"/>
    <m/>
    <x v="0"/>
    <x v="0"/>
    <x v="2"/>
    <x v="0"/>
    <x v="2"/>
    <x v="2"/>
    <x v="2"/>
    <x v="0"/>
    <x v="6"/>
    <x v="5"/>
    <x v="3"/>
    <x v="1"/>
    <x v="8"/>
    <x v="4"/>
    <x v="2"/>
    <x v="1"/>
    <x v="0"/>
    <n v="48"/>
    <x v="2"/>
    <x v="3"/>
    <x v="4"/>
  </r>
  <r>
    <s v="62a6a11a0a77c1a77f69b7cb"/>
    <s v="anonymous"/>
    <x v="2"/>
    <x v="237"/>
    <x v="188"/>
    <x v="0"/>
    <x v="0"/>
    <m/>
    <x v="0"/>
    <x v="0"/>
    <x v="0"/>
    <x v="0"/>
    <x v="1"/>
    <x v="1"/>
    <x v="6"/>
    <x v="2"/>
    <x v="1"/>
    <x v="4"/>
    <x v="9"/>
    <x v="1"/>
    <x v="8"/>
    <x v="1"/>
    <x v="1"/>
    <x v="2"/>
    <x v="1"/>
    <n v="30"/>
    <x v="1"/>
    <x v="3"/>
    <x v="1"/>
  </r>
  <r>
    <s v="62a6ac1524a26260273c1cd0"/>
    <s v="anonymous"/>
    <x v="2"/>
    <x v="369"/>
    <x v="189"/>
    <x v="0"/>
    <x v="0"/>
    <m/>
    <x v="0"/>
    <x v="0"/>
    <x v="2"/>
    <x v="1"/>
    <x v="2"/>
    <x v="2"/>
    <x v="3"/>
    <x v="0"/>
    <x v="6"/>
    <x v="2"/>
    <x v="5"/>
    <x v="0"/>
    <x v="4"/>
    <x v="5"/>
    <x v="3"/>
    <x v="2"/>
    <x v="0"/>
    <n v="28"/>
    <x v="4"/>
    <x v="2"/>
    <x v="4"/>
  </r>
  <r>
    <s v="62a6b0790a77c1a77f69cb15"/>
    <s v="anonymous"/>
    <x v="2"/>
    <x v="247"/>
    <x v="48"/>
    <x v="0"/>
    <x v="0"/>
    <m/>
    <x v="0"/>
    <x v="0"/>
    <x v="2"/>
    <x v="1"/>
    <x v="2"/>
    <x v="2"/>
    <x v="4"/>
    <x v="0"/>
    <x v="8"/>
    <x v="2"/>
    <x v="0"/>
    <x v="8"/>
    <x v="4"/>
    <x v="4"/>
    <x v="3"/>
    <x v="2"/>
    <x v="0"/>
    <n v="25"/>
    <x v="4"/>
    <x v="2"/>
    <x v="4"/>
  </r>
  <r>
    <s v="62a6bc6a18134ddc75d2a726"/>
    <s v="anonymous"/>
    <x v="3"/>
    <x v="253"/>
    <x v="1"/>
    <x v="0"/>
    <x v="0"/>
    <m/>
    <x v="0"/>
    <x v="0"/>
    <x v="2"/>
    <x v="1"/>
    <x v="0"/>
    <x v="0"/>
    <x v="4"/>
    <x v="2"/>
    <x v="9"/>
    <x v="6"/>
    <x v="2"/>
    <x v="3"/>
    <x v="4"/>
    <x v="7"/>
    <x v="1"/>
    <x v="2"/>
    <x v="0"/>
    <n v="24"/>
    <x v="0"/>
    <x v="3"/>
    <x v="6"/>
  </r>
  <r>
    <s v="62a6c3d9cec54911e9ce7669"/>
    <s v="anonymous"/>
    <x v="3"/>
    <x v="338"/>
    <x v="89"/>
    <x v="0"/>
    <x v="0"/>
    <m/>
    <x v="0"/>
    <x v="0"/>
    <x v="0"/>
    <x v="0"/>
    <x v="1"/>
    <x v="1"/>
    <x v="2"/>
    <x v="0"/>
    <x v="8"/>
    <x v="8"/>
    <x v="0"/>
    <x v="8"/>
    <x v="7"/>
    <x v="8"/>
    <x v="1"/>
    <x v="2"/>
    <x v="0"/>
    <n v="31"/>
    <x v="0"/>
    <x v="2"/>
    <x v="2"/>
  </r>
  <r>
    <s v="62a6d037cec54911e9ce862a"/>
    <s v="anonymous"/>
    <x v="3"/>
    <x v="370"/>
    <x v="21"/>
    <x v="0"/>
    <x v="0"/>
    <m/>
    <x v="0"/>
    <x v="0"/>
    <x v="1"/>
    <x v="1"/>
    <x v="2"/>
    <x v="2"/>
    <x v="7"/>
    <x v="0"/>
    <x v="6"/>
    <x v="5"/>
    <x v="5"/>
    <x v="7"/>
    <x v="0"/>
    <x v="1"/>
    <x v="1"/>
    <x v="2"/>
    <x v="0"/>
    <n v="23"/>
    <x v="3"/>
    <x v="2"/>
    <x v="4"/>
  </r>
  <r>
    <s v="62a6d2532e54c9003e575d9c"/>
    <s v="anonymous"/>
    <x v="3"/>
    <x v="371"/>
    <x v="132"/>
    <x v="0"/>
    <x v="0"/>
    <m/>
    <x v="0"/>
    <x v="0"/>
    <x v="0"/>
    <x v="1"/>
    <x v="1"/>
    <x v="1"/>
    <x v="2"/>
    <x v="2"/>
    <x v="1"/>
    <x v="4"/>
    <x v="2"/>
    <x v="9"/>
    <x v="1"/>
    <x v="7"/>
    <x v="1"/>
    <x v="3"/>
    <x v="1"/>
    <n v="48"/>
    <x v="3"/>
    <x v="3"/>
    <x v="0"/>
  </r>
  <r>
    <s v="62a6dbcad8c00e9f541e1050"/>
    <s v="anonymous"/>
    <x v="3"/>
    <x v="372"/>
    <x v="167"/>
    <x v="0"/>
    <x v="0"/>
    <m/>
    <x v="0"/>
    <x v="0"/>
    <x v="0"/>
    <x v="0"/>
    <x v="6"/>
    <x v="6"/>
    <x v="0"/>
    <x v="0"/>
    <x v="9"/>
    <x v="0"/>
    <x v="5"/>
    <x v="6"/>
    <x v="6"/>
    <x v="0"/>
    <x v="4"/>
    <x v="2"/>
    <x v="0"/>
    <n v="28"/>
    <x v="0"/>
    <x v="2"/>
    <x v="2"/>
  </r>
  <r>
    <s v="62a6e2815d257a28a311c8f9"/>
    <s v="anonymous"/>
    <x v="3"/>
    <x v="373"/>
    <x v="50"/>
    <x v="0"/>
    <x v="0"/>
    <m/>
    <x v="0"/>
    <x v="0"/>
    <x v="0"/>
    <x v="0"/>
    <x v="1"/>
    <x v="1"/>
    <x v="2"/>
    <x v="0"/>
    <x v="8"/>
    <x v="10"/>
    <x v="0"/>
    <x v="8"/>
    <x v="2"/>
    <x v="0"/>
    <x v="3"/>
    <x v="2"/>
    <x v="0"/>
    <n v="32"/>
    <x v="3"/>
    <x v="3"/>
    <x v="3"/>
  </r>
  <r>
    <s v="62a6ea03d8c00e9f541e3594"/>
    <s v="anonymous"/>
    <x v="3"/>
    <x v="269"/>
    <x v="190"/>
    <x v="0"/>
    <x v="0"/>
    <m/>
    <x v="0"/>
    <x v="0"/>
    <x v="3"/>
    <x v="0"/>
    <x v="1"/>
    <x v="1"/>
    <x v="1"/>
    <x v="0"/>
    <x v="8"/>
    <x v="10"/>
    <x v="0"/>
    <x v="3"/>
    <x v="0"/>
    <x v="0"/>
    <x v="4"/>
    <x v="2"/>
    <x v="0"/>
    <n v="30"/>
    <x v="2"/>
    <x v="2"/>
    <x v="1"/>
  </r>
  <r>
    <s v="62a7029ff8f7561645899bae"/>
    <s v="anonymous"/>
    <x v="3"/>
    <x v="277"/>
    <x v="91"/>
    <x v="0"/>
    <x v="0"/>
    <m/>
    <x v="0"/>
    <x v="0"/>
    <x v="0"/>
    <x v="0"/>
    <x v="2"/>
    <x v="2"/>
    <x v="2"/>
    <x v="0"/>
    <x v="8"/>
    <x v="6"/>
    <x v="0"/>
    <x v="8"/>
    <x v="2"/>
    <x v="8"/>
    <x v="4"/>
    <x v="1"/>
    <x v="0"/>
    <n v="32"/>
    <x v="2"/>
    <x v="3"/>
    <x v="0"/>
  </r>
  <r>
    <s v="62a7047c24a26260273c9646"/>
    <s v="anonymous"/>
    <x v="3"/>
    <x v="374"/>
    <x v="191"/>
    <x v="0"/>
    <x v="0"/>
    <m/>
    <x v="0"/>
    <x v="0"/>
    <x v="0"/>
    <x v="0"/>
    <x v="2"/>
    <x v="2"/>
    <x v="4"/>
    <x v="0"/>
    <x v="2"/>
    <x v="5"/>
    <x v="10"/>
    <x v="9"/>
    <x v="3"/>
    <x v="9"/>
    <x v="1"/>
    <x v="3"/>
    <x v="1"/>
    <n v="30"/>
    <x v="2"/>
    <x v="3"/>
    <x v="4"/>
  </r>
  <r>
    <s v="62a70b55cec54911e9cedd98"/>
    <s v="anonymous"/>
    <x v="3"/>
    <x v="375"/>
    <x v="192"/>
    <x v="0"/>
    <x v="0"/>
    <m/>
    <x v="0"/>
    <x v="0"/>
    <x v="0"/>
    <x v="0"/>
    <x v="2"/>
    <x v="2"/>
    <x v="2"/>
    <x v="0"/>
    <x v="5"/>
    <x v="1"/>
    <x v="1"/>
    <x v="1"/>
    <x v="7"/>
    <x v="7"/>
    <x v="4"/>
    <x v="1"/>
    <x v="1"/>
    <n v="35"/>
    <x v="2"/>
    <x v="3"/>
    <x v="0"/>
  </r>
  <r>
    <s v="62a71930bae91e4b8b878b2b"/>
    <s v="anonymous"/>
    <x v="3"/>
    <x v="376"/>
    <x v="127"/>
    <x v="0"/>
    <x v="0"/>
    <m/>
    <x v="0"/>
    <x v="0"/>
    <x v="4"/>
    <x v="0"/>
    <x v="2"/>
    <x v="2"/>
    <x v="4"/>
    <x v="1"/>
    <x v="11"/>
    <x v="11"/>
    <x v="11"/>
    <x v="11"/>
    <x v="11"/>
    <x v="2"/>
    <x v="1"/>
    <x v="0"/>
    <x v="1"/>
    <n v="38"/>
    <x v="3"/>
    <x v="3"/>
    <x v="2"/>
  </r>
  <r>
    <s v="62a73a37f8d5efcc22fcb724"/>
    <s v="anonymous"/>
    <x v="3"/>
    <x v="38"/>
    <x v="52"/>
    <x v="0"/>
    <x v="0"/>
    <m/>
    <x v="0"/>
    <x v="0"/>
    <x v="2"/>
    <x v="0"/>
    <x v="6"/>
    <x v="6"/>
    <x v="2"/>
    <x v="0"/>
    <x v="9"/>
    <x v="3"/>
    <x v="0"/>
    <x v="8"/>
    <x v="5"/>
    <x v="0"/>
    <x v="1"/>
    <x v="3"/>
    <x v="1"/>
    <n v="30"/>
    <x v="0"/>
    <x v="3"/>
    <x v="1"/>
  </r>
  <r>
    <s v="62a73aa824a26260273d0172"/>
    <s v="anonymous"/>
    <x v="3"/>
    <x v="377"/>
    <x v="87"/>
    <x v="0"/>
    <x v="0"/>
    <m/>
    <x v="0"/>
    <x v="0"/>
    <x v="0"/>
    <x v="0"/>
    <x v="1"/>
    <x v="1"/>
    <x v="4"/>
    <x v="0"/>
    <x v="6"/>
    <x v="5"/>
    <x v="1"/>
    <x v="3"/>
    <x v="7"/>
    <x v="7"/>
    <x v="4"/>
    <x v="2"/>
    <x v="0"/>
    <n v="48"/>
    <x v="0"/>
    <x v="2"/>
    <x v="0"/>
  </r>
  <r>
    <s v="62a73c5b0a77c1a77f6aba65"/>
    <s v="anonymous"/>
    <x v="3"/>
    <x v="45"/>
    <x v="87"/>
    <x v="0"/>
    <x v="0"/>
    <m/>
    <x v="0"/>
    <x v="0"/>
    <x v="0"/>
    <x v="0"/>
    <x v="6"/>
    <x v="6"/>
    <x v="1"/>
    <x v="2"/>
    <x v="8"/>
    <x v="2"/>
    <x v="1"/>
    <x v="0"/>
    <x v="0"/>
    <x v="7"/>
    <x v="1"/>
    <x v="0"/>
    <x v="0"/>
    <n v="32"/>
    <x v="1"/>
    <x v="3"/>
    <x v="1"/>
  </r>
  <r>
    <s v="62a749ebd8c00e9f541efa36"/>
    <s v="anonymous"/>
    <x v="3"/>
    <x v="356"/>
    <x v="193"/>
    <x v="0"/>
    <x v="0"/>
    <m/>
    <x v="0"/>
    <x v="0"/>
    <x v="2"/>
    <x v="0"/>
    <x v="1"/>
    <x v="1"/>
    <x v="3"/>
    <x v="0"/>
    <x v="5"/>
    <x v="6"/>
    <x v="2"/>
    <x v="0"/>
    <x v="0"/>
    <x v="10"/>
    <x v="3"/>
    <x v="1"/>
    <x v="0"/>
    <n v="27"/>
    <x v="4"/>
    <x v="2"/>
    <x v="6"/>
  </r>
  <r>
    <s v="62a74e28b4da29969c681108"/>
    <s v="anonymous"/>
    <x v="3"/>
    <x v="378"/>
    <x v="26"/>
    <x v="0"/>
    <x v="0"/>
    <m/>
    <x v="0"/>
    <x v="0"/>
    <x v="2"/>
    <x v="1"/>
    <x v="1"/>
    <x v="1"/>
    <x v="4"/>
    <x v="0"/>
    <x v="7"/>
    <x v="0"/>
    <x v="1"/>
    <x v="5"/>
    <x v="5"/>
    <x v="0"/>
    <x v="1"/>
    <x v="4"/>
    <x v="0"/>
    <n v="27"/>
    <x v="3"/>
    <x v="3"/>
    <x v="0"/>
  </r>
  <r>
    <s v="62a758185d257a28a312bc94"/>
    <s v="anonymous"/>
    <x v="3"/>
    <x v="379"/>
    <x v="96"/>
    <x v="0"/>
    <x v="0"/>
    <m/>
    <x v="0"/>
    <x v="0"/>
    <x v="4"/>
    <x v="1"/>
    <x v="2"/>
    <x v="2"/>
    <x v="1"/>
    <x v="0"/>
    <x v="10"/>
    <x v="10"/>
    <x v="4"/>
    <x v="8"/>
    <x v="6"/>
    <x v="2"/>
    <x v="4"/>
    <x v="0"/>
    <x v="0"/>
    <n v="24"/>
    <x v="2"/>
    <x v="2"/>
    <x v="4"/>
  </r>
  <r>
    <s v="62a75a5418134ddc75d3d2f1"/>
    <s v="anonymous"/>
    <x v="3"/>
    <x v="111"/>
    <x v="149"/>
    <x v="0"/>
    <x v="0"/>
    <m/>
    <x v="0"/>
    <x v="0"/>
    <x v="3"/>
    <x v="0"/>
    <x v="3"/>
    <x v="3"/>
    <x v="1"/>
    <x v="1"/>
    <x v="0"/>
    <x v="0"/>
    <x v="7"/>
    <x v="7"/>
    <x v="6"/>
    <x v="8"/>
    <x v="3"/>
    <x v="2"/>
    <x v="0"/>
    <n v="42"/>
    <x v="0"/>
    <x v="5"/>
    <x v="1"/>
  </r>
  <r>
    <s v="62a75ed0f8f75616458a5d1a"/>
    <s v="anonymous"/>
    <x v="3"/>
    <x v="380"/>
    <x v="116"/>
    <x v="0"/>
    <x v="0"/>
    <m/>
    <x v="0"/>
    <x v="0"/>
    <x v="2"/>
    <x v="1"/>
    <x v="1"/>
    <x v="1"/>
    <x v="4"/>
    <x v="0"/>
    <x v="10"/>
    <x v="3"/>
    <x v="4"/>
    <x v="6"/>
    <x v="2"/>
    <x v="8"/>
    <x v="4"/>
    <x v="2"/>
    <x v="0"/>
    <n v="24"/>
    <x v="0"/>
    <x v="2"/>
    <x v="3"/>
  </r>
  <r>
    <s v="62a75f1b575fa3a5ae8e0010"/>
    <s v="anonymous"/>
    <x v="3"/>
    <x v="381"/>
    <x v="65"/>
    <x v="0"/>
    <x v="0"/>
    <m/>
    <x v="0"/>
    <x v="0"/>
    <x v="6"/>
    <x v="0"/>
    <x v="2"/>
    <x v="2"/>
    <x v="4"/>
    <x v="0"/>
    <x v="8"/>
    <x v="0"/>
    <x v="0"/>
    <x v="8"/>
    <x v="5"/>
    <x v="6"/>
    <x v="1"/>
    <x v="2"/>
    <x v="0"/>
    <n v="23"/>
    <x v="4"/>
    <x v="2"/>
    <x v="1"/>
  </r>
  <r>
    <s v="62a764ffd8c00e9f541f3cc3"/>
    <s v="anonymous"/>
    <x v="3"/>
    <x v="129"/>
    <x v="18"/>
    <x v="0"/>
    <x v="0"/>
    <m/>
    <x v="0"/>
    <x v="0"/>
    <x v="0"/>
    <x v="1"/>
    <x v="2"/>
    <x v="2"/>
    <x v="4"/>
    <x v="0"/>
    <x v="7"/>
    <x v="0"/>
    <x v="5"/>
    <x v="6"/>
    <x v="7"/>
    <x v="4"/>
    <x v="4"/>
    <x v="2"/>
    <x v="0"/>
    <n v="26"/>
    <x v="4"/>
    <x v="2"/>
    <x v="1"/>
  </r>
  <r>
    <s v="62a76c962e54c9003e588661"/>
    <s v="anonymous"/>
    <x v="3"/>
    <x v="136"/>
    <x v="108"/>
    <x v="0"/>
    <x v="0"/>
    <m/>
    <x v="0"/>
    <x v="0"/>
    <x v="0"/>
    <x v="1"/>
    <x v="1"/>
    <x v="1"/>
    <x v="2"/>
    <x v="2"/>
    <x v="8"/>
    <x v="3"/>
    <x v="4"/>
    <x v="1"/>
    <x v="8"/>
    <x v="1"/>
    <x v="4"/>
    <x v="2"/>
    <x v="0"/>
    <n v="32"/>
    <x v="2"/>
    <x v="2"/>
    <x v="2"/>
  </r>
  <r>
    <s v="62a772da575fa3a5ae8e2a4a"/>
    <s v="anonymous"/>
    <x v="3"/>
    <x v="382"/>
    <x v="119"/>
    <x v="0"/>
    <x v="0"/>
    <m/>
    <x v="0"/>
    <x v="0"/>
    <x v="2"/>
    <x v="1"/>
    <x v="2"/>
    <x v="2"/>
    <x v="3"/>
    <x v="0"/>
    <x v="5"/>
    <x v="5"/>
    <x v="8"/>
    <x v="10"/>
    <x v="3"/>
    <x v="9"/>
    <x v="4"/>
    <x v="1"/>
    <x v="0"/>
    <n v="35"/>
    <x v="2"/>
    <x v="2"/>
    <x v="0"/>
  </r>
  <r>
    <s v="62a7738a2e54c9003e589598"/>
    <s v="anonymous"/>
    <x v="3"/>
    <x v="310"/>
    <x v="45"/>
    <x v="0"/>
    <x v="0"/>
    <m/>
    <x v="0"/>
    <x v="0"/>
    <x v="0"/>
    <x v="0"/>
    <x v="0"/>
    <x v="0"/>
    <x v="0"/>
    <x v="0"/>
    <x v="5"/>
    <x v="5"/>
    <x v="2"/>
    <x v="1"/>
    <x v="8"/>
    <x v="4"/>
    <x v="1"/>
    <x v="1"/>
    <x v="0"/>
    <n v="41"/>
    <x v="0"/>
    <x v="1"/>
    <x v="0"/>
  </r>
  <r>
    <s v="62a77967f8d5efcc22fd4c81"/>
    <s v="anonymous"/>
    <x v="3"/>
    <x v="152"/>
    <x v="118"/>
    <x v="0"/>
    <x v="0"/>
    <m/>
    <x v="0"/>
    <x v="0"/>
    <x v="2"/>
    <x v="1"/>
    <x v="1"/>
    <x v="1"/>
    <x v="5"/>
    <x v="0"/>
    <x v="5"/>
    <x v="0"/>
    <x v="5"/>
    <x v="6"/>
    <x v="5"/>
    <x v="0"/>
    <x v="4"/>
    <x v="2"/>
    <x v="0"/>
    <n v="25"/>
    <x v="0"/>
    <x v="3"/>
    <x v="0"/>
  </r>
  <r>
    <s v="62a77a37f8d5efcc22fd4e47"/>
    <s v="anonymous"/>
    <x v="3"/>
    <x v="154"/>
    <x v="16"/>
    <x v="0"/>
    <x v="0"/>
    <m/>
    <x v="0"/>
    <x v="0"/>
    <x v="0"/>
    <x v="0"/>
    <x v="2"/>
    <x v="2"/>
    <x v="6"/>
    <x v="0"/>
    <x v="2"/>
    <x v="7"/>
    <x v="10"/>
    <x v="10"/>
    <x v="3"/>
    <x v="9"/>
    <x v="0"/>
    <x v="2"/>
    <x v="1"/>
    <n v="28"/>
    <x v="0"/>
    <x v="3"/>
    <x v="1"/>
  </r>
  <r>
    <s v="62a77cb7b4da29969c68743a"/>
    <s v="anonymous"/>
    <x v="3"/>
    <x v="383"/>
    <x v="194"/>
    <x v="0"/>
    <x v="0"/>
    <m/>
    <x v="0"/>
    <x v="0"/>
    <x v="0"/>
    <x v="0"/>
    <x v="1"/>
    <x v="1"/>
    <x v="8"/>
    <x v="0"/>
    <x v="6"/>
    <x v="3"/>
    <x v="1"/>
    <x v="0"/>
    <x v="0"/>
    <x v="10"/>
    <x v="4"/>
    <x v="2"/>
    <x v="0"/>
    <n v="29"/>
    <x v="0"/>
    <x v="2"/>
    <x v="0"/>
  </r>
  <r>
    <s v="62a78743f8f75616458ab6bb"/>
    <s v="anonymous"/>
    <x v="3"/>
    <x v="172"/>
    <x v="1"/>
    <x v="0"/>
    <x v="0"/>
    <m/>
    <x v="0"/>
    <x v="0"/>
    <x v="4"/>
    <x v="1"/>
    <x v="2"/>
    <x v="2"/>
    <x v="3"/>
    <x v="0"/>
    <x v="10"/>
    <x v="8"/>
    <x v="4"/>
    <x v="8"/>
    <x v="6"/>
    <x v="8"/>
    <x v="4"/>
    <x v="2"/>
    <x v="0"/>
    <n v="19"/>
    <x v="0"/>
    <x v="1"/>
    <x v="0"/>
  </r>
  <r>
    <s v="62a789015d257a28a3132977"/>
    <s v="anonymous"/>
    <x v="3"/>
    <x v="384"/>
    <x v="7"/>
    <x v="0"/>
    <x v="0"/>
    <m/>
    <x v="0"/>
    <x v="0"/>
    <x v="0"/>
    <x v="0"/>
    <x v="1"/>
    <x v="1"/>
    <x v="2"/>
    <x v="0"/>
    <x v="8"/>
    <x v="3"/>
    <x v="7"/>
    <x v="5"/>
    <x v="2"/>
    <x v="2"/>
    <x v="4"/>
    <x v="2"/>
    <x v="0"/>
    <n v="27"/>
    <x v="4"/>
    <x v="2"/>
    <x v="1"/>
  </r>
  <r>
    <s v="62a78f3bf408bae018f2ef51"/>
    <s v="anonymous"/>
    <x v="3"/>
    <x v="181"/>
    <x v="33"/>
    <x v="0"/>
    <x v="0"/>
    <m/>
    <x v="0"/>
    <x v="0"/>
    <x v="4"/>
    <x v="0"/>
    <x v="2"/>
    <x v="2"/>
    <x v="1"/>
    <x v="0"/>
    <x v="10"/>
    <x v="0"/>
    <x v="7"/>
    <x v="8"/>
    <x v="6"/>
    <x v="8"/>
    <x v="4"/>
    <x v="2"/>
    <x v="0"/>
    <n v="25"/>
    <x v="2"/>
    <x v="2"/>
    <x v="0"/>
  </r>
  <r>
    <s v="62a7988bbae91e4b8b88b8ee"/>
    <s v="anonymous"/>
    <x v="3"/>
    <x v="385"/>
    <x v="51"/>
    <x v="0"/>
    <x v="0"/>
    <m/>
    <x v="0"/>
    <x v="0"/>
    <x v="0"/>
    <x v="0"/>
    <x v="1"/>
    <x v="1"/>
    <x v="2"/>
    <x v="0"/>
    <x v="9"/>
    <x v="8"/>
    <x v="6"/>
    <x v="2"/>
    <x v="9"/>
    <x v="8"/>
    <x v="3"/>
    <x v="2"/>
    <x v="1"/>
    <n v="26"/>
    <x v="1"/>
    <x v="3"/>
    <x v="1"/>
  </r>
  <r>
    <s v="62a79c9c2e54c9003e58f0d5"/>
    <s v="anonymous"/>
    <x v="3"/>
    <x v="192"/>
    <x v="181"/>
    <x v="0"/>
    <x v="0"/>
    <m/>
    <x v="0"/>
    <x v="0"/>
    <x v="0"/>
    <x v="0"/>
    <x v="2"/>
    <x v="2"/>
    <x v="0"/>
    <x v="0"/>
    <x v="6"/>
    <x v="4"/>
    <x v="1"/>
    <x v="0"/>
    <x v="7"/>
    <x v="5"/>
    <x v="3"/>
    <x v="1"/>
    <x v="0"/>
    <n v="25"/>
    <x v="2"/>
    <x v="2"/>
    <x v="0"/>
  </r>
  <r>
    <s v="62a7b0ae0f8c8599d5b51cd0"/>
    <s v="anonymous"/>
    <x v="3"/>
    <x v="386"/>
    <x v="194"/>
    <x v="0"/>
    <x v="0"/>
    <m/>
    <x v="0"/>
    <x v="0"/>
    <x v="0"/>
    <x v="0"/>
    <x v="2"/>
    <x v="2"/>
    <x v="2"/>
    <x v="0"/>
    <x v="9"/>
    <x v="3"/>
    <x v="7"/>
    <x v="7"/>
    <x v="9"/>
    <x v="2"/>
    <x v="4"/>
    <x v="0"/>
    <x v="0"/>
    <n v="25"/>
    <x v="2"/>
    <x v="2"/>
    <x v="0"/>
  </r>
  <r>
    <s v="62a7b283f8d5efcc22fdc189"/>
    <s v="anonymous"/>
    <x v="3"/>
    <x v="387"/>
    <x v="43"/>
    <x v="0"/>
    <x v="0"/>
    <m/>
    <x v="0"/>
    <x v="0"/>
    <x v="0"/>
    <x v="0"/>
    <x v="2"/>
    <x v="2"/>
    <x v="0"/>
    <x v="1"/>
    <x v="4"/>
    <x v="5"/>
    <x v="2"/>
    <x v="4"/>
    <x v="4"/>
    <x v="5"/>
    <x v="4"/>
    <x v="1"/>
    <x v="0"/>
    <n v="26"/>
    <x v="2"/>
    <x v="2"/>
    <x v="2"/>
  </r>
  <r>
    <s v="62a7b296f8d5efcc22fdc1ef"/>
    <s v="anonymous"/>
    <x v="3"/>
    <x v="387"/>
    <x v="104"/>
    <x v="0"/>
    <x v="0"/>
    <m/>
    <x v="0"/>
    <x v="0"/>
    <x v="0"/>
    <x v="0"/>
    <x v="4"/>
    <x v="4"/>
    <x v="5"/>
    <x v="0"/>
    <x v="10"/>
    <x v="2"/>
    <x v="0"/>
    <x v="5"/>
    <x v="2"/>
    <x v="6"/>
    <x v="4"/>
    <x v="3"/>
    <x v="0"/>
    <n v="35"/>
    <x v="0"/>
    <x v="2"/>
    <x v="0"/>
  </r>
  <r>
    <s v="62a7bd0e5d257a28a313855c"/>
    <s v="anonymous"/>
    <x v="3"/>
    <x v="388"/>
    <x v="19"/>
    <x v="0"/>
    <x v="0"/>
    <m/>
    <x v="0"/>
    <x v="0"/>
    <x v="0"/>
    <x v="0"/>
    <x v="5"/>
    <x v="5"/>
    <x v="2"/>
    <x v="0"/>
    <x v="9"/>
    <x v="10"/>
    <x v="0"/>
    <x v="5"/>
    <x v="2"/>
    <x v="10"/>
    <x v="3"/>
    <x v="0"/>
    <x v="0"/>
    <n v="29"/>
    <x v="0"/>
    <x v="3"/>
    <x v="2"/>
  </r>
  <r>
    <s v="62a7be5e5d257a28a313876a"/>
    <s v="anonymous"/>
    <x v="3"/>
    <x v="389"/>
    <x v="76"/>
    <x v="0"/>
    <x v="0"/>
    <m/>
    <x v="0"/>
    <x v="0"/>
    <x v="0"/>
    <x v="0"/>
    <x v="5"/>
    <x v="5"/>
    <x v="4"/>
    <x v="0"/>
    <x v="7"/>
    <x v="3"/>
    <x v="1"/>
    <x v="3"/>
    <x v="4"/>
    <x v="10"/>
    <x v="4"/>
    <x v="2"/>
    <x v="1"/>
    <n v="41"/>
    <x v="0"/>
    <x v="4"/>
    <x v="3"/>
  </r>
  <r>
    <s v="62a7ce44575fa3a5ae8ece5f"/>
    <s v="anonymous"/>
    <x v="3"/>
    <x v="390"/>
    <x v="6"/>
    <x v="0"/>
    <x v="0"/>
    <m/>
    <x v="0"/>
    <x v="0"/>
    <x v="4"/>
    <x v="1"/>
    <x v="2"/>
    <x v="2"/>
    <x v="5"/>
    <x v="0"/>
    <x v="2"/>
    <x v="3"/>
    <x v="2"/>
    <x v="0"/>
    <x v="8"/>
    <x v="7"/>
    <x v="0"/>
    <x v="0"/>
    <x v="1"/>
    <n v="22"/>
    <x v="0"/>
    <x v="2"/>
    <x v="3"/>
  </r>
  <r>
    <s v="62a7e1380f8c8599d5b55fcf"/>
    <s v="anonymous"/>
    <x v="3"/>
    <x v="391"/>
    <x v="163"/>
    <x v="0"/>
    <x v="0"/>
    <m/>
    <x v="0"/>
    <x v="0"/>
    <x v="0"/>
    <x v="0"/>
    <x v="6"/>
    <x v="6"/>
    <x v="0"/>
    <x v="2"/>
    <x v="4"/>
    <x v="3"/>
    <x v="4"/>
    <x v="3"/>
    <x v="4"/>
    <x v="1"/>
    <x v="3"/>
    <x v="2"/>
    <x v="0"/>
    <n v="35"/>
    <x v="0"/>
    <x v="2"/>
    <x v="3"/>
  </r>
  <r>
    <s v="62a7e2d024a26260273e4448"/>
    <s v="anonymous"/>
    <x v="3"/>
    <x v="392"/>
    <x v="50"/>
    <x v="0"/>
    <x v="0"/>
    <m/>
    <x v="0"/>
    <x v="0"/>
    <x v="0"/>
    <x v="0"/>
    <x v="6"/>
    <x v="6"/>
    <x v="1"/>
    <x v="0"/>
    <x v="5"/>
    <x v="5"/>
    <x v="2"/>
    <x v="3"/>
    <x v="7"/>
    <x v="10"/>
    <x v="0"/>
    <x v="2"/>
    <x v="0"/>
    <n v="30"/>
    <x v="2"/>
    <x v="2"/>
    <x v="1"/>
  </r>
  <r>
    <s v="62a7ed9c0f8c8599d5b57132"/>
    <s v="anonymous"/>
    <x v="3"/>
    <x v="393"/>
    <x v="90"/>
    <x v="0"/>
    <x v="0"/>
    <m/>
    <x v="0"/>
    <x v="0"/>
    <x v="1"/>
    <x v="1"/>
    <x v="3"/>
    <x v="3"/>
    <x v="7"/>
    <x v="0"/>
    <x v="5"/>
    <x v="3"/>
    <x v="3"/>
    <x v="1"/>
    <x v="4"/>
    <x v="1"/>
    <x v="4"/>
    <x v="3"/>
    <x v="0"/>
    <n v="37"/>
    <x v="1"/>
    <x v="2"/>
    <x v="1"/>
  </r>
  <r>
    <s v="62a7f09a0f8c8599d5b57526"/>
    <s v="anonymous"/>
    <x v="3"/>
    <x v="394"/>
    <x v="57"/>
    <x v="0"/>
    <x v="0"/>
    <m/>
    <x v="0"/>
    <x v="0"/>
    <x v="0"/>
    <x v="0"/>
    <x v="6"/>
    <x v="6"/>
    <x v="2"/>
    <x v="0"/>
    <x v="9"/>
    <x v="10"/>
    <x v="0"/>
    <x v="0"/>
    <x v="0"/>
    <x v="6"/>
    <x v="3"/>
    <x v="2"/>
    <x v="1"/>
    <n v="28"/>
    <x v="0"/>
    <x v="3"/>
    <x v="2"/>
  </r>
  <r>
    <s v="62a7fb02f8d5efcc22fe2486"/>
    <s v="anonymous"/>
    <x v="3"/>
    <x v="395"/>
    <x v="71"/>
    <x v="0"/>
    <x v="0"/>
    <m/>
    <x v="0"/>
    <x v="0"/>
    <x v="0"/>
    <x v="1"/>
    <x v="5"/>
    <x v="5"/>
    <x v="7"/>
    <x v="0"/>
    <x v="7"/>
    <x v="6"/>
    <x v="4"/>
    <x v="5"/>
    <x v="7"/>
    <x v="10"/>
    <x v="4"/>
    <x v="3"/>
    <x v="0"/>
    <n v="23"/>
    <x v="0"/>
    <x v="1"/>
    <x v="0"/>
  </r>
  <r>
    <s v="62a816907dc029e2d6725a33"/>
    <s v="anonymous"/>
    <x v="4"/>
    <x v="396"/>
    <x v="120"/>
    <x v="0"/>
    <x v="0"/>
    <m/>
    <x v="0"/>
    <x v="0"/>
    <x v="4"/>
    <x v="1"/>
    <x v="2"/>
    <x v="2"/>
    <x v="1"/>
    <x v="0"/>
    <x v="6"/>
    <x v="4"/>
    <x v="5"/>
    <x v="0"/>
    <x v="0"/>
    <x v="1"/>
    <x v="4"/>
    <x v="2"/>
    <x v="0"/>
    <n v="26"/>
    <x v="0"/>
    <x v="1"/>
    <x v="1"/>
  </r>
  <r>
    <s v="62a84764bc6861bf317d7b86"/>
    <s v="anonymous"/>
    <x v="4"/>
    <x v="347"/>
    <x v="69"/>
    <x v="0"/>
    <x v="0"/>
    <m/>
    <x v="0"/>
    <x v="0"/>
    <x v="0"/>
    <x v="1"/>
    <x v="6"/>
    <x v="6"/>
    <x v="2"/>
    <x v="0"/>
    <x v="4"/>
    <x v="4"/>
    <x v="2"/>
    <x v="4"/>
    <x v="7"/>
    <x v="7"/>
    <x v="4"/>
    <x v="1"/>
    <x v="0"/>
    <n v="25"/>
    <x v="2"/>
    <x v="2"/>
    <x v="5"/>
  </r>
  <r>
    <s v="62a84f9af408bae018f41e34"/>
    <s v="anonymous"/>
    <x v="4"/>
    <x v="397"/>
    <x v="8"/>
    <x v="0"/>
    <x v="0"/>
    <m/>
    <x v="0"/>
    <x v="0"/>
    <x v="0"/>
    <x v="1"/>
    <x v="2"/>
    <x v="2"/>
    <x v="4"/>
    <x v="0"/>
    <x v="2"/>
    <x v="9"/>
    <x v="8"/>
    <x v="9"/>
    <x v="1"/>
    <x v="3"/>
    <x v="4"/>
    <x v="0"/>
    <x v="0"/>
    <n v="23"/>
    <x v="4"/>
    <x v="2"/>
    <x v="1"/>
  </r>
  <r>
    <s v="62a85803f8d5efcc22fea92f"/>
    <s v="anonymous"/>
    <x v="4"/>
    <x v="398"/>
    <x v="185"/>
    <x v="0"/>
    <x v="0"/>
    <m/>
    <x v="0"/>
    <x v="0"/>
    <x v="4"/>
    <x v="0"/>
    <x v="2"/>
    <x v="2"/>
    <x v="2"/>
    <x v="2"/>
    <x v="2"/>
    <x v="9"/>
    <x v="10"/>
    <x v="10"/>
    <x v="3"/>
    <x v="9"/>
    <x v="4"/>
    <x v="3"/>
    <x v="0"/>
    <n v="53"/>
    <x v="2"/>
    <x v="2"/>
    <x v="2"/>
  </r>
  <r>
    <s v="62a8592f7dc029e2d672c0a8"/>
    <s v="anonymous"/>
    <x v="4"/>
    <x v="399"/>
    <x v="29"/>
    <x v="0"/>
    <x v="0"/>
    <m/>
    <x v="0"/>
    <x v="0"/>
    <x v="1"/>
    <x v="0"/>
    <x v="2"/>
    <x v="2"/>
    <x v="4"/>
    <x v="0"/>
    <x v="5"/>
    <x v="3"/>
    <x v="4"/>
    <x v="4"/>
    <x v="2"/>
    <x v="6"/>
    <x v="4"/>
    <x v="2"/>
    <x v="1"/>
    <n v="33"/>
    <x v="2"/>
    <x v="2"/>
    <x v="0"/>
  </r>
  <r>
    <s v="62a8643bcec54911e9d14297"/>
    <s v="anonymous"/>
    <x v="4"/>
    <x v="400"/>
    <x v="195"/>
    <x v="0"/>
    <x v="0"/>
    <m/>
    <x v="0"/>
    <x v="0"/>
    <x v="4"/>
    <x v="0"/>
    <x v="2"/>
    <x v="2"/>
    <x v="1"/>
    <x v="1"/>
    <x v="6"/>
    <x v="6"/>
    <x v="1"/>
    <x v="3"/>
    <x v="0"/>
    <x v="10"/>
    <x v="3"/>
    <x v="2"/>
    <x v="0"/>
    <n v="39"/>
    <x v="2"/>
    <x v="1"/>
    <x v="2"/>
  </r>
  <r>
    <s v="62a8665c5d257a28a31474f7"/>
    <s v="anonymous"/>
    <x v="4"/>
    <x v="401"/>
    <x v="17"/>
    <x v="0"/>
    <x v="0"/>
    <m/>
    <x v="0"/>
    <x v="0"/>
    <x v="0"/>
    <x v="0"/>
    <x v="2"/>
    <x v="2"/>
    <x v="0"/>
    <x v="2"/>
    <x v="9"/>
    <x v="10"/>
    <x v="1"/>
    <x v="8"/>
    <x v="2"/>
    <x v="6"/>
    <x v="3"/>
    <x v="2"/>
    <x v="1"/>
    <n v="22"/>
    <x v="3"/>
    <x v="2"/>
    <x v="0"/>
  </r>
  <r>
    <s v="62a868c5cf2555431737094b"/>
    <s v="anonymous"/>
    <x v="4"/>
    <x v="402"/>
    <x v="26"/>
    <x v="0"/>
    <x v="0"/>
    <m/>
    <x v="0"/>
    <x v="0"/>
    <x v="0"/>
    <x v="1"/>
    <x v="1"/>
    <x v="1"/>
    <x v="1"/>
    <x v="0"/>
    <x v="5"/>
    <x v="10"/>
    <x v="0"/>
    <x v="8"/>
    <x v="0"/>
    <x v="5"/>
    <x v="1"/>
    <x v="2"/>
    <x v="0"/>
    <n v="24"/>
    <x v="2"/>
    <x v="2"/>
    <x v="0"/>
  </r>
  <r>
    <s v="62a88e9ff8d5efcc22ff1eb6"/>
    <s v="anonymous"/>
    <x v="4"/>
    <x v="48"/>
    <x v="67"/>
    <x v="0"/>
    <x v="0"/>
    <m/>
    <x v="0"/>
    <x v="0"/>
    <x v="5"/>
    <x v="1"/>
    <x v="5"/>
    <x v="5"/>
    <x v="2"/>
    <x v="0"/>
    <x v="8"/>
    <x v="9"/>
    <x v="3"/>
    <x v="9"/>
    <x v="7"/>
    <x v="5"/>
    <x v="3"/>
    <x v="1"/>
    <x v="0"/>
    <n v="31"/>
    <x v="1"/>
    <x v="1"/>
    <x v="0"/>
  </r>
  <r>
    <s v="62a89e365d257a28a314fd36"/>
    <s v="anonymous"/>
    <x v="4"/>
    <x v="88"/>
    <x v="95"/>
    <x v="0"/>
    <x v="0"/>
    <m/>
    <x v="0"/>
    <x v="0"/>
    <x v="0"/>
    <x v="0"/>
    <x v="2"/>
    <x v="2"/>
    <x v="2"/>
    <x v="0"/>
    <x v="2"/>
    <x v="7"/>
    <x v="10"/>
    <x v="10"/>
    <x v="3"/>
    <x v="9"/>
    <x v="0"/>
    <x v="2"/>
    <x v="0"/>
    <n v="25"/>
    <x v="2"/>
    <x v="2"/>
    <x v="1"/>
  </r>
  <r>
    <s v="62a8b6ffbae91e4b8b8aa5c2"/>
    <s v="anonymous"/>
    <x v="4"/>
    <x v="403"/>
    <x v="24"/>
    <x v="0"/>
    <x v="0"/>
    <m/>
    <x v="0"/>
    <x v="0"/>
    <x v="4"/>
    <x v="1"/>
    <x v="2"/>
    <x v="2"/>
    <x v="4"/>
    <x v="1"/>
    <x v="5"/>
    <x v="10"/>
    <x v="0"/>
    <x v="5"/>
    <x v="5"/>
    <x v="10"/>
    <x v="4"/>
    <x v="2"/>
    <x v="0"/>
    <n v="25"/>
    <x v="4"/>
    <x v="2"/>
    <x v="1"/>
  </r>
  <r>
    <s v="62a8bf9e575fa3a5ae907617"/>
    <s v="anonymous"/>
    <x v="4"/>
    <x v="404"/>
    <x v="24"/>
    <x v="0"/>
    <x v="0"/>
    <m/>
    <x v="0"/>
    <x v="0"/>
    <x v="0"/>
    <x v="1"/>
    <x v="2"/>
    <x v="2"/>
    <x v="4"/>
    <x v="0"/>
    <x v="6"/>
    <x v="4"/>
    <x v="2"/>
    <x v="3"/>
    <x v="8"/>
    <x v="9"/>
    <x v="4"/>
    <x v="1"/>
    <x v="0"/>
    <n v="23"/>
    <x v="4"/>
    <x v="2"/>
    <x v="1"/>
  </r>
  <r>
    <s v="62a8cd29bc6861bf317ea9a2"/>
    <s v="anonymous"/>
    <x v="4"/>
    <x v="156"/>
    <x v="78"/>
    <x v="0"/>
    <x v="0"/>
    <m/>
    <x v="0"/>
    <x v="0"/>
    <x v="2"/>
    <x v="0"/>
    <x v="1"/>
    <x v="1"/>
    <x v="2"/>
    <x v="2"/>
    <x v="9"/>
    <x v="10"/>
    <x v="0"/>
    <x v="8"/>
    <x v="2"/>
    <x v="10"/>
    <x v="4"/>
    <x v="4"/>
    <x v="0"/>
    <n v="23"/>
    <x v="4"/>
    <x v="2"/>
    <x v="1"/>
  </r>
  <r>
    <s v="62a8f477f408bae018f5869d"/>
    <s v="anonymous"/>
    <x v="4"/>
    <x v="200"/>
    <x v="20"/>
    <x v="0"/>
    <x v="0"/>
    <m/>
    <x v="0"/>
    <x v="0"/>
    <x v="0"/>
    <x v="1"/>
    <x v="5"/>
    <x v="5"/>
    <x v="0"/>
    <x v="0"/>
    <x v="10"/>
    <x v="0"/>
    <x v="5"/>
    <x v="6"/>
    <x v="6"/>
    <x v="6"/>
    <x v="3"/>
    <x v="2"/>
    <x v="0"/>
    <n v="40"/>
    <x v="0"/>
    <x v="1"/>
    <x v="0"/>
  </r>
  <r>
    <s v="62a8fcf5cf25554317384604"/>
    <s v="anonymous"/>
    <x v="4"/>
    <x v="405"/>
    <x v="75"/>
    <x v="0"/>
    <x v="0"/>
    <m/>
    <x v="0"/>
    <x v="0"/>
    <x v="0"/>
    <x v="1"/>
    <x v="1"/>
    <x v="1"/>
    <x v="2"/>
    <x v="4"/>
    <x v="8"/>
    <x v="3"/>
    <x v="4"/>
    <x v="1"/>
    <x v="3"/>
    <x v="7"/>
    <x v="4"/>
    <x v="2"/>
    <x v="0"/>
    <n v="29"/>
    <x v="0"/>
    <x v="2"/>
    <x v="3"/>
  </r>
  <r>
    <s v="62a8fe9abc6861bf317f0c01"/>
    <s v="anonymous"/>
    <x v="4"/>
    <x v="406"/>
    <x v="188"/>
    <x v="0"/>
    <x v="0"/>
    <m/>
    <x v="0"/>
    <x v="0"/>
    <x v="0"/>
    <x v="0"/>
    <x v="2"/>
    <x v="2"/>
    <x v="4"/>
    <x v="0"/>
    <x v="1"/>
    <x v="10"/>
    <x v="1"/>
    <x v="0"/>
    <x v="7"/>
    <x v="7"/>
    <x v="3"/>
    <x v="2"/>
    <x v="0"/>
    <n v="28"/>
    <x v="4"/>
    <x v="2"/>
    <x v="4"/>
  </r>
  <r>
    <s v="62a9024d18134ddc75d6e76d"/>
    <s v="anonymous"/>
    <x v="4"/>
    <x v="407"/>
    <x v="47"/>
    <x v="0"/>
    <x v="0"/>
    <m/>
    <x v="0"/>
    <x v="0"/>
    <x v="0"/>
    <x v="0"/>
    <x v="2"/>
    <x v="2"/>
    <x v="0"/>
    <x v="1"/>
    <x v="6"/>
    <x v="3"/>
    <x v="4"/>
    <x v="3"/>
    <x v="5"/>
    <x v="1"/>
    <x v="2"/>
    <x v="2"/>
    <x v="1"/>
    <n v="28"/>
    <x v="3"/>
    <x v="3"/>
    <x v="2"/>
  </r>
  <r>
    <s v="62a95253bae91e4b8b8b91d9"/>
    <s v="anonymous"/>
    <x v="4"/>
    <x v="408"/>
    <x v="139"/>
    <x v="0"/>
    <x v="0"/>
    <m/>
    <x v="0"/>
    <x v="0"/>
    <x v="4"/>
    <x v="0"/>
    <x v="2"/>
    <x v="2"/>
    <x v="3"/>
    <x v="0"/>
    <x v="2"/>
    <x v="5"/>
    <x v="3"/>
    <x v="3"/>
    <x v="0"/>
    <x v="5"/>
    <x v="3"/>
    <x v="1"/>
    <x v="1"/>
    <n v="26"/>
    <x v="4"/>
    <x v="3"/>
    <x v="1"/>
  </r>
  <r>
    <s v="62a960567dc029e2d6749dd8"/>
    <s v="anonymous"/>
    <x v="5"/>
    <x v="409"/>
    <x v="56"/>
    <x v="0"/>
    <x v="0"/>
    <m/>
    <x v="0"/>
    <x v="0"/>
    <x v="1"/>
    <x v="1"/>
    <x v="1"/>
    <x v="1"/>
    <x v="6"/>
    <x v="0"/>
    <x v="9"/>
    <x v="2"/>
    <x v="5"/>
    <x v="0"/>
    <x v="0"/>
    <x v="5"/>
    <x v="4"/>
    <x v="2"/>
    <x v="0"/>
    <n v="30"/>
    <x v="2"/>
    <x v="3"/>
    <x v="0"/>
  </r>
  <r>
    <s v="62a9612bf8d5efcc22007c09"/>
    <s v="anonymous"/>
    <x v="5"/>
    <x v="410"/>
    <x v="87"/>
    <x v="0"/>
    <x v="0"/>
    <m/>
    <x v="0"/>
    <x v="0"/>
    <x v="0"/>
    <x v="0"/>
    <x v="6"/>
    <x v="6"/>
    <x v="5"/>
    <x v="2"/>
    <x v="8"/>
    <x v="0"/>
    <x v="0"/>
    <x v="7"/>
    <x v="6"/>
    <x v="6"/>
    <x v="4"/>
    <x v="2"/>
    <x v="0"/>
    <n v="27"/>
    <x v="2"/>
    <x v="2"/>
    <x v="1"/>
  </r>
  <r>
    <s v="62a962380f8c8599d5b7e3fb"/>
    <s v="anonymous"/>
    <x v="5"/>
    <x v="411"/>
    <x v="13"/>
    <x v="0"/>
    <x v="0"/>
    <m/>
    <x v="0"/>
    <x v="0"/>
    <x v="0"/>
    <x v="0"/>
    <x v="2"/>
    <x v="2"/>
    <x v="2"/>
    <x v="2"/>
    <x v="4"/>
    <x v="7"/>
    <x v="1"/>
    <x v="4"/>
    <x v="3"/>
    <x v="1"/>
    <x v="0"/>
    <x v="0"/>
    <x v="0"/>
    <n v="28"/>
    <x v="2"/>
    <x v="2"/>
    <x v="2"/>
  </r>
  <r>
    <s v="62a993537dc029e2d674e9b5"/>
    <s v="anonymous"/>
    <x v="5"/>
    <x v="412"/>
    <x v="30"/>
    <x v="0"/>
    <x v="0"/>
    <m/>
    <x v="0"/>
    <x v="0"/>
    <x v="0"/>
    <x v="1"/>
    <x v="6"/>
    <x v="6"/>
    <x v="5"/>
    <x v="0"/>
    <x v="6"/>
    <x v="5"/>
    <x v="1"/>
    <x v="4"/>
    <x v="4"/>
    <x v="7"/>
    <x v="4"/>
    <x v="1"/>
    <x v="1"/>
    <n v="38"/>
    <x v="2"/>
    <x v="3"/>
    <x v="2"/>
  </r>
  <r>
    <s v="62a9bb81bc6861bf3180079c"/>
    <s v="anonymous"/>
    <x v="5"/>
    <x v="413"/>
    <x v="78"/>
    <x v="0"/>
    <x v="0"/>
    <m/>
    <x v="0"/>
    <x v="0"/>
    <x v="0"/>
    <x v="1"/>
    <x v="2"/>
    <x v="2"/>
    <x v="1"/>
    <x v="0"/>
    <x v="4"/>
    <x v="3"/>
    <x v="1"/>
    <x v="0"/>
    <x v="5"/>
    <x v="10"/>
    <x v="1"/>
    <x v="3"/>
    <x v="0"/>
    <n v="22"/>
    <x v="2"/>
    <x v="2"/>
    <x v="0"/>
  </r>
  <r>
    <s v="62a9c880f408bae018f6aa1b"/>
    <s v="anonymous"/>
    <x v="5"/>
    <x v="414"/>
    <x v="63"/>
    <x v="0"/>
    <x v="0"/>
    <m/>
    <x v="0"/>
    <x v="0"/>
    <x v="0"/>
    <x v="0"/>
    <x v="5"/>
    <x v="5"/>
    <x v="2"/>
    <x v="0"/>
    <x v="7"/>
    <x v="2"/>
    <x v="7"/>
    <x v="7"/>
    <x v="10"/>
    <x v="6"/>
    <x v="3"/>
    <x v="2"/>
    <x v="0"/>
    <n v="34"/>
    <x v="0"/>
    <x v="2"/>
    <x v="3"/>
  </r>
  <r>
    <s v="62a9e206f3072dd8926bce70"/>
    <s v="anonymous"/>
    <x v="5"/>
    <x v="415"/>
    <x v="24"/>
    <x v="0"/>
    <x v="0"/>
    <m/>
    <x v="0"/>
    <x v="0"/>
    <x v="0"/>
    <x v="1"/>
    <x v="2"/>
    <x v="2"/>
    <x v="4"/>
    <x v="0"/>
    <x v="6"/>
    <x v="2"/>
    <x v="5"/>
    <x v="0"/>
    <x v="2"/>
    <x v="6"/>
    <x v="1"/>
    <x v="2"/>
    <x v="0"/>
    <n v="26"/>
    <x v="2"/>
    <x v="2"/>
    <x v="1"/>
  </r>
  <r>
    <s v="62a9f0172e54c9003e5cdc25"/>
    <s v="anonymous"/>
    <x v="5"/>
    <x v="89"/>
    <x v="15"/>
    <x v="0"/>
    <x v="0"/>
    <m/>
    <x v="0"/>
    <x v="0"/>
    <x v="0"/>
    <x v="0"/>
    <x v="6"/>
    <x v="6"/>
    <x v="4"/>
    <x v="0"/>
    <x v="8"/>
    <x v="0"/>
    <x v="0"/>
    <x v="8"/>
    <x v="6"/>
    <x v="6"/>
    <x v="4"/>
    <x v="2"/>
    <x v="1"/>
    <n v="26"/>
    <x v="1"/>
    <x v="2"/>
    <x v="1"/>
  </r>
  <r>
    <s v="62a9f8a4cf2555431739d694"/>
    <s v="anonymous"/>
    <x v="5"/>
    <x v="105"/>
    <x v="19"/>
    <x v="0"/>
    <x v="0"/>
    <m/>
    <x v="0"/>
    <x v="0"/>
    <x v="1"/>
    <x v="1"/>
    <x v="6"/>
    <x v="6"/>
    <x v="5"/>
    <x v="0"/>
    <x v="3"/>
    <x v="8"/>
    <x v="6"/>
    <x v="7"/>
    <x v="10"/>
    <x v="2"/>
    <x v="3"/>
    <x v="0"/>
    <x v="0"/>
    <n v="25"/>
    <x v="2"/>
    <x v="2"/>
    <x v="4"/>
  </r>
  <r>
    <s v="62aa121dcec54911e9d446cc"/>
    <s v="anonymous"/>
    <x v="5"/>
    <x v="139"/>
    <x v="156"/>
    <x v="0"/>
    <x v="0"/>
    <m/>
    <x v="0"/>
    <x v="0"/>
    <x v="3"/>
    <x v="0"/>
    <x v="4"/>
    <x v="4"/>
    <x v="4"/>
    <x v="0"/>
    <x v="8"/>
    <x v="5"/>
    <x v="0"/>
    <x v="3"/>
    <x v="0"/>
    <x v="1"/>
    <x v="1"/>
    <x v="4"/>
    <x v="0"/>
    <n v="34"/>
    <x v="0"/>
    <x v="2"/>
    <x v="2"/>
  </r>
  <r>
    <s v="62aa1734f3072dd8926c4168"/>
    <s v="anonymous"/>
    <x v="5"/>
    <x v="311"/>
    <x v="196"/>
    <x v="0"/>
    <x v="0"/>
    <m/>
    <x v="0"/>
    <x v="0"/>
    <x v="2"/>
    <x v="0"/>
    <x v="1"/>
    <x v="1"/>
    <x v="1"/>
    <x v="2"/>
    <x v="7"/>
    <x v="8"/>
    <x v="6"/>
    <x v="2"/>
    <x v="7"/>
    <x v="5"/>
    <x v="4"/>
    <x v="1"/>
    <x v="1"/>
    <n v="32"/>
    <x v="2"/>
    <x v="2"/>
    <x v="3"/>
  </r>
  <r>
    <s v="62aa21e218134ddc75d8be11"/>
    <s v="anonymous"/>
    <x v="5"/>
    <x v="163"/>
    <x v="6"/>
    <x v="0"/>
    <x v="0"/>
    <m/>
    <x v="0"/>
    <x v="0"/>
    <x v="4"/>
    <x v="1"/>
    <x v="2"/>
    <x v="2"/>
    <x v="6"/>
    <x v="1"/>
    <x v="4"/>
    <x v="1"/>
    <x v="8"/>
    <x v="1"/>
    <x v="8"/>
    <x v="4"/>
    <x v="3"/>
    <x v="2"/>
    <x v="0"/>
    <n v="24"/>
    <x v="0"/>
    <x v="4"/>
    <x v="2"/>
  </r>
  <r>
    <s v="62aa29852e54c9003e5d50b5"/>
    <s v="anonymous"/>
    <x v="5"/>
    <x v="171"/>
    <x v="197"/>
    <x v="0"/>
    <x v="0"/>
    <m/>
    <x v="0"/>
    <x v="0"/>
    <x v="1"/>
    <x v="0"/>
    <x v="2"/>
    <x v="2"/>
    <x v="4"/>
    <x v="0"/>
    <x v="7"/>
    <x v="5"/>
    <x v="3"/>
    <x v="1"/>
    <x v="0"/>
    <x v="6"/>
    <x v="3"/>
    <x v="2"/>
    <x v="0"/>
    <n v="26"/>
    <x v="2"/>
    <x v="2"/>
    <x v="3"/>
  </r>
  <r>
    <s v="62aa2f44bc6861bf3180fd06"/>
    <s v="anonymous"/>
    <x v="5"/>
    <x v="416"/>
    <x v="84"/>
    <x v="0"/>
    <x v="0"/>
    <m/>
    <x v="0"/>
    <x v="0"/>
    <x v="0"/>
    <x v="0"/>
    <x v="1"/>
    <x v="1"/>
    <x v="3"/>
    <x v="2"/>
    <x v="5"/>
    <x v="10"/>
    <x v="1"/>
    <x v="5"/>
    <x v="7"/>
    <x v="10"/>
    <x v="3"/>
    <x v="2"/>
    <x v="1"/>
    <n v="32"/>
    <x v="2"/>
    <x v="3"/>
    <x v="2"/>
  </r>
  <r>
    <s v="62aa3454bae91e4b8b8d3249"/>
    <s v="anonymous"/>
    <x v="5"/>
    <x v="417"/>
    <x v="88"/>
    <x v="0"/>
    <x v="0"/>
    <m/>
    <x v="0"/>
    <x v="0"/>
    <x v="3"/>
    <x v="1"/>
    <x v="1"/>
    <x v="1"/>
    <x v="4"/>
    <x v="1"/>
    <x v="8"/>
    <x v="9"/>
    <x v="0"/>
    <x v="9"/>
    <x v="1"/>
    <x v="4"/>
    <x v="4"/>
    <x v="1"/>
    <x v="0"/>
    <n v="40"/>
    <x v="2"/>
    <x v="3"/>
    <x v="0"/>
  </r>
  <r>
    <s v="62aa34e8f3072dd8926c7d56"/>
    <s v="anonymous"/>
    <x v="5"/>
    <x v="418"/>
    <x v="134"/>
    <x v="0"/>
    <x v="0"/>
    <m/>
    <x v="0"/>
    <x v="0"/>
    <x v="0"/>
    <x v="1"/>
    <x v="2"/>
    <x v="2"/>
    <x v="2"/>
    <x v="0"/>
    <x v="2"/>
    <x v="10"/>
    <x v="9"/>
    <x v="5"/>
    <x v="3"/>
    <x v="9"/>
    <x v="1"/>
    <x v="2"/>
    <x v="0"/>
    <n v="27"/>
    <x v="0"/>
    <x v="2"/>
    <x v="2"/>
  </r>
  <r>
    <s v="62aa356ff8d5efcc22020832"/>
    <s v="anonymous"/>
    <x v="5"/>
    <x v="185"/>
    <x v="54"/>
    <x v="0"/>
    <x v="0"/>
    <m/>
    <x v="0"/>
    <x v="0"/>
    <x v="0"/>
    <x v="0"/>
    <x v="6"/>
    <x v="6"/>
    <x v="4"/>
    <x v="1"/>
    <x v="5"/>
    <x v="5"/>
    <x v="4"/>
    <x v="8"/>
    <x v="7"/>
    <x v="0"/>
    <x v="1"/>
    <x v="2"/>
    <x v="0"/>
    <n v="28"/>
    <x v="0"/>
    <x v="3"/>
    <x v="2"/>
  </r>
  <r>
    <s v="62aa3e6824a26260274264da"/>
    <s v="anonymous"/>
    <x v="5"/>
    <x v="419"/>
    <x v="198"/>
    <x v="0"/>
    <x v="0"/>
    <m/>
    <x v="0"/>
    <x v="0"/>
    <x v="0"/>
    <x v="0"/>
    <x v="2"/>
    <x v="2"/>
    <x v="2"/>
    <x v="0"/>
    <x v="1"/>
    <x v="0"/>
    <x v="1"/>
    <x v="0"/>
    <x v="1"/>
    <x v="3"/>
    <x v="3"/>
    <x v="2"/>
    <x v="0"/>
    <n v="30"/>
    <x v="2"/>
    <x v="2"/>
    <x v="4"/>
  </r>
  <r>
    <s v="62aa4790f8d5efcc2202266e"/>
    <s v="anonymous"/>
    <x v="5"/>
    <x v="420"/>
    <x v="79"/>
    <x v="0"/>
    <x v="0"/>
    <m/>
    <x v="0"/>
    <x v="0"/>
    <x v="0"/>
    <x v="0"/>
    <x v="2"/>
    <x v="2"/>
    <x v="2"/>
    <x v="0"/>
    <x v="2"/>
    <x v="3"/>
    <x v="1"/>
    <x v="0"/>
    <x v="0"/>
    <x v="10"/>
    <x v="3"/>
    <x v="0"/>
    <x v="0"/>
    <n v="37"/>
    <x v="0"/>
    <x v="2"/>
    <x v="0"/>
  </r>
  <r>
    <s v="62aa5761bc6861bf318141fc"/>
    <s v="anonymous"/>
    <x v="5"/>
    <x v="421"/>
    <x v="199"/>
    <x v="0"/>
    <x v="0"/>
    <m/>
    <x v="0"/>
    <x v="0"/>
    <x v="2"/>
    <x v="1"/>
    <x v="1"/>
    <x v="1"/>
    <x v="4"/>
    <x v="3"/>
    <x v="7"/>
    <x v="10"/>
    <x v="1"/>
    <x v="0"/>
    <x v="3"/>
    <x v="9"/>
    <x v="3"/>
    <x v="3"/>
    <x v="0"/>
    <n v="32"/>
    <x v="2"/>
    <x v="2"/>
    <x v="1"/>
  </r>
  <r>
    <s v="62aa5c11f408bae018f7dec0"/>
    <s v="anonymous"/>
    <x v="5"/>
    <x v="422"/>
    <x v="155"/>
    <x v="0"/>
    <x v="0"/>
    <m/>
    <x v="0"/>
    <x v="0"/>
    <x v="0"/>
    <x v="0"/>
    <x v="1"/>
    <x v="1"/>
    <x v="4"/>
    <x v="0"/>
    <x v="0"/>
    <x v="10"/>
    <x v="6"/>
    <x v="2"/>
    <x v="0"/>
    <x v="8"/>
    <x v="4"/>
    <x v="2"/>
    <x v="0"/>
    <n v="24"/>
    <x v="2"/>
    <x v="2"/>
    <x v="4"/>
  </r>
  <r>
    <s v="62aa956ef8d5efcc22028e3d"/>
    <s v="anonymous"/>
    <x v="5"/>
    <x v="237"/>
    <x v="101"/>
    <x v="0"/>
    <x v="0"/>
    <m/>
    <x v="0"/>
    <x v="0"/>
    <x v="0"/>
    <x v="0"/>
    <x v="2"/>
    <x v="2"/>
    <x v="4"/>
    <x v="0"/>
    <x v="9"/>
    <x v="10"/>
    <x v="0"/>
    <x v="8"/>
    <x v="0"/>
    <x v="10"/>
    <x v="4"/>
    <x v="2"/>
    <x v="0"/>
    <n v="39"/>
    <x v="2"/>
    <x v="4"/>
    <x v="0"/>
  </r>
  <r>
    <s v="62aa95970a77c1a77f709268"/>
    <s v="anonymous"/>
    <x v="5"/>
    <x v="237"/>
    <x v="200"/>
    <x v="0"/>
    <x v="0"/>
    <m/>
    <x v="0"/>
    <x v="0"/>
    <x v="0"/>
    <x v="0"/>
    <x v="4"/>
    <x v="4"/>
    <x v="1"/>
    <x v="0"/>
    <x v="9"/>
    <x v="2"/>
    <x v="0"/>
    <x v="3"/>
    <x v="7"/>
    <x v="4"/>
    <x v="1"/>
    <x v="4"/>
    <x v="0"/>
    <n v="34"/>
    <x v="2"/>
    <x v="2"/>
    <x v="1"/>
  </r>
  <r>
    <s v="62aa98bfcf255543173adbdc"/>
    <s v="anonymous"/>
    <x v="5"/>
    <x v="333"/>
    <x v="27"/>
    <x v="0"/>
    <x v="0"/>
    <m/>
    <x v="0"/>
    <x v="0"/>
    <x v="0"/>
    <x v="1"/>
    <x v="1"/>
    <x v="1"/>
    <x v="2"/>
    <x v="0"/>
    <x v="8"/>
    <x v="3"/>
    <x v="6"/>
    <x v="8"/>
    <x v="4"/>
    <x v="1"/>
    <x v="4"/>
    <x v="0"/>
    <x v="0"/>
    <n v="27"/>
    <x v="0"/>
    <x v="2"/>
    <x v="2"/>
  </r>
  <r>
    <s v="62aaa387f8d5efcc22029fcb"/>
    <s v="anonymous"/>
    <x v="5"/>
    <x v="423"/>
    <x v="92"/>
    <x v="0"/>
    <x v="0"/>
    <m/>
    <x v="0"/>
    <x v="0"/>
    <x v="0"/>
    <x v="0"/>
    <x v="6"/>
    <x v="6"/>
    <x v="0"/>
    <x v="2"/>
    <x v="7"/>
    <x v="10"/>
    <x v="2"/>
    <x v="8"/>
    <x v="2"/>
    <x v="0"/>
    <x v="3"/>
    <x v="2"/>
    <x v="0"/>
    <n v="54"/>
    <x v="0"/>
    <x v="1"/>
    <x v="0"/>
  </r>
  <r>
    <s v="62aaa86bbae91e4b8b8dc832"/>
    <s v="anonymous"/>
    <x v="5"/>
    <x v="424"/>
    <x v="191"/>
    <x v="0"/>
    <x v="0"/>
    <m/>
    <x v="0"/>
    <x v="0"/>
    <x v="4"/>
    <x v="1"/>
    <x v="2"/>
    <x v="2"/>
    <x v="4"/>
    <x v="0"/>
    <x v="2"/>
    <x v="11"/>
    <x v="11"/>
    <x v="11"/>
    <x v="11"/>
    <x v="11"/>
    <x v="3"/>
    <x v="0"/>
    <x v="1"/>
    <n v="20"/>
    <x v="4"/>
    <x v="2"/>
    <x v="1"/>
  </r>
  <r>
    <s v="62aacd922e54c9003e5e33c2"/>
    <s v="anonymous"/>
    <x v="6"/>
    <x v="425"/>
    <x v="69"/>
    <x v="0"/>
    <x v="0"/>
    <m/>
    <x v="0"/>
    <x v="0"/>
    <x v="4"/>
    <x v="0"/>
    <x v="2"/>
    <x v="2"/>
    <x v="1"/>
    <x v="2"/>
    <x v="6"/>
    <x v="5"/>
    <x v="3"/>
    <x v="4"/>
    <x v="4"/>
    <x v="1"/>
    <x v="4"/>
    <x v="1"/>
    <x v="0"/>
    <n v="25"/>
    <x v="4"/>
    <x v="3"/>
    <x v="1"/>
  </r>
  <r>
    <s v="62aaeecd0f8c8599d5ba6923"/>
    <s v="anonymous"/>
    <x v="6"/>
    <x v="426"/>
    <x v="130"/>
    <x v="0"/>
    <x v="0"/>
    <m/>
    <x v="0"/>
    <x v="0"/>
    <x v="4"/>
    <x v="1"/>
    <x v="2"/>
    <x v="2"/>
    <x v="4"/>
    <x v="0"/>
    <x v="7"/>
    <x v="10"/>
    <x v="8"/>
    <x v="1"/>
    <x v="2"/>
    <x v="6"/>
    <x v="1"/>
    <x v="1"/>
    <x v="0"/>
    <n v="33"/>
    <x v="4"/>
    <x v="2"/>
    <x v="1"/>
  </r>
  <r>
    <s v="62aaf8397dc029e2d6773cde"/>
    <s v="anonymous"/>
    <x v="6"/>
    <x v="427"/>
    <x v="92"/>
    <x v="0"/>
    <x v="0"/>
    <m/>
    <x v="0"/>
    <x v="0"/>
    <x v="0"/>
    <x v="0"/>
    <x v="1"/>
    <x v="1"/>
    <x v="4"/>
    <x v="0"/>
    <x v="5"/>
    <x v="2"/>
    <x v="5"/>
    <x v="6"/>
    <x v="9"/>
    <x v="2"/>
    <x v="2"/>
    <x v="0"/>
    <x v="0"/>
    <n v="30"/>
    <x v="3"/>
    <x v="3"/>
    <x v="0"/>
  </r>
  <r>
    <s v="62aaff342e54c9003e5e79b8"/>
    <s v="anonymous"/>
    <x v="6"/>
    <x v="428"/>
    <x v="201"/>
    <x v="0"/>
    <x v="0"/>
    <m/>
    <x v="0"/>
    <x v="0"/>
    <x v="4"/>
    <x v="0"/>
    <x v="2"/>
    <x v="2"/>
    <x v="4"/>
    <x v="0"/>
    <x v="2"/>
    <x v="4"/>
    <x v="8"/>
    <x v="10"/>
    <x v="1"/>
    <x v="1"/>
    <x v="4"/>
    <x v="2"/>
    <x v="0"/>
    <n v="31"/>
    <x v="2"/>
    <x v="1"/>
    <x v="2"/>
  </r>
  <r>
    <s v="62ab0bdc575fa3a5ae9413e5"/>
    <s v="anonymous"/>
    <x v="6"/>
    <x v="429"/>
    <x v="126"/>
    <x v="0"/>
    <x v="0"/>
    <m/>
    <x v="0"/>
    <x v="0"/>
    <x v="4"/>
    <x v="0"/>
    <x v="2"/>
    <x v="2"/>
    <x v="2"/>
    <x v="0"/>
    <x v="8"/>
    <x v="3"/>
    <x v="1"/>
    <x v="5"/>
    <x v="8"/>
    <x v="3"/>
    <x v="3"/>
    <x v="0"/>
    <x v="0"/>
    <n v="22"/>
    <x v="2"/>
    <x v="3"/>
    <x v="4"/>
  </r>
  <r>
    <s v="62ab1cb0cec54911e9d5d187"/>
    <s v="anonymous"/>
    <x v="6"/>
    <x v="430"/>
    <x v="9"/>
    <x v="0"/>
    <x v="0"/>
    <m/>
    <x v="0"/>
    <x v="0"/>
    <x v="0"/>
    <x v="0"/>
    <x v="6"/>
    <x v="6"/>
    <x v="4"/>
    <x v="1"/>
    <x v="10"/>
    <x v="8"/>
    <x v="6"/>
    <x v="2"/>
    <x v="6"/>
    <x v="6"/>
    <x v="4"/>
    <x v="0"/>
    <x v="1"/>
    <n v="38"/>
    <x v="0"/>
    <x v="2"/>
    <x v="2"/>
  </r>
  <r>
    <s v="62ab3e62bae91e4b8b8ebe14"/>
    <s v="anonymous"/>
    <x v="6"/>
    <x v="83"/>
    <x v="60"/>
    <x v="0"/>
    <x v="0"/>
    <m/>
    <x v="0"/>
    <x v="0"/>
    <x v="0"/>
    <x v="1"/>
    <x v="2"/>
    <x v="2"/>
    <x v="2"/>
    <x v="0"/>
    <x v="9"/>
    <x v="0"/>
    <x v="0"/>
    <x v="8"/>
    <x v="0"/>
    <x v="8"/>
    <x v="4"/>
    <x v="1"/>
    <x v="0"/>
    <n v="22"/>
    <x v="2"/>
    <x v="2"/>
    <x v="4"/>
  </r>
  <r>
    <s v="62ab6ab318134ddc75dabb09"/>
    <s v="anonymous"/>
    <x v="6"/>
    <x v="431"/>
    <x v="25"/>
    <x v="0"/>
    <x v="0"/>
    <m/>
    <x v="0"/>
    <x v="0"/>
    <x v="3"/>
    <x v="0"/>
    <x v="2"/>
    <x v="2"/>
    <x v="7"/>
    <x v="0"/>
    <x v="4"/>
    <x v="5"/>
    <x v="2"/>
    <x v="0"/>
    <x v="4"/>
    <x v="10"/>
    <x v="2"/>
    <x v="2"/>
    <x v="0"/>
    <n v="33"/>
    <x v="4"/>
    <x v="2"/>
    <x v="1"/>
  </r>
  <r>
    <s v="62ab83a7d8c00e9f54263d2e"/>
    <s v="anonymous"/>
    <x v="6"/>
    <x v="181"/>
    <x v="40"/>
    <x v="0"/>
    <x v="0"/>
    <m/>
    <x v="0"/>
    <x v="0"/>
    <x v="0"/>
    <x v="0"/>
    <x v="1"/>
    <x v="1"/>
    <x v="4"/>
    <x v="0"/>
    <x v="6"/>
    <x v="3"/>
    <x v="4"/>
    <x v="5"/>
    <x v="0"/>
    <x v="5"/>
    <x v="4"/>
    <x v="2"/>
    <x v="0"/>
    <n v="27"/>
    <x v="1"/>
    <x v="2"/>
    <x v="0"/>
  </r>
  <r>
    <s v="62ab8bf65d257a28a319e9cb"/>
    <s v="anonymous"/>
    <x v="6"/>
    <x v="432"/>
    <x v="22"/>
    <x v="0"/>
    <x v="0"/>
    <m/>
    <x v="0"/>
    <x v="0"/>
    <x v="0"/>
    <x v="1"/>
    <x v="2"/>
    <x v="2"/>
    <x v="4"/>
    <x v="1"/>
    <x v="2"/>
    <x v="3"/>
    <x v="3"/>
    <x v="10"/>
    <x v="3"/>
    <x v="2"/>
    <x v="4"/>
    <x v="0"/>
    <x v="0"/>
    <n v="19"/>
    <x v="2"/>
    <x v="2"/>
    <x v="0"/>
  </r>
  <r>
    <s v="62abec6cf3072dd8926f2ad0"/>
    <s v="anonymous"/>
    <x v="6"/>
    <x v="433"/>
    <x v="13"/>
    <x v="0"/>
    <x v="0"/>
    <m/>
    <x v="0"/>
    <x v="0"/>
    <x v="2"/>
    <x v="1"/>
    <x v="2"/>
    <x v="2"/>
    <x v="2"/>
    <x v="0"/>
    <x v="1"/>
    <x v="3"/>
    <x v="8"/>
    <x v="0"/>
    <x v="1"/>
    <x v="9"/>
    <x v="4"/>
    <x v="2"/>
    <x v="0"/>
    <n v="24"/>
    <x v="4"/>
    <x v="2"/>
    <x v="4"/>
  </r>
  <r>
    <s v="62abee280f8c8599d5bc246d"/>
    <s v="anonymous"/>
    <x v="6"/>
    <x v="434"/>
    <x v="186"/>
    <x v="0"/>
    <x v="0"/>
    <m/>
    <x v="0"/>
    <x v="0"/>
    <x v="2"/>
    <x v="1"/>
    <x v="3"/>
    <x v="3"/>
    <x v="1"/>
    <x v="2"/>
    <x v="10"/>
    <x v="8"/>
    <x v="7"/>
    <x v="2"/>
    <x v="6"/>
    <x v="2"/>
    <x v="2"/>
    <x v="3"/>
    <x v="1"/>
    <n v="58"/>
    <x v="0"/>
    <x v="3"/>
    <x v="0"/>
  </r>
  <r>
    <s v="62acc1f0cf255543173e59f7"/>
    <s v="anonymous"/>
    <x v="7"/>
    <x v="360"/>
    <x v="27"/>
    <x v="0"/>
    <x v="0"/>
    <m/>
    <x v="0"/>
    <x v="0"/>
    <x v="0"/>
    <x v="1"/>
    <x v="2"/>
    <x v="2"/>
    <x v="4"/>
    <x v="0"/>
    <x v="4"/>
    <x v="1"/>
    <x v="1"/>
    <x v="5"/>
    <x v="5"/>
    <x v="1"/>
    <x v="4"/>
    <x v="1"/>
    <x v="0"/>
    <n v="22"/>
    <x v="2"/>
    <x v="2"/>
    <x v="2"/>
  </r>
  <r>
    <s v="62ace61d575fa3a5ae972d57"/>
    <s v="anonymous"/>
    <x v="7"/>
    <x v="435"/>
    <x v="87"/>
    <x v="0"/>
    <x v="0"/>
    <m/>
    <x v="0"/>
    <x v="0"/>
    <x v="0"/>
    <x v="1"/>
    <x v="5"/>
    <x v="5"/>
    <x v="4"/>
    <x v="0"/>
    <x v="5"/>
    <x v="4"/>
    <x v="2"/>
    <x v="3"/>
    <x v="4"/>
    <x v="7"/>
    <x v="4"/>
    <x v="2"/>
    <x v="0"/>
    <n v="26"/>
    <x v="2"/>
    <x v="3"/>
    <x v="1"/>
  </r>
  <r>
    <s v="62acf0890f8c8599d5bdce87"/>
    <s v="anonymous"/>
    <x v="7"/>
    <x v="436"/>
    <x v="165"/>
    <x v="0"/>
    <x v="0"/>
    <m/>
    <x v="0"/>
    <x v="0"/>
    <x v="2"/>
    <x v="1"/>
    <x v="1"/>
    <x v="1"/>
    <x v="4"/>
    <x v="2"/>
    <x v="5"/>
    <x v="6"/>
    <x v="2"/>
    <x v="0"/>
    <x v="0"/>
    <x v="1"/>
    <x v="1"/>
    <x v="3"/>
    <x v="1"/>
    <n v="31"/>
    <x v="3"/>
    <x v="2"/>
    <x v="0"/>
  </r>
  <r>
    <s v="62ad591424a2626027471080"/>
    <s v="anonymous"/>
    <x v="8"/>
    <x v="437"/>
    <x v="63"/>
    <x v="0"/>
    <x v="0"/>
    <m/>
    <x v="0"/>
    <x v="0"/>
    <x v="0"/>
    <x v="1"/>
    <x v="1"/>
    <x v="1"/>
    <x v="8"/>
    <x v="0"/>
    <x v="4"/>
    <x v="1"/>
    <x v="2"/>
    <x v="0"/>
    <x v="1"/>
    <x v="3"/>
    <x v="4"/>
    <x v="2"/>
    <x v="0"/>
    <n v="23"/>
    <x v="0"/>
    <x v="1"/>
    <x v="3"/>
  </r>
  <r>
    <s v="62ade22318134ddc75de385f"/>
    <s v="anonymous"/>
    <x v="8"/>
    <x v="84"/>
    <x v="25"/>
    <x v="0"/>
    <x v="0"/>
    <m/>
    <x v="0"/>
    <x v="0"/>
    <x v="0"/>
    <x v="1"/>
    <x v="5"/>
    <x v="5"/>
    <x v="0"/>
    <x v="0"/>
    <x v="7"/>
    <x v="8"/>
    <x v="6"/>
    <x v="2"/>
    <x v="2"/>
    <x v="8"/>
    <x v="4"/>
    <x v="0"/>
    <x v="1"/>
    <n v="31"/>
    <x v="0"/>
    <x v="3"/>
    <x v="1"/>
  </r>
  <r>
    <s v="62adf26f18134ddc75de4bb4"/>
    <s v="anonymous"/>
    <x v="8"/>
    <x v="438"/>
    <x v="21"/>
    <x v="0"/>
    <x v="0"/>
    <m/>
    <x v="0"/>
    <x v="0"/>
    <x v="4"/>
    <x v="1"/>
    <x v="6"/>
    <x v="6"/>
    <x v="6"/>
    <x v="2"/>
    <x v="8"/>
    <x v="6"/>
    <x v="0"/>
    <x v="8"/>
    <x v="10"/>
    <x v="2"/>
    <x v="3"/>
    <x v="2"/>
    <x v="1"/>
    <n v="24"/>
    <x v="0"/>
    <x v="2"/>
    <x v="1"/>
  </r>
  <r>
    <s v="62ae680024a2626027483ebc"/>
    <s v="anonymous"/>
    <x v="8"/>
    <x v="439"/>
    <x v="125"/>
    <x v="0"/>
    <x v="0"/>
    <m/>
    <x v="0"/>
    <x v="0"/>
    <x v="2"/>
    <x v="0"/>
    <x v="1"/>
    <x v="1"/>
    <x v="1"/>
    <x v="0"/>
    <x v="10"/>
    <x v="8"/>
    <x v="6"/>
    <x v="2"/>
    <x v="9"/>
    <x v="2"/>
    <x v="4"/>
    <x v="2"/>
    <x v="0"/>
    <n v="29"/>
    <x v="2"/>
    <x v="2"/>
    <x v="3"/>
  </r>
  <r>
    <s v="62aee103f8f756164595adb8"/>
    <s v="anonymous"/>
    <x v="9"/>
    <x v="440"/>
    <x v="25"/>
    <x v="0"/>
    <x v="0"/>
    <m/>
    <x v="0"/>
    <x v="0"/>
    <x v="4"/>
    <x v="0"/>
    <x v="2"/>
    <x v="2"/>
    <x v="5"/>
    <x v="0"/>
    <x v="7"/>
    <x v="2"/>
    <x v="7"/>
    <x v="6"/>
    <x v="10"/>
    <x v="2"/>
    <x v="3"/>
    <x v="1"/>
    <x v="0"/>
    <n v="26"/>
    <x v="2"/>
    <x v="2"/>
    <x v="1"/>
  </r>
  <r>
    <s v="62af07be7dc029e2d67cc3c8"/>
    <s v="anonymous"/>
    <x v="9"/>
    <x v="441"/>
    <x v="36"/>
    <x v="0"/>
    <x v="0"/>
    <m/>
    <x v="0"/>
    <x v="0"/>
    <x v="4"/>
    <x v="0"/>
    <x v="2"/>
    <x v="2"/>
    <x v="2"/>
    <x v="0"/>
    <x v="6"/>
    <x v="0"/>
    <x v="7"/>
    <x v="7"/>
    <x v="10"/>
    <x v="6"/>
    <x v="4"/>
    <x v="2"/>
    <x v="0"/>
    <n v="20"/>
    <x v="4"/>
    <x v="1"/>
    <x v="1"/>
  </r>
  <r>
    <s v="62af10295d257a28a31e6ff8"/>
    <s v="anonymous"/>
    <x v="9"/>
    <x v="442"/>
    <x v="13"/>
    <x v="0"/>
    <x v="0"/>
    <m/>
    <x v="0"/>
    <x v="0"/>
    <x v="0"/>
    <x v="0"/>
    <x v="2"/>
    <x v="2"/>
    <x v="5"/>
    <x v="0"/>
    <x v="2"/>
    <x v="1"/>
    <x v="3"/>
    <x v="1"/>
    <x v="7"/>
    <x v="4"/>
    <x v="4"/>
    <x v="2"/>
    <x v="0"/>
    <n v="23"/>
    <x v="4"/>
    <x v="2"/>
    <x v="1"/>
  </r>
  <r>
    <s v="62af387018134ddc75df894e"/>
    <s v="anonymous"/>
    <x v="9"/>
    <x v="93"/>
    <x v="21"/>
    <x v="0"/>
    <x v="0"/>
    <m/>
    <x v="0"/>
    <x v="0"/>
    <x v="0"/>
    <x v="1"/>
    <x v="0"/>
    <x v="0"/>
    <x v="4"/>
    <x v="0"/>
    <x v="10"/>
    <x v="2"/>
    <x v="7"/>
    <x v="6"/>
    <x v="2"/>
    <x v="0"/>
    <x v="4"/>
    <x v="1"/>
    <x v="0"/>
    <n v="33"/>
    <x v="0"/>
    <x v="3"/>
    <x v="0"/>
  </r>
  <r>
    <s v="62af49025d257a28a31eb2f1"/>
    <s v="anonymous"/>
    <x v="9"/>
    <x v="124"/>
    <x v="115"/>
    <x v="0"/>
    <x v="0"/>
    <m/>
    <x v="0"/>
    <x v="0"/>
    <x v="4"/>
    <x v="0"/>
    <x v="2"/>
    <x v="2"/>
    <x v="4"/>
    <x v="0"/>
    <x v="4"/>
    <x v="5"/>
    <x v="3"/>
    <x v="0"/>
    <x v="0"/>
    <x v="6"/>
    <x v="1"/>
    <x v="0"/>
    <x v="0"/>
    <n v="26"/>
    <x v="2"/>
    <x v="2"/>
    <x v="2"/>
  </r>
  <r>
    <s v="62af53ce0f8c8599d5c04934"/>
    <s v="anonymous"/>
    <x v="9"/>
    <x v="307"/>
    <x v="86"/>
    <x v="0"/>
    <x v="0"/>
    <m/>
    <x v="0"/>
    <x v="0"/>
    <x v="0"/>
    <x v="0"/>
    <x v="2"/>
    <x v="2"/>
    <x v="2"/>
    <x v="1"/>
    <x v="6"/>
    <x v="0"/>
    <x v="5"/>
    <x v="6"/>
    <x v="5"/>
    <x v="10"/>
    <x v="3"/>
    <x v="2"/>
    <x v="0"/>
    <n v="27"/>
    <x v="4"/>
    <x v="2"/>
    <x v="1"/>
  </r>
  <r>
    <s v="62af6371f8d5efcc2208e923"/>
    <s v="anonymous"/>
    <x v="9"/>
    <x v="443"/>
    <x v="23"/>
    <x v="0"/>
    <x v="0"/>
    <m/>
    <x v="0"/>
    <x v="0"/>
    <x v="4"/>
    <x v="1"/>
    <x v="2"/>
    <x v="2"/>
    <x v="8"/>
    <x v="2"/>
    <x v="2"/>
    <x v="2"/>
    <x v="5"/>
    <x v="6"/>
    <x v="6"/>
    <x v="8"/>
    <x v="4"/>
    <x v="2"/>
    <x v="0"/>
    <n v="22"/>
    <x v="2"/>
    <x v="2"/>
    <x v="1"/>
  </r>
  <r>
    <s v="62af9ed7f3072dd892739279"/>
    <s v="anonymous"/>
    <x v="9"/>
    <x v="444"/>
    <x v="165"/>
    <x v="0"/>
    <x v="0"/>
    <m/>
    <x v="0"/>
    <x v="0"/>
    <x v="0"/>
    <x v="0"/>
    <x v="2"/>
    <x v="2"/>
    <x v="4"/>
    <x v="0"/>
    <x v="6"/>
    <x v="0"/>
    <x v="7"/>
    <x v="5"/>
    <x v="10"/>
    <x v="7"/>
    <x v="1"/>
    <x v="2"/>
    <x v="0"/>
    <n v="23"/>
    <x v="2"/>
    <x v="3"/>
    <x v="0"/>
  </r>
  <r>
    <s v="62b152960f8c8599d5c31550"/>
    <s v="anonymous"/>
    <x v="10"/>
    <x v="445"/>
    <x v="120"/>
    <x v="0"/>
    <x v="0"/>
    <m/>
    <x v="0"/>
    <x v="0"/>
    <x v="2"/>
    <x v="0"/>
    <x v="2"/>
    <x v="2"/>
    <x v="2"/>
    <x v="0"/>
    <x v="6"/>
    <x v="3"/>
    <x v="0"/>
    <x v="0"/>
    <x v="7"/>
    <x v="7"/>
    <x v="4"/>
    <x v="2"/>
    <x v="0"/>
    <n v="28"/>
    <x v="2"/>
    <x v="2"/>
    <x v="3"/>
  </r>
  <r>
    <s v="62b16a5c5d257a28a321a74c"/>
    <s v="anonymous"/>
    <x v="10"/>
    <x v="446"/>
    <x v="32"/>
    <x v="0"/>
    <x v="0"/>
    <m/>
    <x v="0"/>
    <x v="0"/>
    <x v="0"/>
    <x v="1"/>
    <x v="1"/>
    <x v="1"/>
    <x v="1"/>
    <x v="2"/>
    <x v="7"/>
    <x v="6"/>
    <x v="2"/>
    <x v="5"/>
    <x v="7"/>
    <x v="5"/>
    <x v="1"/>
    <x v="1"/>
    <x v="1"/>
    <n v="39"/>
    <x v="2"/>
    <x v="3"/>
    <x v="0"/>
  </r>
  <r>
    <s v="62b21d40bae91e4b8b985154"/>
    <s v="anonymous"/>
    <x v="10"/>
    <x v="417"/>
    <x v="175"/>
    <x v="0"/>
    <x v="0"/>
    <m/>
    <x v="0"/>
    <x v="0"/>
    <x v="2"/>
    <x v="1"/>
    <x v="0"/>
    <x v="0"/>
    <x v="2"/>
    <x v="0"/>
    <x v="6"/>
    <x v="1"/>
    <x v="1"/>
    <x v="4"/>
    <x v="4"/>
    <x v="7"/>
    <x v="4"/>
    <x v="2"/>
    <x v="0"/>
    <n v="37"/>
    <x v="0"/>
    <x v="3"/>
    <x v="0"/>
  </r>
  <r>
    <s v="62b27004bc6861bf318c9038"/>
    <s v="anonymous"/>
    <x v="10"/>
    <x v="447"/>
    <x v="33"/>
    <x v="0"/>
    <x v="0"/>
    <m/>
    <x v="0"/>
    <x v="0"/>
    <x v="6"/>
    <x v="0"/>
    <x v="1"/>
    <x v="1"/>
    <x v="5"/>
    <x v="2"/>
    <x v="5"/>
    <x v="10"/>
    <x v="0"/>
    <x v="8"/>
    <x v="2"/>
    <x v="0"/>
    <x v="3"/>
    <x v="2"/>
    <x v="1"/>
    <n v="29"/>
    <x v="0"/>
    <x v="3"/>
    <x v="0"/>
  </r>
  <r>
    <s v="62b2ea87f8d5efcc220e3e21"/>
    <s v="anonymous"/>
    <x v="11"/>
    <x v="448"/>
    <x v="13"/>
    <x v="0"/>
    <x v="0"/>
    <m/>
    <x v="0"/>
    <x v="0"/>
    <x v="0"/>
    <x v="0"/>
    <x v="0"/>
    <x v="0"/>
    <x v="1"/>
    <x v="0"/>
    <x v="8"/>
    <x v="3"/>
    <x v="4"/>
    <x v="0"/>
    <x v="7"/>
    <x v="1"/>
    <x v="1"/>
    <x v="1"/>
    <x v="0"/>
    <n v="42"/>
    <x v="0"/>
    <x v="3"/>
    <x v="0"/>
  </r>
  <r>
    <s v="62b35284cec54911e9e1818c"/>
    <s v="anonymous"/>
    <x v="11"/>
    <x v="449"/>
    <x v="40"/>
    <x v="0"/>
    <x v="0"/>
    <m/>
    <x v="0"/>
    <x v="0"/>
    <x v="4"/>
    <x v="1"/>
    <x v="2"/>
    <x v="2"/>
    <x v="4"/>
    <x v="1"/>
    <x v="2"/>
    <x v="7"/>
    <x v="10"/>
    <x v="10"/>
    <x v="3"/>
    <x v="9"/>
    <x v="4"/>
    <x v="3"/>
    <x v="1"/>
    <n v="25"/>
    <x v="1"/>
    <x v="2"/>
    <x v="1"/>
  </r>
  <r>
    <s v="62b4404df31287f32e14d1c1"/>
    <s v="anonymous"/>
    <x v="12"/>
    <x v="450"/>
    <x v="25"/>
    <x v="0"/>
    <x v="0"/>
    <m/>
    <x v="0"/>
    <x v="0"/>
    <x v="6"/>
    <x v="0"/>
    <x v="8"/>
    <x v="2"/>
    <x v="3"/>
    <x v="0"/>
    <x v="8"/>
    <x v="6"/>
    <x v="1"/>
    <x v="0"/>
    <x v="7"/>
    <x v="5"/>
    <x v="1"/>
    <x v="2"/>
    <x v="0"/>
    <n v="66"/>
    <x v="2"/>
    <x v="1"/>
    <x v="2"/>
  </r>
  <r>
    <s v="62b525563f28f20328aeee5c"/>
    <s v="anonymous"/>
    <x v="12"/>
    <x v="451"/>
    <x v="194"/>
    <x v="0"/>
    <x v="0"/>
    <m/>
    <x v="0"/>
    <x v="0"/>
    <x v="0"/>
    <x v="0"/>
    <x v="4"/>
    <x v="4"/>
    <x v="2"/>
    <x v="1"/>
    <x v="10"/>
    <x v="6"/>
    <x v="4"/>
    <x v="5"/>
    <x v="0"/>
    <x v="0"/>
    <x v="1"/>
    <x v="2"/>
    <x v="0"/>
    <n v="26"/>
    <x v="0"/>
    <x v="2"/>
    <x v="0"/>
  </r>
  <r>
    <s v="62b5a3e29bc428d5345f6e89"/>
    <s v="anonymous"/>
    <x v="13"/>
    <x v="452"/>
    <x v="168"/>
    <x v="0"/>
    <x v="0"/>
    <m/>
    <x v="0"/>
    <x v="0"/>
    <x v="2"/>
    <x v="1"/>
    <x v="2"/>
    <x v="2"/>
    <x v="2"/>
    <x v="1"/>
    <x v="5"/>
    <x v="3"/>
    <x v="0"/>
    <x v="8"/>
    <x v="7"/>
    <x v="10"/>
    <x v="3"/>
    <x v="2"/>
    <x v="0"/>
    <n v="21"/>
    <x v="0"/>
    <x v="2"/>
    <x v="0"/>
  </r>
  <r>
    <s v="62b71083f31287f32e189026"/>
    <s v="anonymous"/>
    <x v="14"/>
    <x v="54"/>
    <x v="202"/>
    <x v="0"/>
    <x v="0"/>
    <m/>
    <x v="0"/>
    <x v="0"/>
    <x v="4"/>
    <x v="0"/>
    <x v="2"/>
    <x v="2"/>
    <x v="4"/>
    <x v="0"/>
    <x v="1"/>
    <x v="1"/>
    <x v="9"/>
    <x v="1"/>
    <x v="1"/>
    <x v="4"/>
    <x v="3"/>
    <x v="2"/>
    <x v="0"/>
    <n v="26"/>
    <x v="2"/>
    <x v="2"/>
    <x v="1"/>
  </r>
  <r>
    <s v="62b795033b026e423f287ecd"/>
    <s v="anonymous"/>
    <x v="14"/>
    <x v="324"/>
    <x v="62"/>
    <x v="0"/>
    <x v="0"/>
    <m/>
    <x v="0"/>
    <x v="0"/>
    <x v="1"/>
    <x v="1"/>
    <x v="2"/>
    <x v="2"/>
    <x v="4"/>
    <x v="0"/>
    <x v="9"/>
    <x v="3"/>
    <x v="4"/>
    <x v="5"/>
    <x v="7"/>
    <x v="1"/>
    <x v="1"/>
    <x v="4"/>
    <x v="0"/>
    <n v="24"/>
    <x v="2"/>
    <x v="2"/>
    <x v="3"/>
  </r>
  <r>
    <s v="62b89039377223ff07b80fb5"/>
    <s v="anonymous"/>
    <x v="15"/>
    <x v="137"/>
    <x v="64"/>
    <x v="0"/>
    <x v="0"/>
    <m/>
    <x v="0"/>
    <x v="0"/>
    <x v="0"/>
    <x v="1"/>
    <x v="1"/>
    <x v="1"/>
    <x v="2"/>
    <x v="0"/>
    <x v="10"/>
    <x v="10"/>
    <x v="4"/>
    <x v="8"/>
    <x v="5"/>
    <x v="8"/>
    <x v="1"/>
    <x v="0"/>
    <x v="0"/>
    <n v="22"/>
    <x v="0"/>
    <x v="2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40">
  <r>
    <s v="62a33b3db4da29969c62df3d"/>
    <s v="anonymous"/>
    <d v="2022-06-10T00:00:00"/>
    <d v="1899-12-30T08:38:00"/>
    <d v="1899-12-30T00:00:44"/>
    <m/>
    <m/>
    <m/>
    <m/>
    <m/>
    <x v="0"/>
    <s v="Yes"/>
    <s v="106k-125k"/>
    <x v="0"/>
    <s v="Healthcare"/>
    <s v="Python"/>
    <n v="9"/>
    <n v="9"/>
    <n v="7"/>
    <n v="5"/>
    <x v="0"/>
    <x v="0"/>
    <s v="Very Difficult"/>
    <s v="Remote Work"/>
    <s v="Male"/>
    <n v="26"/>
    <s v="United States"/>
    <m/>
    <s v="White or Caucasian"/>
  </r>
  <r>
    <s v="62a33ba1bae91e4b8b82e35c"/>
    <s v="anonymous"/>
    <d v="2022-06-10T00:00:00"/>
    <d v="1899-12-30T08:40:00"/>
    <d v="1899-12-30T00:01:30"/>
    <m/>
    <m/>
    <m/>
    <m/>
    <m/>
    <x v="0"/>
    <s v="No"/>
    <s v="41k-65k"/>
    <x v="1"/>
    <s v="Finance"/>
    <s v="R"/>
    <n v="1"/>
    <n v="2"/>
    <n v="5"/>
    <n v="2"/>
    <x v="1"/>
    <x v="1"/>
    <s v="Very Difficult"/>
    <s v="Remote Work"/>
    <s v="Male"/>
    <n v="36"/>
    <s v="Canada"/>
    <m/>
    <s v="Asian or Asian American"/>
  </r>
  <r>
    <s v="62a33c2cbc6861bf3176bec1"/>
    <s v="anonymous"/>
    <d v="2022-06-10T00:00:00"/>
    <d v="1899-12-30T08:42:00"/>
    <d v="1899-12-30T00:02:18"/>
    <m/>
    <m/>
    <m/>
    <m/>
    <m/>
    <x v="1"/>
    <s v="No"/>
    <s v="0-40k"/>
    <x v="2"/>
    <s v="Other"/>
    <s v="Python"/>
    <n v="0"/>
    <n v="8"/>
    <n v="7"/>
    <n v="5"/>
    <x v="2"/>
    <x v="0"/>
    <s v="Easy"/>
    <s v="Good Work/Life Balance"/>
    <s v="Male"/>
    <n v="23"/>
    <s v="Other"/>
    <m/>
    <s v="Black or African American"/>
  </r>
  <r>
    <s v="62a33c8624a26260273822f9"/>
    <s v="anonymous"/>
    <d v="2022-06-10T00:00:00"/>
    <d v="1899-12-30T08:43:00"/>
    <d v="1899-12-30T00:02:10"/>
    <m/>
    <m/>
    <m/>
    <m/>
    <m/>
    <x v="2"/>
    <s v="Yes"/>
    <s v="150k-225k"/>
    <x v="3"/>
    <s v="Finance"/>
    <s v="R"/>
    <n v="10"/>
    <n v="6"/>
    <n v="7"/>
    <n v="10"/>
    <x v="2"/>
    <x v="2"/>
    <s v="Very Easy"/>
    <s v="Remote Work"/>
    <s v="Female"/>
    <n v="35"/>
    <s v="Canada"/>
    <m/>
    <s v="White or Caucasian"/>
  </r>
  <r>
    <s v="62a33c91f3072dd892621e03"/>
    <s v="anonymous"/>
    <d v="2022-06-10T00:00:00"/>
    <d v="1899-12-30T08:44:00"/>
    <d v="1899-12-30T00:01:51"/>
    <m/>
    <m/>
    <m/>
    <m/>
    <m/>
    <x v="0"/>
    <s v="Yes"/>
    <s v="41k-65k"/>
    <x v="1"/>
    <s v="Healthcare"/>
    <s v="R"/>
    <n v="1"/>
    <n v="4"/>
    <n v="4"/>
    <n v="4"/>
    <x v="3"/>
    <x v="3"/>
    <s v="Difficult"/>
    <s v="Better Salary"/>
    <s v="Male"/>
    <n v="44"/>
    <s v="United States"/>
    <m/>
    <s v="Black or African American"/>
  </r>
  <r>
    <s v="62a33cb6cf25554317300177"/>
    <s v="anonymous"/>
    <d v="2022-06-10T00:00:00"/>
    <d v="1899-12-30T08:44:00"/>
    <d v="1899-12-30T00:02:34"/>
    <m/>
    <m/>
    <m/>
    <m/>
    <m/>
    <x v="0"/>
    <s v="Yes"/>
    <s v="0-40k"/>
    <x v="2"/>
    <s v="Other"/>
    <s v="Python"/>
    <n v="2"/>
    <n v="3"/>
    <n v="3"/>
    <n v="3"/>
    <x v="4"/>
    <x v="4"/>
    <s v="Difficult"/>
    <s v="Good Work/Life Balance"/>
    <s v="Male"/>
    <n v="33"/>
    <s v="Other"/>
    <m/>
    <s v="Black or African American"/>
  </r>
  <r>
    <s v="62a33cb72e54c9003e531c65"/>
    <s v="anonymous"/>
    <d v="2022-06-10T00:00:00"/>
    <d v="1899-12-30T08:44:00"/>
    <d v="1899-12-30T00:01:15"/>
    <m/>
    <m/>
    <m/>
    <m/>
    <m/>
    <x v="3"/>
    <s v="Yes"/>
    <s v="0-40k"/>
    <x v="2"/>
    <s v="Finance"/>
    <s v="Python"/>
    <n v="0"/>
    <n v="6"/>
    <n v="6"/>
    <n v="6"/>
    <x v="5"/>
    <x v="5"/>
    <s v="Difficult"/>
    <s v="Better Salary"/>
    <s v="Male"/>
    <n v="24"/>
    <s v="Other"/>
    <m/>
    <s v="Black or African American"/>
  </r>
  <r>
    <s v="62a33cd30f8c8599d5af0f8f"/>
    <s v="anonymous"/>
    <d v="2022-06-10T00:00:00"/>
    <d v="1899-12-30T08:45:00"/>
    <d v="1899-12-30T00:01:25"/>
    <m/>
    <m/>
    <m/>
    <m/>
    <m/>
    <x v="1"/>
    <s v="Yes"/>
    <s v="125k-150k"/>
    <x v="4"/>
    <s v="Other"/>
    <s v="Other"/>
    <n v="10"/>
    <n v="5"/>
    <n v="5"/>
    <n v="5"/>
    <x v="0"/>
    <x v="6"/>
    <s v="Neither easy nor difficult"/>
    <s v="Remote Work"/>
    <s v="Male"/>
    <n v="35"/>
    <s v="United States"/>
    <m/>
    <s v="Asian or Asian American"/>
  </r>
  <r>
    <s v="62a33cd3cf255543173001d9"/>
    <s v="anonymous"/>
    <d v="2022-06-10T00:00:00"/>
    <d v="1899-12-30T08:45:00"/>
    <d v="1899-12-30T00:02:10"/>
    <m/>
    <m/>
    <m/>
    <m/>
    <m/>
    <x v="0"/>
    <s v="Yes"/>
    <s v="86k-105k"/>
    <x v="5"/>
    <s v="Healthcare"/>
    <s v="R"/>
    <n v="4"/>
    <n v="4"/>
    <n v="4"/>
    <n v="4"/>
    <x v="0"/>
    <x v="5"/>
    <s v="Neither easy nor difficult"/>
    <s v="Better Salary"/>
    <s v="Male"/>
    <n v="35"/>
    <s v="United States"/>
    <m/>
    <s v="Asian or Asian American"/>
  </r>
  <r>
    <s v="62a33cd8bc6861bf3176c05f"/>
    <s v="anonymous"/>
    <d v="2022-06-10T00:00:00"/>
    <d v="1899-12-30T08:45:00"/>
    <d v="1899-12-30T00:01:27"/>
    <m/>
    <m/>
    <m/>
    <m/>
    <m/>
    <x v="0"/>
    <s v="Yes"/>
    <s v="41k-65k"/>
    <x v="1"/>
    <s v="Telecommunication"/>
    <s v="Python"/>
    <n v="2"/>
    <n v="0"/>
    <n v="3"/>
    <n v="3"/>
    <x v="3"/>
    <x v="7"/>
    <s v="Very Difficult"/>
    <s v="Better Salary"/>
    <s v="Male"/>
    <n v="28"/>
    <s v="United States"/>
    <m/>
    <s v="Hispanic or Latino"/>
  </r>
  <r>
    <s v="62a33ce918134ddc75ce8c30"/>
    <s v="anonymous"/>
    <d v="2022-06-10T00:00:00"/>
    <d v="1899-12-30T08:45:00"/>
    <d v="1899-12-30T00:01:29"/>
    <m/>
    <m/>
    <m/>
    <m/>
    <m/>
    <x v="0"/>
    <s v="Yes"/>
    <s v="66k-85k"/>
    <x v="6"/>
    <s v="Other"/>
    <s v="Python"/>
    <n v="10"/>
    <n v="10"/>
    <n v="8"/>
    <n v="8"/>
    <x v="6"/>
    <x v="2"/>
    <s v="Neither easy nor difficult"/>
    <s v="Remote Work"/>
    <s v="Male"/>
    <n v="37"/>
    <s v="Canada"/>
    <m/>
    <s v="White or Caucasian"/>
  </r>
  <r>
    <s v="62a33cf30a77c1a77f65baa2"/>
    <s v="anonymous"/>
    <d v="2022-06-10T00:00:00"/>
    <d v="1899-12-30T08:45:00"/>
    <d v="1899-12-30T00:02:31"/>
    <m/>
    <m/>
    <m/>
    <m/>
    <m/>
    <x v="0"/>
    <s v="Yes"/>
    <s v="0-40k"/>
    <x v="2"/>
    <s v="Other"/>
    <s v="Python"/>
    <n v="3"/>
    <n v="8"/>
    <n v="10"/>
    <n v="10"/>
    <x v="2"/>
    <x v="8"/>
    <s v="Neither easy nor difficult"/>
    <s v="Better Salary"/>
    <s v="Male"/>
    <n v="32"/>
    <s v="Other"/>
    <m/>
    <s v="White or Caucasian"/>
  </r>
  <r>
    <s v="62a33d15f408bae018ed370d"/>
    <s v="anonymous"/>
    <d v="2022-06-10T00:00:00"/>
    <d v="1899-12-30T08:46:00"/>
    <d v="1899-12-30T00:03:20"/>
    <m/>
    <m/>
    <m/>
    <m/>
    <m/>
    <x v="0"/>
    <s v="Yes"/>
    <s v="0-40k"/>
    <x v="2"/>
    <s v="Tech"/>
    <s v="R"/>
    <n v="1"/>
    <n v="10"/>
    <n v="9"/>
    <n v="9"/>
    <x v="0"/>
    <x v="2"/>
    <s v="Neither easy nor difficult"/>
    <s v="Better Salary"/>
    <s v="Male"/>
    <n v="34"/>
    <s v="Other"/>
    <m/>
    <s v="Other"/>
  </r>
  <r>
    <s v="62a33d1ebae91e4b8b82e707"/>
    <s v="anonymous"/>
    <d v="2022-06-10T00:00:00"/>
    <d v="1899-12-30T08:46:00"/>
    <d v="1899-12-30T00:00:55"/>
    <m/>
    <m/>
    <m/>
    <m/>
    <m/>
    <x v="3"/>
    <s v="Yes"/>
    <s v="0-40k"/>
    <x v="2"/>
    <s v="Education"/>
    <s v="Python"/>
    <n v="3"/>
    <n v="10"/>
    <n v="10"/>
    <n v="6"/>
    <x v="2"/>
    <x v="8"/>
    <s v="Easy"/>
    <s v="Good Work/Life Balance"/>
    <s v="Male"/>
    <n v="30"/>
    <s v="United Kingdom"/>
    <m/>
    <s v="White or Caucasian"/>
  </r>
  <r>
    <s v="62a33d4624a26260273824c4"/>
    <s v="anonymous"/>
    <d v="2022-06-10T00:00:00"/>
    <d v="1899-12-30T08:47:00"/>
    <d v="1899-12-30T00:01:24"/>
    <m/>
    <m/>
    <m/>
    <m/>
    <m/>
    <x v="0"/>
    <s v="No"/>
    <s v="41k-65k"/>
    <x v="1"/>
    <s v="Construction"/>
    <s v="R"/>
    <n v="4"/>
    <n v="5"/>
    <n v="5"/>
    <n v="5"/>
    <x v="7"/>
    <x v="5"/>
    <s v="Neither easy nor difficult"/>
    <s v="Good Culture"/>
    <s v="Male"/>
    <n v="31"/>
    <s v="United States"/>
    <m/>
    <s v="White or Caucasian"/>
  </r>
  <r>
    <s v="62a33d5c0f8c8599d5af107c"/>
    <s v="anonymous"/>
    <d v="2022-06-10T00:00:00"/>
    <d v="1899-12-30T08:47:00"/>
    <d v="1899-12-30T00:00:47"/>
    <m/>
    <m/>
    <m/>
    <m/>
    <m/>
    <x v="0"/>
    <s v="Yes"/>
    <s v="41k-65k"/>
    <x v="1"/>
    <s v="Finance"/>
    <s v="Python"/>
    <n v="4"/>
    <n v="10"/>
    <n v="7"/>
    <n v="7"/>
    <x v="2"/>
    <x v="5"/>
    <s v="Difficult"/>
    <s v="Good Culture"/>
    <s v="Male"/>
    <n v="29"/>
    <s v="United States"/>
    <m/>
    <s v="White or Caucasian"/>
  </r>
  <r>
    <s v="62a33d850f8c8599d5af10cb"/>
    <s v="anonymous"/>
    <d v="2022-06-10T00:00:00"/>
    <d v="1899-12-30T08:48:00"/>
    <d v="1899-12-30T00:01:06"/>
    <m/>
    <m/>
    <m/>
    <m/>
    <m/>
    <x v="0"/>
    <s v="Yes"/>
    <s v="0-40k"/>
    <x v="2"/>
    <s v="Tech"/>
    <s v="Python"/>
    <n v="1"/>
    <n v="2"/>
    <n v="4"/>
    <n v="2"/>
    <x v="8"/>
    <x v="4"/>
    <s v="Neither easy nor difficult"/>
    <s v="Better Salary"/>
    <s v="Male"/>
    <n v="22"/>
    <s v="Other"/>
    <m/>
    <s v="Black or African American"/>
  </r>
  <r>
    <s v="62a33d9bf8f7561645852496"/>
    <s v="anonymous"/>
    <d v="2022-06-10T00:00:00"/>
    <d v="1899-12-30T08:48:00"/>
    <d v="1899-12-30T00:01:04"/>
    <m/>
    <m/>
    <m/>
    <m/>
    <m/>
    <x v="4"/>
    <s v="Yes"/>
    <s v="0-40k"/>
    <x v="2"/>
    <s v="Other"/>
    <s v="Python"/>
    <n v="1"/>
    <n v="3"/>
    <n v="2"/>
    <n v="2"/>
    <x v="7"/>
    <x v="3"/>
    <s v="Difficult"/>
    <s v="Better Salary"/>
    <s v="Male"/>
    <n v="23"/>
    <s v="United States"/>
    <m/>
    <s v="Black or African American"/>
  </r>
  <r>
    <s v="62a33dbdd8c00e9f5419cd65"/>
    <s v="anonymous"/>
    <d v="2022-06-10T00:00:00"/>
    <d v="1899-12-30T08:49:00"/>
    <d v="1899-12-30T00:01:05"/>
    <m/>
    <m/>
    <m/>
    <m/>
    <m/>
    <x v="4"/>
    <s v="No"/>
    <s v="41k-65k"/>
    <x v="1"/>
    <s v="Tech"/>
    <s v="R"/>
    <n v="7"/>
    <n v="8"/>
    <n v="8"/>
    <n v="6"/>
    <x v="6"/>
    <x v="1"/>
    <s v="Very Difficult"/>
    <s v="Better Salary"/>
    <s v="Female"/>
    <n v="26"/>
    <s v="Canada"/>
    <m/>
    <s v="Asian or Asian American"/>
  </r>
  <r>
    <s v="62a33de124a26260273826b2"/>
    <s v="anonymous"/>
    <d v="2022-06-10T00:00:00"/>
    <d v="1899-12-30T08:49:00"/>
    <d v="1899-12-30T00:01:21"/>
    <m/>
    <m/>
    <m/>
    <m/>
    <m/>
    <x v="0"/>
    <s v="No"/>
    <s v="0-40k"/>
    <x v="2"/>
    <s v="Other"/>
    <s v="Python"/>
    <n v="1"/>
    <n v="1"/>
    <n v="1"/>
    <n v="1"/>
    <x v="8"/>
    <x v="9"/>
    <s v="Very Difficult"/>
    <s v="Better Salary"/>
    <s v="Male"/>
    <n v="28"/>
    <s v="Other"/>
    <m/>
    <s v="Black or African American"/>
  </r>
  <r>
    <s v="62a33dedd8c00e9f5419ce2b"/>
    <s v="anonymous"/>
    <d v="2022-06-10T00:00:00"/>
    <d v="1899-12-30T08:49:00"/>
    <d v="1899-12-30T00:01:23"/>
    <m/>
    <m/>
    <m/>
    <m/>
    <m/>
    <x v="0"/>
    <s v="Yes"/>
    <s v="41k-65k"/>
    <x v="1"/>
    <s v="Finance"/>
    <s v="Python"/>
    <n v="5"/>
    <n v="5"/>
    <n v="5"/>
    <n v="5"/>
    <x v="0"/>
    <x v="5"/>
    <s v="Easy"/>
    <s v="Remote Work"/>
    <s v="Male"/>
    <n v="29"/>
    <s v="Other"/>
    <m/>
    <s v="Black or African American"/>
  </r>
  <r>
    <s v="62a33dfbd8c00e9f5419ceda"/>
    <s v="anonymous"/>
    <d v="2022-06-10T00:00:00"/>
    <d v="1899-12-30T08:50:00"/>
    <d v="1899-12-30T00:01:35"/>
    <m/>
    <m/>
    <m/>
    <m/>
    <m/>
    <x v="0"/>
    <s v="Yes"/>
    <s v="106k-125k"/>
    <x v="0"/>
    <s v="Tech"/>
    <s v="Other"/>
    <n v="10"/>
    <n v="5"/>
    <n v="10"/>
    <n v="6"/>
    <x v="9"/>
    <x v="2"/>
    <s v="Neither easy nor difficult"/>
    <s v="Remote Work"/>
    <s v="Female"/>
    <n v="31"/>
    <s v="United States"/>
    <m/>
    <s v="White or Caucasian"/>
  </r>
  <r>
    <s v="62a33e38f3072dd8926221d3"/>
    <s v="anonymous"/>
    <d v="2022-06-10T00:00:00"/>
    <d v="1899-12-30T08:51:00"/>
    <d v="1899-12-30T00:01:25"/>
    <m/>
    <m/>
    <m/>
    <m/>
    <m/>
    <x v="0"/>
    <s v="Yes"/>
    <s v="0-40k"/>
    <x v="2"/>
    <s v="Healthcare"/>
    <s v="Python"/>
    <n v="5"/>
    <n v="6"/>
    <n v="8"/>
    <n v="8"/>
    <x v="2"/>
    <x v="3"/>
    <s v="Neither easy nor difficult"/>
    <s v="Remote Work"/>
    <s v="Male"/>
    <n v="28"/>
    <s v="Other"/>
    <m/>
    <s v="White or Caucasian"/>
  </r>
  <r>
    <s v="62a33e54d8c00e9f5419cfe9"/>
    <s v="anonymous"/>
    <d v="2022-06-10T00:00:00"/>
    <d v="1899-12-30T08:51:00"/>
    <d v="1899-12-30T00:01:47"/>
    <m/>
    <m/>
    <m/>
    <m/>
    <m/>
    <x v="0"/>
    <s v="No"/>
    <s v="0-40k"/>
    <x v="2"/>
    <s v="Finance"/>
    <s v="Python"/>
    <n v="4"/>
    <n v="4"/>
    <n v="4"/>
    <n v="4"/>
    <x v="7"/>
    <x v="7"/>
    <s v="Neither easy nor difficult"/>
    <s v="Better Salary"/>
    <s v="Male"/>
    <n v="32"/>
    <s v="Other"/>
    <m/>
    <s v="Hispanic or Latino"/>
  </r>
  <r>
    <s v="62a33e62575fa3a5ae88aabf"/>
    <s v="anonymous"/>
    <d v="2022-06-10T00:00:00"/>
    <d v="1899-12-30T08:51:00"/>
    <d v="1899-12-30T00:02:14"/>
    <m/>
    <m/>
    <m/>
    <m/>
    <m/>
    <x v="0"/>
    <s v="No"/>
    <s v="0-40k"/>
    <x v="2"/>
    <s v="Tech"/>
    <s v="Python"/>
    <n v="7"/>
    <n v="8"/>
    <n v="8"/>
    <n v="8"/>
    <x v="4"/>
    <x v="8"/>
    <s v="Easy"/>
    <s v="Better Salary"/>
    <s v="Male"/>
    <n v="24"/>
    <s v="Other"/>
    <m/>
    <s v="Black or African American"/>
  </r>
  <r>
    <s v="62a33e63cec54911e9ca4f99"/>
    <s v="anonymous"/>
    <d v="2022-06-10T00:00:00"/>
    <d v="1899-12-30T08:51:00"/>
    <d v="1899-12-30T00:02:21"/>
    <m/>
    <m/>
    <m/>
    <m/>
    <m/>
    <x v="0"/>
    <s v="No"/>
    <s v="0-40k"/>
    <x v="2"/>
    <s v="Tech"/>
    <s v="Python"/>
    <n v="4"/>
    <n v="6"/>
    <n v="6"/>
    <n v="6"/>
    <x v="2"/>
    <x v="0"/>
    <s v="Easy"/>
    <s v="Good Work/Life Balance"/>
    <s v="Male"/>
    <n v="31"/>
    <s v="India"/>
    <m/>
    <s v="Asian or Asian American"/>
  </r>
  <r>
    <s v="62a33e72bae91e4b8b82ea1a"/>
    <s v="anonymous"/>
    <d v="2022-06-10T00:00:00"/>
    <d v="1899-12-30T08:52:00"/>
    <d v="1899-12-30T00:02:07"/>
    <m/>
    <m/>
    <m/>
    <m/>
    <m/>
    <x v="0"/>
    <s v="No"/>
    <s v="66k-85k"/>
    <x v="6"/>
    <s v="Other"/>
    <s v="Other"/>
    <n v="7"/>
    <n v="10"/>
    <n v="5"/>
    <n v="5"/>
    <x v="0"/>
    <x v="4"/>
    <s v="Difficult"/>
    <s v="Other"/>
    <s v="Male"/>
    <n v="23"/>
    <s v="United States"/>
    <m/>
    <s v="White or Caucasian"/>
  </r>
  <r>
    <s v="62a33e890f8c8599d5af13b9"/>
    <s v="anonymous"/>
    <d v="2022-06-10T00:00:00"/>
    <d v="1899-12-30T08:52:00"/>
    <d v="1899-12-30T00:01:20"/>
    <m/>
    <m/>
    <m/>
    <m/>
    <m/>
    <x v="0"/>
    <s v="Yes"/>
    <s v="106k-125k"/>
    <x v="0"/>
    <s v="Other"/>
    <s v="Python"/>
    <n v="1"/>
    <n v="6"/>
    <n v="9"/>
    <n v="1"/>
    <x v="3"/>
    <x v="4"/>
    <s v="Difficult"/>
    <s v="Remote Work"/>
    <s v="Female"/>
    <n v="33"/>
    <s v="United States"/>
    <m/>
    <s v="Asian or Asian American"/>
  </r>
  <r>
    <s v="62a33e8bf8d5efcc22f7c79a"/>
    <s v="anonymous"/>
    <d v="2022-06-10T00:00:00"/>
    <d v="1899-12-30T08:52:00"/>
    <d v="1899-12-30T00:01:34"/>
    <m/>
    <m/>
    <m/>
    <m/>
    <m/>
    <x v="0"/>
    <s v="No"/>
    <s v="86k-105k"/>
    <x v="5"/>
    <s v="Healthcare"/>
    <s v="Other"/>
    <n v="6"/>
    <n v="7"/>
    <n v="7"/>
    <n v="7"/>
    <x v="2"/>
    <x v="7"/>
    <s v="Very Easy"/>
    <s v="Better Salary"/>
    <s v="Male"/>
    <n v="43"/>
    <s v="United States"/>
    <m/>
    <s v="White or Caucasian"/>
  </r>
  <r>
    <s v="62a33e90cec54911e9ca5031"/>
    <s v="anonymous"/>
    <d v="2022-06-10T00:00:00"/>
    <d v="1899-12-30T08:52:00"/>
    <d v="1899-12-30T00:01:34"/>
    <m/>
    <m/>
    <m/>
    <m/>
    <m/>
    <x v="4"/>
    <s v="Yes"/>
    <s v="0-40k"/>
    <x v="2"/>
    <s v="Other"/>
    <s v="R"/>
    <n v="0"/>
    <n v="0"/>
    <n v="5"/>
    <n v="0"/>
    <x v="3"/>
    <x v="9"/>
    <s v="Very Difficult"/>
    <s v="Remote Work"/>
    <s v="Female"/>
    <n v="23"/>
    <s v="Other"/>
    <m/>
    <s v="Other"/>
  </r>
  <r>
    <s v="62a33e9df8f756164585277b"/>
    <s v="anonymous"/>
    <d v="2022-06-10T00:00:00"/>
    <d v="1899-12-30T08:52:00"/>
    <d v="1899-12-30T00:01:47"/>
    <m/>
    <m/>
    <m/>
    <m/>
    <m/>
    <x v="4"/>
    <s v="Yes"/>
    <s v="41k-65k"/>
    <x v="1"/>
    <s v="Finance"/>
    <s v="Python"/>
    <n v="10"/>
    <n v="7"/>
    <n v="10"/>
    <n v="10"/>
    <x v="0"/>
    <x v="1"/>
    <s v="Very Difficult"/>
    <s v="Good Work/Life Balance"/>
    <s v="Male"/>
    <n v="31"/>
    <s v="United States"/>
    <m/>
    <s v="Black or African American"/>
  </r>
  <r>
    <s v="62a33eb6bc6861bf3176c5a3"/>
    <s v="anonymous"/>
    <d v="2022-06-10T00:00:00"/>
    <d v="1899-12-30T08:53:00"/>
    <d v="1899-12-30T00:01:38"/>
    <m/>
    <m/>
    <m/>
    <m/>
    <m/>
    <x v="0"/>
    <s v="Yes"/>
    <s v="66k-85k"/>
    <x v="6"/>
    <s v="Finance"/>
    <s v="Python"/>
    <n v="5"/>
    <n v="6"/>
    <n v="7"/>
    <n v="5"/>
    <x v="7"/>
    <x v="7"/>
    <s v="Neither easy nor difficult"/>
    <s v="Other"/>
    <s v="Male"/>
    <n v="31"/>
    <s v="United Kingdom"/>
    <m/>
    <s v="White or Caucasian"/>
  </r>
  <r>
    <s v="62a33ee0bae91e4b8b82eaec"/>
    <s v="anonymous"/>
    <d v="2022-06-10T00:00:00"/>
    <d v="1899-12-30T08:53:00"/>
    <d v="1899-12-30T00:03:30"/>
    <m/>
    <m/>
    <m/>
    <m/>
    <m/>
    <x v="0"/>
    <s v="Yes"/>
    <s v="0-40k"/>
    <x v="2"/>
    <s v="Other"/>
    <s v="Python"/>
    <n v="8"/>
    <n v="7"/>
    <n v="8"/>
    <n v="7"/>
    <x v="2"/>
    <x v="0"/>
    <s v="Difficult"/>
    <s v="Good Work/Life Balance"/>
    <s v="Male"/>
    <n v="25"/>
    <s v="India"/>
    <m/>
    <s v="Asian or Asian American"/>
  </r>
  <r>
    <s v="62a33ee80f8c8599d5af14b7"/>
    <s v="anonymous"/>
    <d v="2022-06-10T00:00:00"/>
    <d v="1899-12-30T08:54:00"/>
    <d v="1899-12-30T00:01:37"/>
    <m/>
    <m/>
    <m/>
    <m/>
    <m/>
    <x v="1"/>
    <s v="No"/>
    <s v="125k-150k"/>
    <x v="4"/>
    <s v="Tech"/>
    <s v="Other"/>
    <n v="8"/>
    <n v="10"/>
    <n v="10"/>
    <n v="9"/>
    <x v="10"/>
    <x v="6"/>
    <s v="Easy"/>
    <s v="Better Salary"/>
    <s v="Male"/>
    <n v="43"/>
    <s v="United States"/>
    <m/>
    <s v="White or Caucasian"/>
  </r>
  <r>
    <s v="62a33efe0a77c1a77f65bf1e"/>
    <s v="anonymous"/>
    <d v="2022-06-10T00:00:00"/>
    <d v="1899-12-30T08:54:00"/>
    <d v="1899-12-30T00:02:08"/>
    <m/>
    <m/>
    <m/>
    <m/>
    <m/>
    <x v="0"/>
    <s v="No"/>
    <s v="41k-65k"/>
    <x v="1"/>
    <s v="Finance"/>
    <s v="Python"/>
    <n v="2"/>
    <n v="3"/>
    <n v="5"/>
    <n v="5"/>
    <x v="0"/>
    <x v="5"/>
    <s v="Difficult"/>
    <s v="Better Salary"/>
    <s v="Female"/>
    <n v="26"/>
    <s v="Canada"/>
    <m/>
    <s v="Other"/>
  </r>
  <r>
    <s v="62a33f0ef408bae018ed3aeb"/>
    <s v="anonymous"/>
    <d v="2022-06-10T00:00:00"/>
    <d v="1899-12-30T08:54:00"/>
    <d v="1899-12-30T00:03:54"/>
    <m/>
    <m/>
    <m/>
    <m/>
    <m/>
    <x v="2"/>
    <s v="No"/>
    <s v="41k-65k"/>
    <x v="1"/>
    <s v="Other"/>
    <s v="Python"/>
    <n v="5"/>
    <n v="10"/>
    <n v="8"/>
    <n v="8"/>
    <x v="6"/>
    <x v="0"/>
    <s v="Neither easy nor difficult"/>
    <s v="Remote Work"/>
    <s v="Male"/>
    <n v="32"/>
    <s v="Other"/>
    <m/>
    <s v="White or Caucasian"/>
  </r>
  <r>
    <s v="62a33f17f8f7561645852867"/>
    <s v="anonymous"/>
    <d v="2022-06-10T00:00:00"/>
    <d v="1899-12-30T08:54:00"/>
    <d v="1899-12-30T00:02:28"/>
    <m/>
    <m/>
    <m/>
    <m/>
    <m/>
    <x v="2"/>
    <s v="No"/>
    <s v="0-40k"/>
    <x v="2"/>
    <s v="Tech"/>
    <s v="Python"/>
    <n v="2"/>
    <n v="9"/>
    <n v="7"/>
    <n v="7"/>
    <x v="0"/>
    <x v="10"/>
    <s v="Difficult"/>
    <s v="Better Salary"/>
    <s v="Male"/>
    <n v="31"/>
    <s v="Other"/>
    <m/>
    <s v="White or Caucasian"/>
  </r>
  <r>
    <s v="62a33f52bc6861bf3176c72c"/>
    <s v="anonymous"/>
    <d v="2022-06-10T00:00:00"/>
    <d v="1899-12-30T08:55:00"/>
    <d v="1899-12-30T00:01:33"/>
    <m/>
    <m/>
    <m/>
    <m/>
    <m/>
    <x v="0"/>
    <s v="Yes"/>
    <s v="86k-105k"/>
    <x v="5"/>
    <s v="Healthcare"/>
    <s v="Other"/>
    <n v="3"/>
    <n v="5"/>
    <n v="6"/>
    <n v="4"/>
    <x v="7"/>
    <x v="5"/>
    <s v="Neither easy nor difficult"/>
    <s v="Better Salary"/>
    <s v="Male"/>
    <n v="29"/>
    <s v="United States"/>
    <m/>
    <s v="White or Caucasian"/>
  </r>
  <r>
    <s v="62a33f56cf255543173005e9"/>
    <s v="anonymous"/>
    <d v="2022-06-10T00:00:00"/>
    <d v="1899-12-30T08:55:00"/>
    <d v="1899-12-30T00:00:56"/>
    <m/>
    <m/>
    <m/>
    <m/>
    <m/>
    <x v="0"/>
    <s v="Yes"/>
    <s v="0-40k"/>
    <x v="2"/>
    <s v="Other"/>
    <s v="Python"/>
    <n v="3"/>
    <n v="1"/>
    <n v="3"/>
    <n v="2"/>
    <x v="4"/>
    <x v="3"/>
    <s v="Neither easy nor difficult"/>
    <s v="Good Culture"/>
    <s v="Male"/>
    <n v="24"/>
    <s v="Other"/>
    <m/>
    <s v="Hispanic or Latino"/>
  </r>
  <r>
    <s v="62a33f5a5d257a28a30d7bb5"/>
    <s v="anonymous"/>
    <d v="2022-06-10T00:00:00"/>
    <d v="1899-12-30T08:55:00"/>
    <d v="1899-12-30T00:02:38"/>
    <m/>
    <m/>
    <m/>
    <m/>
    <m/>
    <x v="4"/>
    <s v="Yes"/>
    <s v="41k-65k"/>
    <x v="1"/>
    <s v="Construction"/>
    <s v="Python"/>
    <n v="2"/>
    <n v="0"/>
    <n v="2"/>
    <n v="2"/>
    <x v="3"/>
    <x v="9"/>
    <s v="Very Difficult"/>
    <s v="Remote Work"/>
    <s v="Male"/>
    <n v="34"/>
    <s v="United States"/>
    <m/>
    <s v="White or Caucasian"/>
  </r>
  <r>
    <s v="62a33fa5cec54911e9ca51f1"/>
    <s v="anonymous"/>
    <d v="2022-06-10T00:00:00"/>
    <d v="1899-12-30T08:57:00"/>
    <d v="1899-12-30T00:01:52"/>
    <m/>
    <m/>
    <m/>
    <m/>
    <m/>
    <x v="0"/>
    <s v="Yes"/>
    <s v="41k-65k"/>
    <x v="1"/>
    <s v="Other"/>
    <s v="Other"/>
    <n v="5"/>
    <n v="6"/>
    <n v="6"/>
    <n v="5"/>
    <x v="7"/>
    <x v="10"/>
    <s v="Very Difficult"/>
    <s v="Better Salary"/>
    <s v="Male"/>
    <n v="42"/>
    <s v="Other"/>
    <m/>
    <s v="Other"/>
  </r>
  <r>
    <s v="62a33fcb575fa3a5ae88ad59"/>
    <s v="anonymous"/>
    <d v="2022-06-10T00:00:00"/>
    <d v="1899-12-30T08:57:00"/>
    <d v="1899-12-30T00:02:03"/>
    <m/>
    <m/>
    <m/>
    <m/>
    <m/>
    <x v="4"/>
    <s v="Yes"/>
    <s v="0-40k"/>
    <x v="2"/>
    <s v="Other"/>
    <s v="JavaScript"/>
    <n v="0"/>
    <n v="0"/>
    <n v="0"/>
    <n v="0"/>
    <x v="3"/>
    <x v="9"/>
    <s v="Difficult"/>
    <s v="Remote Work"/>
    <s v="Female"/>
    <n v="40"/>
    <s v="United States"/>
    <m/>
    <s v="Asian or Asian American"/>
  </r>
  <r>
    <s v="62a33fcf18134ddc75ce91c3"/>
    <s v="anonymous"/>
    <d v="2022-06-10T00:00:00"/>
    <d v="1899-12-30T08:57:00"/>
    <d v="1899-12-30T00:02:32"/>
    <m/>
    <m/>
    <m/>
    <m/>
    <m/>
    <x v="4"/>
    <s v="No"/>
    <s v="41k-65k"/>
    <x v="1"/>
    <s v="Telecommunication"/>
    <s v="Python"/>
    <n v="3"/>
    <n v="1"/>
    <n v="3"/>
    <n v="4"/>
    <x v="3"/>
    <x v="1"/>
    <s v="Easy"/>
    <s v="Good Work/Life Balance"/>
    <s v="Male"/>
    <n v="43"/>
    <s v="Other"/>
    <m/>
    <s v="White or Caucasian"/>
  </r>
  <r>
    <s v="62a34006d8c00e9f5419d341"/>
    <s v="anonymous"/>
    <d v="2022-06-10T00:00:00"/>
    <d v="1899-12-30T08:58:00"/>
    <d v="1899-12-30T00:02:39"/>
    <m/>
    <m/>
    <m/>
    <m/>
    <m/>
    <x v="4"/>
    <s v="Yes"/>
    <s v="0-40k"/>
    <x v="2"/>
    <s v="Construction"/>
    <s v="Python"/>
    <n v="0"/>
    <n v="0"/>
    <n v="0"/>
    <n v="0"/>
    <x v="3"/>
    <x v="9"/>
    <s v="Very Difficult"/>
    <s v="Better Salary"/>
    <s v="Male"/>
    <n v="23"/>
    <s v="Other"/>
    <m/>
    <s v="Other"/>
  </r>
  <r>
    <s v="62a34020575fa3a5ae88ade0"/>
    <s v="anonymous"/>
    <d v="2022-06-10T00:00:00"/>
    <d v="1899-12-30T08:59:00"/>
    <d v="1899-12-30T00:01:11"/>
    <m/>
    <m/>
    <m/>
    <m/>
    <m/>
    <x v="4"/>
    <s v="Yes"/>
    <s v="0-40k"/>
    <x v="2"/>
    <s v="Education"/>
    <s v="Python"/>
    <n v="5"/>
    <n v="5"/>
    <n v="3"/>
    <n v="5"/>
    <x v="8"/>
    <x v="10"/>
    <s v="Difficult"/>
    <s v="Better Salary"/>
    <s v="Male"/>
    <n v="23"/>
    <s v="Other"/>
    <m/>
    <s v="Asian or Asian American"/>
  </r>
  <r>
    <s v="62a34038b4da29969c62eafe"/>
    <s v="anonymous"/>
    <d v="2022-06-10T00:00:00"/>
    <d v="1899-12-30T08:59:00"/>
    <d v="1899-12-30T00:03:55"/>
    <m/>
    <m/>
    <m/>
    <m/>
    <m/>
    <x v="0"/>
    <s v="Yes"/>
    <s v="86k-105k"/>
    <x v="5"/>
    <s v="Other"/>
    <s v="Python"/>
    <n v="8"/>
    <n v="6"/>
    <n v="2"/>
    <n v="3"/>
    <x v="5"/>
    <x v="0"/>
    <s v="Neither easy nor difficult"/>
    <s v="Other"/>
    <s v="Male"/>
    <n v="28"/>
    <s v="United States"/>
    <m/>
    <s v="White or Caucasian"/>
  </r>
  <r>
    <s v="62a3406b575fa3a5ae88ae78"/>
    <s v="anonymous"/>
    <d v="2022-06-10T00:00:00"/>
    <d v="1899-12-30T09:00:00"/>
    <d v="1899-12-30T00:01:25"/>
    <m/>
    <m/>
    <m/>
    <m/>
    <m/>
    <x v="0"/>
    <s v="No"/>
    <s v="66k-85k"/>
    <x v="6"/>
    <s v="Finance"/>
    <s v="Other"/>
    <n v="5"/>
    <n v="7"/>
    <n v="1"/>
    <n v="1"/>
    <x v="3"/>
    <x v="8"/>
    <s v="Neither easy nor difficult"/>
    <s v="Better Salary"/>
    <s v="Male"/>
    <n v="32"/>
    <s v="United States"/>
    <m/>
    <s v="White or Caucasian"/>
  </r>
  <r>
    <s v="62a340cab4da29969c62ec01"/>
    <s v="anonymous"/>
    <d v="2022-06-10T00:00:00"/>
    <d v="1899-12-30T09:02:00"/>
    <d v="1899-12-30T00:02:47"/>
    <m/>
    <m/>
    <m/>
    <m/>
    <m/>
    <x v="0"/>
    <s v="Yes"/>
    <s v="66k-85k"/>
    <x v="6"/>
    <s v="Other"/>
    <s v="R"/>
    <n v="7"/>
    <n v="8"/>
    <n v="10"/>
    <n v="8"/>
    <x v="10"/>
    <x v="6"/>
    <s v="Difficult"/>
    <s v="Remote Work"/>
    <s v="Female"/>
    <n v="41"/>
    <s v="United States"/>
    <m/>
    <s v="White or Caucasian"/>
  </r>
  <r>
    <s v="62a340d62e54c9003e5324b4"/>
    <s v="anonymous"/>
    <d v="2022-06-10T00:00:00"/>
    <d v="1899-12-30T09:02:00"/>
    <d v="1899-12-30T00:00:56"/>
    <m/>
    <m/>
    <m/>
    <m/>
    <m/>
    <x v="0"/>
    <s v="Yes"/>
    <s v="41k-65k"/>
    <x v="1"/>
    <s v="Finance"/>
    <s v="Python"/>
    <n v="5"/>
    <n v="6"/>
    <n v="6"/>
    <n v="6"/>
    <x v="5"/>
    <x v="10"/>
    <s v="Neither easy nor difficult"/>
    <s v="Remote Work"/>
    <s v="Male"/>
    <n v="33"/>
    <s v="United Kingdom"/>
    <s v="High School"/>
    <s v="White or Caucasian"/>
  </r>
  <r>
    <s v="62a340e10a77c1a77f65c2e7"/>
    <s v="anonymous"/>
    <d v="2022-06-10T00:00:00"/>
    <d v="1899-12-30T09:02:00"/>
    <d v="1899-12-30T00:01:57"/>
    <m/>
    <m/>
    <m/>
    <m/>
    <m/>
    <x v="2"/>
    <s v="Yes"/>
    <s v="150k-225k"/>
    <x v="3"/>
    <s v="Tech"/>
    <s v="Python"/>
    <n v="10"/>
    <n v="8"/>
    <n v="9"/>
    <n v="8"/>
    <x v="6"/>
    <x v="2"/>
    <s v="Easy"/>
    <s v="Good Work/Life Balance"/>
    <s v="Male"/>
    <n v="38"/>
    <s v="United States"/>
    <m/>
    <s v="Hispanic or Latino"/>
  </r>
  <r>
    <s v="62a340f5bc6861bf3176caa4"/>
    <s v="anonymous"/>
    <d v="2022-06-10T00:00:00"/>
    <d v="1899-12-30T09:02:00"/>
    <d v="1899-12-30T00:02:32"/>
    <m/>
    <m/>
    <m/>
    <m/>
    <m/>
    <x v="0"/>
    <s v="No"/>
    <s v="0-40k"/>
    <x v="2"/>
    <s v="Tech"/>
    <s v="Other"/>
    <n v="8"/>
    <n v="8"/>
    <n v="8"/>
    <n v="8"/>
    <x v="0"/>
    <x v="2"/>
    <s v="Easy"/>
    <s v="Better Salary"/>
    <s v="Female"/>
    <n v="22"/>
    <s v="India"/>
    <m/>
    <s v="Other"/>
  </r>
  <r>
    <s v="62a34117cec54911e9ca54e7"/>
    <s v="anonymous"/>
    <d v="2022-06-10T00:00:00"/>
    <d v="1899-12-30T09:03:00"/>
    <d v="1899-12-30T00:01:59"/>
    <m/>
    <m/>
    <m/>
    <m/>
    <m/>
    <x v="4"/>
    <s v="Yes"/>
    <s v="0-40k"/>
    <x v="2"/>
    <s v="Other"/>
    <s v="R"/>
    <n v="1"/>
    <n v="3"/>
    <n v="6"/>
    <n v="6"/>
    <x v="5"/>
    <x v="6"/>
    <s v="Difficult"/>
    <s v="Remote Work"/>
    <s v="Male"/>
    <n v="36"/>
    <s v="Other"/>
    <s v="Bachelors"/>
    <s v="Black or African American"/>
  </r>
  <r>
    <s v="62a3413a5d257a28a30d8074"/>
    <s v="anonymous"/>
    <d v="2022-06-10T00:00:00"/>
    <d v="1899-12-30T09:03:00"/>
    <d v="1899-12-30T00:01:18"/>
    <m/>
    <m/>
    <m/>
    <m/>
    <m/>
    <x v="1"/>
    <s v="No"/>
    <s v="66k-85k"/>
    <x v="6"/>
    <s v="Finance"/>
    <s v="Python"/>
    <n v="2"/>
    <n v="1"/>
    <n v="1"/>
    <n v="1"/>
    <x v="4"/>
    <x v="0"/>
    <s v="Easy"/>
    <s v="Remote Work"/>
    <s v="Female"/>
    <n v="28"/>
    <s v="United States"/>
    <s v="Masters"/>
    <s v="Asian or Asian American"/>
  </r>
  <r>
    <s v="62a341a1f3072dd8926229a5"/>
    <s v="anonymous"/>
    <d v="2022-06-10T00:00:00"/>
    <d v="1899-12-30T09:05:00"/>
    <d v="1899-12-30T00:08:11"/>
    <m/>
    <m/>
    <m/>
    <m/>
    <m/>
    <x v="4"/>
    <s v="Yes"/>
    <s v="0-40k"/>
    <x v="2"/>
    <s v="Other"/>
    <s v="Other"/>
    <s v="null"/>
    <m/>
    <m/>
    <m/>
    <x v="11"/>
    <x v="0"/>
    <s v="Very Easy"/>
    <s v="Other"/>
    <s v="Male"/>
    <n v="30"/>
    <s v="Other"/>
    <m/>
    <s v="Other"/>
  </r>
  <r>
    <s v="62a341b0f8f7561645852d1d"/>
    <s v="anonymous"/>
    <d v="2022-06-10T00:00:00"/>
    <d v="1899-12-30T09:05:00"/>
    <d v="1899-12-30T00:01:44"/>
    <m/>
    <m/>
    <m/>
    <m/>
    <m/>
    <x v="0"/>
    <s v="Yes"/>
    <s v="66k-85k"/>
    <x v="6"/>
    <s v="Tech"/>
    <s v="Python"/>
    <n v="6"/>
    <n v="6"/>
    <n v="6"/>
    <n v="6"/>
    <x v="0"/>
    <x v="10"/>
    <s v="Difficult"/>
    <s v="Other"/>
    <s v="Female"/>
    <n v="24"/>
    <s v="United States"/>
    <s v="Bachelors"/>
    <s v="Hispanic or Latino"/>
  </r>
  <r>
    <s v="62a341e8f8d5efcc22f7d002"/>
    <s v="anonymous"/>
    <d v="2022-06-10T00:00:00"/>
    <d v="1899-12-30T09:06:00"/>
    <d v="1899-12-30T00:01:58"/>
    <m/>
    <m/>
    <m/>
    <m/>
    <m/>
    <x v="2"/>
    <s v="No"/>
    <s v="41k-65k"/>
    <x v="1"/>
    <s v="Other"/>
    <s v="C/C++"/>
    <n v="3"/>
    <n v="6"/>
    <n v="7"/>
    <n v="7"/>
    <x v="3"/>
    <x v="1"/>
    <s v="Very Difficult"/>
    <s v="Better Salary"/>
    <s v="Male"/>
    <n v="29"/>
    <s v="United States"/>
    <s v="Bachelors"/>
    <s v="White or Caucasian"/>
  </r>
  <r>
    <s v="62a34210cf25554317300c02"/>
    <s v="anonymous"/>
    <d v="2022-06-10T00:00:00"/>
    <d v="1899-12-30T09:07:00"/>
    <d v="1899-12-30T00:02:15"/>
    <m/>
    <m/>
    <m/>
    <m/>
    <m/>
    <x v="0"/>
    <s v="No"/>
    <s v="0-40k"/>
    <x v="2"/>
    <s v="Tech"/>
    <s v="Python"/>
    <n v="4"/>
    <n v="9"/>
    <n v="10"/>
    <n v="9"/>
    <x v="10"/>
    <x v="2"/>
    <s v="Easy"/>
    <s v="Better Salary"/>
    <s v="Male"/>
    <n v="29"/>
    <s v="Other"/>
    <s v="Associates"/>
    <s v="Hispanic or Latino"/>
  </r>
  <r>
    <s v="62a3424eb4da29969c62eedd"/>
    <s v="anonymous"/>
    <d v="2022-06-10T00:00:00"/>
    <d v="1899-12-30T09:08:00"/>
    <d v="1899-12-30T00:02:04"/>
    <m/>
    <m/>
    <m/>
    <m/>
    <m/>
    <x v="2"/>
    <s v="Yes"/>
    <s v="41k-65k"/>
    <x v="1"/>
    <s v="Other"/>
    <s v="Python"/>
    <n v="6"/>
    <n v="8"/>
    <n v="8"/>
    <n v="7"/>
    <x v="10"/>
    <x v="0"/>
    <s v="Neither easy nor difficult"/>
    <s v="Good Work/Life Balance"/>
    <s v="Male"/>
    <n v="38"/>
    <s v="Other"/>
    <s v="Masters"/>
    <s v="White or Caucasian"/>
  </r>
  <r>
    <s v="62a34256bae91e4b8b82f16d"/>
    <s v="anonymous"/>
    <d v="2022-06-10T00:00:00"/>
    <d v="1899-12-30T09:08:00"/>
    <d v="1899-12-30T00:01:46"/>
    <m/>
    <m/>
    <m/>
    <m/>
    <m/>
    <x v="0"/>
    <s v="Yes"/>
    <s v="0-40k"/>
    <x v="2"/>
    <s v="Finance"/>
    <s v="Other"/>
    <n v="3"/>
    <n v="5"/>
    <n v="4"/>
    <n v="3"/>
    <x v="4"/>
    <x v="1"/>
    <s v="Difficult"/>
    <s v="Good Work/Life Balance"/>
    <s v="Male"/>
    <n v="31"/>
    <s v="Other"/>
    <s v="Masters"/>
    <s v="White or Caucasian"/>
  </r>
  <r>
    <s v="62a3426cf408bae018ed409b"/>
    <s v="anonymous"/>
    <d v="2022-06-10T00:00:00"/>
    <d v="1899-12-30T09:09:00"/>
    <d v="1899-12-30T00:01:33"/>
    <m/>
    <m/>
    <m/>
    <m/>
    <m/>
    <x v="4"/>
    <s v="No"/>
    <s v="0-40k"/>
    <x v="2"/>
    <s v="Tech"/>
    <s v="Python"/>
    <n v="1"/>
    <n v="4"/>
    <n v="5"/>
    <n v="5"/>
    <x v="1"/>
    <x v="3"/>
    <s v="Difficult"/>
    <s v="Better Salary"/>
    <s v="Male"/>
    <n v="25"/>
    <s v="United States"/>
    <s v="Masters"/>
    <s v="White or Caucasian"/>
  </r>
  <r>
    <s v="62a34272f8d5efcc22f7d15f"/>
    <s v="anonymous"/>
    <d v="2022-06-10T00:00:00"/>
    <d v="1899-12-30T09:09:00"/>
    <d v="1899-12-30T00:01:09"/>
    <m/>
    <m/>
    <m/>
    <m/>
    <m/>
    <x v="0"/>
    <s v="No"/>
    <s v="66k-85k"/>
    <x v="6"/>
    <s v="Telecommunication"/>
    <s v="Python"/>
    <n v="4"/>
    <n v="6"/>
    <n v="4"/>
    <n v="5"/>
    <x v="7"/>
    <x v="7"/>
    <s v="Neither easy nor difficult"/>
    <s v="Better Salary"/>
    <s v="Male"/>
    <n v="24"/>
    <s v="United States"/>
    <s v="Masters"/>
    <s v="White or Caucasian"/>
  </r>
  <r>
    <s v="62a34340bc6861bf3176d05b"/>
    <s v="anonymous"/>
    <d v="2022-06-10T00:00:00"/>
    <d v="1899-12-30T09:12:00"/>
    <d v="1899-12-30T00:04:03"/>
    <m/>
    <m/>
    <m/>
    <m/>
    <m/>
    <x v="2"/>
    <s v="Yes"/>
    <s v="41k-65k"/>
    <x v="1"/>
    <s v="Tech"/>
    <s v="Python"/>
    <n v="6"/>
    <n v="7"/>
    <n v="4"/>
    <n v="3"/>
    <x v="10"/>
    <x v="8"/>
    <s v="Difficult"/>
    <s v="Better Salary"/>
    <s v="Male"/>
    <n v="28"/>
    <s v="Other"/>
    <s v="Bachelors"/>
    <s v="White or Caucasian"/>
  </r>
  <r>
    <s v="62a34383b4da29969c62f1be"/>
    <s v="anonymous"/>
    <d v="2022-06-10T00:00:00"/>
    <d v="1899-12-30T09:13:00"/>
    <d v="1899-12-30T00:01:03"/>
    <m/>
    <m/>
    <m/>
    <m/>
    <m/>
    <x v="4"/>
    <s v="No"/>
    <s v="0-40k"/>
    <x v="2"/>
    <s v="Tech"/>
    <s v="Python"/>
    <n v="7"/>
    <n v="5"/>
    <n v="8"/>
    <n v="0"/>
    <x v="3"/>
    <x v="9"/>
    <s v="Neither easy nor difficult"/>
    <s v="Good Culture"/>
    <s v="Female"/>
    <n v="23"/>
    <s v="India"/>
    <s v="Bachelors"/>
    <s v="Asian or Asian American"/>
  </r>
  <r>
    <s v="62a34389cec54911e9ca5a22"/>
    <s v="anonymous"/>
    <d v="2022-06-10T00:00:00"/>
    <d v="1899-12-30T09:13:00"/>
    <d v="1899-12-30T00:01:01"/>
    <m/>
    <m/>
    <m/>
    <m/>
    <m/>
    <x v="1"/>
    <s v="No"/>
    <s v="0-40k"/>
    <x v="2"/>
    <s v="Tech"/>
    <s v="R"/>
    <n v="2"/>
    <n v="3"/>
    <n v="2"/>
    <n v="5"/>
    <x v="0"/>
    <x v="0"/>
    <s v="Neither easy nor difficult"/>
    <s v="Remote Work"/>
    <s v="Male"/>
    <n v="21"/>
    <s v="Other"/>
    <s v="Masters"/>
    <s v="Hispanic or Latino"/>
  </r>
  <r>
    <s v="62a343a22e54c9003e532a2a"/>
    <s v="anonymous"/>
    <d v="2022-06-10T00:00:00"/>
    <d v="1899-12-30T09:14:00"/>
    <d v="1899-12-30T00:02:43"/>
    <m/>
    <m/>
    <m/>
    <m/>
    <m/>
    <x v="0"/>
    <s v="No"/>
    <s v="0-40k"/>
    <x v="2"/>
    <s v="Other"/>
    <s v="Python"/>
    <n v="4"/>
    <n v="4"/>
    <n v="4"/>
    <n v="4"/>
    <x v="0"/>
    <x v="10"/>
    <s v="Neither easy nor difficult"/>
    <s v="Remote Work"/>
    <s v="Male"/>
    <n v="29"/>
    <s v="Other"/>
    <s v="Bachelors"/>
    <s v="Other"/>
  </r>
  <r>
    <s v="62a343d9f3072dd892622fe4"/>
    <s v="anonymous"/>
    <d v="2022-06-10T00:00:00"/>
    <d v="1899-12-30T09:15:00"/>
    <d v="1899-12-30T00:03:15"/>
    <m/>
    <m/>
    <m/>
    <m/>
    <m/>
    <x v="0"/>
    <s v="Yes"/>
    <s v="41k-65k"/>
    <x v="1"/>
    <s v="Tech"/>
    <s v="Python"/>
    <n v="5"/>
    <n v="6"/>
    <n v="7"/>
    <n v="7"/>
    <x v="2"/>
    <x v="10"/>
    <s v="Difficult"/>
    <s v="Better Salary"/>
    <s v="Male"/>
    <n v="25"/>
    <s v="United States"/>
    <s v="Bachelors"/>
    <s v="Asian or Asian American"/>
  </r>
  <r>
    <s v="62a34400d8c00e9f5419dc2b"/>
    <s v="anonymous"/>
    <d v="2022-06-10T00:00:00"/>
    <d v="1899-12-30T09:15:00"/>
    <d v="1899-12-30T00:01:24"/>
    <m/>
    <m/>
    <m/>
    <m/>
    <m/>
    <x v="0"/>
    <s v="No"/>
    <s v="41k-65k"/>
    <x v="1"/>
    <s v="Tech"/>
    <s v="Python"/>
    <n v="6"/>
    <n v="6"/>
    <n v="6"/>
    <n v="6"/>
    <x v="4"/>
    <x v="5"/>
    <s v="Difficult"/>
    <s v="Good Culture"/>
    <s v="Male"/>
    <n v="27"/>
    <s v="Other"/>
    <s v="Masters"/>
    <s v="Black or African American"/>
  </r>
  <r>
    <s v="62a34425f8d5efcc22f7d525"/>
    <s v="anonymous"/>
    <d v="2022-06-10T00:00:00"/>
    <d v="1899-12-30T09:16:00"/>
    <d v="1899-12-30T00:01:28"/>
    <m/>
    <m/>
    <m/>
    <m/>
    <m/>
    <x v="0"/>
    <s v="Yes"/>
    <s v="41k-65k"/>
    <x v="1"/>
    <s v="Tech"/>
    <s v="Python"/>
    <n v="3"/>
    <n v="9"/>
    <n v="10"/>
    <n v="8"/>
    <x v="10"/>
    <x v="6"/>
    <s v="Easy"/>
    <s v="Better Salary"/>
    <s v="Male"/>
    <n v="23"/>
    <s v="India"/>
    <s v="Bachelors"/>
    <s v="Asian or Asian American"/>
  </r>
  <r>
    <s v="62a34449575fa3a5ae88b637"/>
    <s v="anonymous"/>
    <d v="2022-06-10T00:00:00"/>
    <d v="1899-12-30T09:16:00"/>
    <d v="1899-12-30T00:02:36"/>
    <m/>
    <m/>
    <m/>
    <m/>
    <m/>
    <x v="2"/>
    <s v="No"/>
    <s v="86k-105k"/>
    <x v="5"/>
    <s v="Other"/>
    <s v="R"/>
    <n v="4"/>
    <n v="3"/>
    <n v="3"/>
    <n v="5"/>
    <x v="0"/>
    <x v="5"/>
    <s v="Difficult"/>
    <s v="Better Salary"/>
    <s v="Male"/>
    <n v="32"/>
    <s v="United States"/>
    <s v="Masters"/>
    <s v="Asian or Asian American"/>
  </r>
  <r>
    <s v="62a3445dcf255543173011e1"/>
    <s v="anonymous"/>
    <d v="2022-06-10T00:00:00"/>
    <d v="1899-12-30T09:17:00"/>
    <d v="1899-12-30T00:02:41"/>
    <m/>
    <m/>
    <m/>
    <m/>
    <m/>
    <x v="4"/>
    <s v="Yes"/>
    <s v="106k-125k"/>
    <x v="0"/>
    <s v="Healthcare"/>
    <s v="Python"/>
    <n v="5"/>
    <n v="5"/>
    <n v="7"/>
    <n v="5"/>
    <x v="2"/>
    <x v="0"/>
    <s v="Neither easy nor difficult"/>
    <s v="Remote Work"/>
    <s v="Male"/>
    <n v="22"/>
    <s v="India"/>
    <s v="Bachelors"/>
    <s v="Asian or Asian American"/>
  </r>
  <r>
    <s v="62a3447a575fa3a5ae88b6c0"/>
    <s v="anonymous"/>
    <d v="2022-06-10T00:00:00"/>
    <d v="1899-12-30T09:17:00"/>
    <d v="1899-12-30T00:04:14"/>
    <m/>
    <m/>
    <m/>
    <m/>
    <m/>
    <x v="0"/>
    <s v="No"/>
    <s v="0-40k"/>
    <x v="2"/>
    <s v="Tech"/>
    <s v="Python"/>
    <n v="2"/>
    <n v="9"/>
    <n v="9"/>
    <n v="8"/>
    <x v="5"/>
    <x v="4"/>
    <s v="Easy"/>
    <s v="Better Salary"/>
    <s v="Male"/>
    <n v="25"/>
    <s v="Other"/>
    <s v="Bachelors"/>
    <s v="Asian or Asian American"/>
  </r>
  <r>
    <s v="62a3449f7dc029e2d66bf5d1"/>
    <s v="anonymous"/>
    <d v="2022-06-10T00:00:00"/>
    <d v="1899-12-30T09:18:00"/>
    <d v="1899-12-30T00:01:15"/>
    <m/>
    <m/>
    <m/>
    <m/>
    <m/>
    <x v="0"/>
    <s v="Yes"/>
    <s v="0-40k"/>
    <x v="2"/>
    <s v="Telecommunication"/>
    <s v="Python"/>
    <n v="2"/>
    <n v="8"/>
    <n v="6"/>
    <n v="6"/>
    <x v="0"/>
    <x v="5"/>
    <s v="Neither easy nor difficult"/>
    <s v="Remote Work"/>
    <s v="Female"/>
    <n v="36"/>
    <s v="Other"/>
    <s v="Masters"/>
    <s v="White or Caucasian"/>
  </r>
  <r>
    <s v="62a344c5f408bae018ed4806"/>
    <s v="anonymous"/>
    <d v="2022-06-10T00:00:00"/>
    <d v="1899-12-30T09:19:00"/>
    <d v="1899-12-30T00:02:21"/>
    <m/>
    <m/>
    <m/>
    <m/>
    <m/>
    <x v="0"/>
    <s v="Yes"/>
    <s v="106k-125k"/>
    <x v="0"/>
    <s v="Tech"/>
    <s v="Other"/>
    <n v="10"/>
    <n v="6"/>
    <n v="9"/>
    <n v="5"/>
    <x v="6"/>
    <x v="0"/>
    <s v="Easy"/>
    <s v="Good Work/Life Balance"/>
    <s v="Female"/>
    <n v="27"/>
    <s v="United States"/>
    <s v="Bachelors"/>
    <s v="White or Caucasian"/>
  </r>
  <r>
    <s v="62a344c6f8d5efcc22f7d6e1"/>
    <s v="anonymous"/>
    <d v="2022-06-10T00:00:00"/>
    <d v="1899-12-30T09:19:00"/>
    <d v="1899-12-30T00:02:17"/>
    <m/>
    <m/>
    <m/>
    <m/>
    <m/>
    <x v="2"/>
    <s v="Yes"/>
    <s v="0-40k"/>
    <x v="2"/>
    <s v="Tech"/>
    <s v="Python"/>
    <n v="5"/>
    <n v="5"/>
    <n v="5"/>
    <n v="5"/>
    <x v="0"/>
    <x v="3"/>
    <s v="Neither easy nor difficult"/>
    <s v="Other"/>
    <s v="Male"/>
    <n v="23"/>
    <s v="India"/>
    <s v="Bachelors"/>
    <s v="Asian or Asian American"/>
  </r>
  <r>
    <s v="62a344e1f3072dd892623328"/>
    <s v="anonymous"/>
    <d v="2022-06-10T00:00:00"/>
    <d v="1899-12-30T09:19:00"/>
    <d v="1899-12-30T00:01:32"/>
    <m/>
    <m/>
    <m/>
    <m/>
    <m/>
    <x v="4"/>
    <s v="Yes"/>
    <s v="0-40k"/>
    <x v="2"/>
    <s v="Tech"/>
    <s v="Other"/>
    <n v="2"/>
    <n v="3"/>
    <n v="3"/>
    <n v="3"/>
    <x v="4"/>
    <x v="10"/>
    <s v="Very Difficult"/>
    <s v="Better Salary"/>
    <s v="Male"/>
    <n v="26"/>
    <s v="Other"/>
    <s v="Bachelors"/>
    <s v="Black or African American"/>
  </r>
  <r>
    <s v="62a3450424a262602738357f"/>
    <s v="anonymous"/>
    <d v="2022-06-10T00:00:00"/>
    <d v="1899-12-30T09:20:00"/>
    <d v="1899-12-30T00:01:19"/>
    <m/>
    <m/>
    <m/>
    <m/>
    <m/>
    <x v="2"/>
    <s v="No"/>
    <s v="86k-105k"/>
    <x v="5"/>
    <s v="Healthcare"/>
    <s v="Python"/>
    <n v="9"/>
    <n v="10"/>
    <n v="10"/>
    <n v="10"/>
    <x v="9"/>
    <x v="2"/>
    <s v="Very Easy"/>
    <s v="Good Work/Life Balance"/>
    <s v="Female"/>
    <n v="33"/>
    <s v="United States"/>
    <s v="PhD"/>
    <s v="Hispanic or Latino"/>
  </r>
  <r>
    <s v="62a3452818134ddc75ce9e1b"/>
    <s v="anonymous"/>
    <d v="2022-06-10T00:00:00"/>
    <d v="1899-12-30T09:20:00"/>
    <d v="1899-12-30T00:01:33"/>
    <m/>
    <m/>
    <m/>
    <m/>
    <m/>
    <x v="0"/>
    <s v="Yes"/>
    <s v="106k-125k"/>
    <x v="0"/>
    <s v="Other"/>
    <s v="Python"/>
    <n v="3"/>
    <n v="5"/>
    <n v="3"/>
    <n v="3"/>
    <x v="0"/>
    <x v="5"/>
    <s v="Easy"/>
    <s v="Better Salary"/>
    <s v="Male"/>
    <n v="27"/>
    <s v="Other"/>
    <s v="Masters"/>
    <s v="White or Caucasian"/>
  </r>
  <r>
    <s v="62a345490a77c1a77f65cc5b"/>
    <s v="anonymous"/>
    <d v="2022-06-10T00:00:00"/>
    <d v="1899-12-30T09:21:00"/>
    <d v="1899-12-30T00:01:38"/>
    <m/>
    <m/>
    <m/>
    <m/>
    <m/>
    <x v="0"/>
    <s v="Yes"/>
    <s v="41k-65k"/>
    <x v="1"/>
    <s v="Education"/>
    <s v="R"/>
    <n v="3"/>
    <n v="6"/>
    <n v="5"/>
    <n v="4"/>
    <x v="4"/>
    <x v="7"/>
    <s v="Neither easy nor difficult"/>
    <s v="Better Salary"/>
    <s v="Male"/>
    <n v="42"/>
    <s v="United States"/>
    <s v="Associates"/>
    <s v="White or Caucasian"/>
  </r>
  <r>
    <s v="62a3455bbc6861bf3176d57a"/>
    <s v="anonymous"/>
    <d v="2022-06-10T00:00:00"/>
    <d v="1899-12-30T09:21:00"/>
    <d v="1899-12-30T00:02:36"/>
    <m/>
    <m/>
    <m/>
    <m/>
    <m/>
    <x v="0"/>
    <s v="Yes"/>
    <s v="0-40k"/>
    <x v="2"/>
    <s v="Tech"/>
    <s v="Python"/>
    <n v="6"/>
    <n v="7"/>
    <n v="8"/>
    <n v="7"/>
    <x v="2"/>
    <x v="8"/>
    <s v="Easy"/>
    <s v="Good Work/Life Balance"/>
    <s v="Male"/>
    <n v="29"/>
    <s v="Other"/>
    <s v="Masters"/>
    <s v="White or Caucasian"/>
  </r>
  <r>
    <s v="62a3457bf8d5efcc22f7da17"/>
    <s v="anonymous"/>
    <d v="2022-06-10T00:00:00"/>
    <d v="1899-12-30T09:22:00"/>
    <d v="1899-12-30T00:01:08"/>
    <m/>
    <m/>
    <m/>
    <m/>
    <m/>
    <x v="0"/>
    <s v="No"/>
    <s v="125k-150k"/>
    <x v="4"/>
    <s v="Tech"/>
    <s v="Python"/>
    <n v="4"/>
    <n v="7"/>
    <n v="6"/>
    <n v="4"/>
    <x v="8"/>
    <x v="7"/>
    <s v="Easy"/>
    <s v="Better Salary"/>
    <s v="Female"/>
    <n v="27"/>
    <s v="United States"/>
    <s v="Masters"/>
    <s v="Asian or Asian American"/>
  </r>
  <r>
    <s v="62a345b2bae91e4b8b82fad6"/>
    <s v="anonymous"/>
    <d v="2022-06-10T00:00:00"/>
    <d v="1899-12-30T09:22:00"/>
    <d v="1899-12-30T00:01:41"/>
    <m/>
    <m/>
    <m/>
    <m/>
    <m/>
    <x v="4"/>
    <s v="No"/>
    <s v="41k-65k"/>
    <x v="1"/>
    <s v="Healthcare"/>
    <s v="Python"/>
    <n v="0"/>
    <n v="10"/>
    <n v="10"/>
    <n v="10"/>
    <x v="7"/>
    <x v="4"/>
    <s v="Neither easy nor difficult"/>
    <s v="Remote Work"/>
    <s v="Female"/>
    <n v="39"/>
    <s v="United States"/>
    <s v="Bachelors"/>
    <s v="Hispanic or Latino"/>
  </r>
  <r>
    <s v="62a345c47dc029e2d66bf80a"/>
    <s v="anonymous"/>
    <d v="2022-06-10T00:00:00"/>
    <d v="1899-12-30T09:23:00"/>
    <d v="1899-12-30T00:01:36"/>
    <m/>
    <m/>
    <m/>
    <m/>
    <m/>
    <x v="0"/>
    <s v="Yes"/>
    <s v="41k-65k"/>
    <x v="1"/>
    <s v="Telecommunication"/>
    <s v="Python"/>
    <n v="6"/>
    <n v="6"/>
    <n v="7"/>
    <n v="5"/>
    <x v="5"/>
    <x v="0"/>
    <s v="Difficult"/>
    <s v="Good Culture"/>
    <s v="Male"/>
    <n v="31"/>
    <s v="Other"/>
    <s v="Masters"/>
    <s v="White or Caucasian"/>
  </r>
  <r>
    <s v="62a345e25d257a28a30d8b43"/>
    <s v="anonymous"/>
    <d v="2022-06-10T00:00:00"/>
    <d v="1899-12-30T09:23:00"/>
    <d v="1899-12-30T00:03:09"/>
    <m/>
    <m/>
    <m/>
    <m/>
    <m/>
    <x v="0"/>
    <s v="Yes"/>
    <s v="66k-85k"/>
    <x v="6"/>
    <s v="Other"/>
    <s v="Python"/>
    <n v="7"/>
    <n v="7"/>
    <n v="5"/>
    <n v="9"/>
    <x v="2"/>
    <x v="8"/>
    <s v="Easy"/>
    <s v="Good Work/Life Balance"/>
    <s v="Male"/>
    <n v="29"/>
    <s v="Other"/>
    <s v="Bachelors"/>
    <s v="Hispanic or Latino"/>
  </r>
  <r>
    <s v="62a34646f8d5efcc22f7dc5c"/>
    <s v="anonymous"/>
    <d v="2022-06-10T00:00:00"/>
    <d v="1899-12-30T09:25:00"/>
    <d v="1899-12-30T00:01:22"/>
    <m/>
    <m/>
    <m/>
    <m/>
    <m/>
    <x v="0"/>
    <s v="Yes"/>
    <s v="66k-85k"/>
    <x v="6"/>
    <s v="Education"/>
    <s v="R"/>
    <n v="7"/>
    <n v="7"/>
    <n v="7"/>
    <n v="7"/>
    <x v="7"/>
    <x v="0"/>
    <s v="Easy"/>
    <s v="Remote Work"/>
    <s v="Male"/>
    <n v="31"/>
    <s v="United States"/>
    <s v="Masters"/>
    <s v="White or Caucasian"/>
  </r>
  <r>
    <s v="62a34687f408bae018ed4c52"/>
    <s v="anonymous"/>
    <d v="2022-06-10T00:00:00"/>
    <d v="1899-12-30T09:26:00"/>
    <d v="1899-12-30T00:01:30"/>
    <m/>
    <m/>
    <m/>
    <m/>
    <m/>
    <x v="0"/>
    <s v="Yes"/>
    <s v="0-40k"/>
    <x v="2"/>
    <s v="Finance"/>
    <s v="Python"/>
    <n v="10"/>
    <n v="9"/>
    <n v="9"/>
    <n v="10"/>
    <x v="10"/>
    <x v="2"/>
    <s v="Neither easy nor difficult"/>
    <s v="Good Culture"/>
    <s v="Male"/>
    <n v="30"/>
    <s v="Other"/>
    <s v="Masters"/>
    <s v="Hispanic or Latino"/>
  </r>
  <r>
    <s v="62a346a37dc029e2d66bfa6d"/>
    <s v="anonymous"/>
    <d v="2022-06-10T00:00:00"/>
    <d v="1899-12-30T09:26:00"/>
    <d v="1899-12-30T00:03:05"/>
    <m/>
    <m/>
    <m/>
    <m/>
    <m/>
    <x v="1"/>
    <s v="Yes"/>
    <s v="0-40k"/>
    <x v="2"/>
    <s v="Tech"/>
    <s v="Python"/>
    <n v="7"/>
    <n v="8"/>
    <n v="6"/>
    <n v="5"/>
    <x v="0"/>
    <x v="6"/>
    <s v="Difficult"/>
    <s v="Better Salary"/>
    <s v="Male"/>
    <n v="33"/>
    <s v="Other"/>
    <s v="Masters"/>
    <s v="Hispanic or Latino"/>
  </r>
  <r>
    <s v="62a346a95d257a28a30d8cb9"/>
    <s v="anonymous"/>
    <d v="2022-06-10T00:00:00"/>
    <d v="1899-12-30T09:27:00"/>
    <d v="1899-12-30T00:00:58"/>
    <m/>
    <m/>
    <m/>
    <m/>
    <m/>
    <x v="0"/>
    <s v="No"/>
    <s v="66k-85k"/>
    <x v="6"/>
    <s v="Other"/>
    <s v="Python"/>
    <n v="7"/>
    <n v="8"/>
    <n v="9"/>
    <n v="7"/>
    <x v="2"/>
    <x v="0"/>
    <s v="Neither easy nor difficult"/>
    <s v="Better Salary"/>
    <s v="Male"/>
    <n v="25"/>
    <s v="United States"/>
    <s v="Bachelors"/>
    <s v="White or Caucasian"/>
  </r>
  <r>
    <s v="62a346b4bc6861bf3176d7ce"/>
    <s v="anonymous"/>
    <d v="2022-06-10T00:00:00"/>
    <d v="1899-12-30T09:27:00"/>
    <d v="1899-12-30T00:01:09"/>
    <m/>
    <m/>
    <m/>
    <m/>
    <m/>
    <x v="4"/>
    <s v="No"/>
    <s v="0-40k"/>
    <x v="2"/>
    <s v="Tech"/>
    <s v="R"/>
    <n v="0"/>
    <n v="0"/>
    <n v="0"/>
    <n v="0"/>
    <x v="3"/>
    <x v="9"/>
    <s v="Neither easy nor difficult"/>
    <s v="Good Work/Life Balance"/>
    <s v="Male"/>
    <n v="23"/>
    <s v="India"/>
    <s v="Bachelors"/>
    <s v="Other"/>
  </r>
  <r>
    <s v="62a346cef8f756164585385b"/>
    <s v="anonymous"/>
    <d v="2022-06-10T00:00:00"/>
    <d v="1899-12-30T09:27:00"/>
    <d v="1899-12-30T00:01:51"/>
    <m/>
    <m/>
    <m/>
    <m/>
    <m/>
    <x v="0"/>
    <s v="Yes"/>
    <s v="41k-65k"/>
    <x v="1"/>
    <s v="Other"/>
    <s v="Other"/>
    <n v="4"/>
    <n v="4"/>
    <n v="3"/>
    <n v="3"/>
    <x v="0"/>
    <x v="10"/>
    <s v="Very Difficult"/>
    <s v="Better Salary"/>
    <s v="Male"/>
    <n v="33"/>
    <s v="United States"/>
    <s v="Bachelors"/>
    <s v="Asian or Asian American"/>
  </r>
  <r>
    <s v="62a346d724a2626027383abd"/>
    <s v="anonymous"/>
    <d v="2022-06-10T00:00:00"/>
    <d v="1899-12-30T09:27:00"/>
    <d v="1899-12-30T00:02:29"/>
    <m/>
    <m/>
    <m/>
    <m/>
    <m/>
    <x v="2"/>
    <s v="Yes"/>
    <s v="66k-85k"/>
    <x v="6"/>
    <s v="Other"/>
    <s v="Python"/>
    <n v="7"/>
    <n v="9"/>
    <n v="9"/>
    <n v="8"/>
    <x v="6"/>
    <x v="6"/>
    <s v="Neither easy nor difficult"/>
    <s v="Good Work/Life Balance"/>
    <s v="Male"/>
    <n v="35"/>
    <s v="Other"/>
    <s v="Bachelors"/>
    <s v="Hispanic or Latino"/>
  </r>
  <r>
    <s v="62a346d90a77c1a77f65d08d"/>
    <s v="anonymous"/>
    <d v="2022-06-10T00:00:00"/>
    <d v="1899-12-30T09:27:00"/>
    <d v="1899-12-30T00:02:39"/>
    <m/>
    <m/>
    <m/>
    <m/>
    <m/>
    <x v="0"/>
    <s v="No"/>
    <s v="41k-65k"/>
    <x v="1"/>
    <s v="Other"/>
    <s v="Python"/>
    <n v="6"/>
    <n v="8"/>
    <n v="5"/>
    <m/>
    <x v="5"/>
    <x v="6"/>
    <s v="Neither easy nor difficult"/>
    <s v="Remote Work"/>
    <s v="Female"/>
    <n v="42"/>
    <s v="Other"/>
    <s v="Masters"/>
    <s v="White or Caucasian"/>
  </r>
  <r>
    <s v="62a34726f8d5efcc22f7dec7"/>
    <s v="anonymous"/>
    <d v="2022-06-10T00:00:00"/>
    <d v="1899-12-30T09:29:00"/>
    <d v="1899-12-30T00:01:14"/>
    <m/>
    <m/>
    <m/>
    <m/>
    <m/>
    <x v="0"/>
    <s v="No"/>
    <s v="66k-85k"/>
    <x v="6"/>
    <s v="Tech"/>
    <s v="Python"/>
    <n v="3"/>
    <n v="4"/>
    <n v="2"/>
    <n v="1"/>
    <x v="3"/>
    <x v="7"/>
    <s v="Neither easy nor difficult"/>
    <s v="Better Salary"/>
    <s v="Male"/>
    <n v="25"/>
    <s v="United States"/>
    <s v="Bachelors"/>
    <s v="White or Caucasian"/>
  </r>
  <r>
    <s v="62a3476c5d257a28a30d8e6d"/>
    <s v="anonymous"/>
    <d v="2022-06-10T00:00:00"/>
    <d v="1899-12-30T09:30:00"/>
    <d v="1899-12-30T00:03:00"/>
    <m/>
    <m/>
    <m/>
    <m/>
    <m/>
    <x v="0"/>
    <s v="No"/>
    <s v="86k-105k"/>
    <x v="5"/>
    <s v="Other"/>
    <s v="Python"/>
    <n v="5"/>
    <n v="4"/>
    <n v="5"/>
    <n v="4"/>
    <x v="4"/>
    <x v="10"/>
    <s v="Neither easy nor difficult"/>
    <s v="Other"/>
    <s v="Male"/>
    <n v="23"/>
    <s v="United States"/>
    <s v="Bachelors"/>
    <s v="White or Caucasian"/>
  </r>
  <r>
    <s v="62a347b4f8f7561645853a98"/>
    <s v="anonymous"/>
    <d v="2022-06-10T00:00:00"/>
    <d v="1899-12-30T09:31:00"/>
    <d v="1899-12-30T00:02:02"/>
    <m/>
    <m/>
    <m/>
    <m/>
    <m/>
    <x v="2"/>
    <s v="No"/>
    <s v="41k-65k"/>
    <x v="1"/>
    <s v="Healthcare"/>
    <s v="JavaScript"/>
    <n v="2"/>
    <n v="4"/>
    <n v="6"/>
    <n v="5"/>
    <x v="4"/>
    <x v="7"/>
    <s v="Easy"/>
    <s v="Better Salary"/>
    <s v="Female"/>
    <n v="51"/>
    <s v="United States"/>
    <s v="Bachelors"/>
    <s v="Black or African American"/>
  </r>
  <r>
    <s v="62a347f6b4da29969c62fb79"/>
    <s v="anonymous"/>
    <d v="2022-06-10T00:00:00"/>
    <d v="1899-12-30T09:32:00"/>
    <d v="1899-12-30T00:01:45"/>
    <m/>
    <m/>
    <m/>
    <m/>
    <m/>
    <x v="0"/>
    <s v="No"/>
    <s v="0-40k"/>
    <x v="2"/>
    <s v="Telecommunication"/>
    <s v="Other"/>
    <n v="1"/>
    <n v="4"/>
    <n v="4"/>
    <n v="3"/>
    <x v="8"/>
    <x v="10"/>
    <s v="Very Difficult"/>
    <s v="Better Salary"/>
    <s v="Male"/>
    <n v="30"/>
    <s v="United Kingdom"/>
    <s v="Bachelors"/>
    <s v="Black or African American"/>
  </r>
  <r>
    <s v="62a3483018134ddc75cea4e6"/>
    <s v="anonymous"/>
    <d v="2022-06-10T00:00:00"/>
    <d v="1899-12-30T09:33:00"/>
    <d v="1899-12-30T00:01:41"/>
    <m/>
    <m/>
    <m/>
    <m/>
    <m/>
    <x v="0"/>
    <s v="Yes"/>
    <s v="41k-65k"/>
    <x v="1"/>
    <s v="Finance"/>
    <s v="Python"/>
    <n v="8"/>
    <n v="9"/>
    <n v="9"/>
    <n v="9"/>
    <x v="10"/>
    <x v="8"/>
    <s v="Very Difficult"/>
    <s v="Better Salary"/>
    <s v="Male"/>
    <n v="23"/>
    <s v="India"/>
    <s v="Bachelors"/>
    <s v="Asian or Asian American"/>
  </r>
  <r>
    <s v="62a348650f8c8599d5af2b77"/>
    <s v="anonymous"/>
    <d v="2022-06-10T00:00:00"/>
    <d v="1899-12-30T09:34:00"/>
    <d v="1899-12-30T00:01:06"/>
    <m/>
    <m/>
    <m/>
    <m/>
    <m/>
    <x v="2"/>
    <s v="Yes"/>
    <s v="41k-65k"/>
    <x v="1"/>
    <s v="Other"/>
    <s v="R"/>
    <n v="3"/>
    <n v="5"/>
    <n v="5"/>
    <n v="6"/>
    <x v="4"/>
    <x v="7"/>
    <s v="Neither easy nor difficult"/>
    <s v="Better Salary"/>
    <s v="Male"/>
    <n v="24"/>
    <s v="Canada"/>
    <s v="Bachelors"/>
    <s v="Asian or Asian American"/>
  </r>
  <r>
    <s v="62a3489318134ddc75cea659"/>
    <s v="anonymous"/>
    <d v="2022-06-10T00:00:00"/>
    <d v="1899-12-30T09:35:00"/>
    <d v="1899-12-30T00:01:06"/>
    <m/>
    <m/>
    <m/>
    <m/>
    <m/>
    <x v="4"/>
    <s v="Yes"/>
    <s v="41k-65k"/>
    <x v="1"/>
    <s v="Tech"/>
    <s v="Python"/>
    <n v="6"/>
    <n v="6"/>
    <n v="6"/>
    <n v="6"/>
    <x v="5"/>
    <x v="10"/>
    <s v="Easy"/>
    <s v="Good Culture"/>
    <s v="Male"/>
    <n v="25"/>
    <s v="Other"/>
    <s v="Masters"/>
    <s v="Asian or Asian American"/>
  </r>
  <r>
    <s v="62a348bf2e54c9003e533634"/>
    <s v="anonymous"/>
    <d v="2022-06-10T00:00:00"/>
    <d v="1899-12-30T09:35:00"/>
    <d v="1899-12-30T00:02:22"/>
    <m/>
    <m/>
    <m/>
    <m/>
    <m/>
    <x v="0"/>
    <s v="Yes"/>
    <s v="41k-65k"/>
    <x v="1"/>
    <s v="Finance"/>
    <s v="Python"/>
    <n v="4"/>
    <n v="4"/>
    <n v="6"/>
    <n v="4"/>
    <x v="0"/>
    <x v="10"/>
    <s v="Difficult"/>
    <s v="Better Salary"/>
    <s v="Female"/>
    <n v="55"/>
    <s v="United States"/>
    <s v="Masters"/>
    <s v="Other"/>
  </r>
  <r>
    <s v="62a348c2f3072dd892623c10"/>
    <s v="anonymous"/>
    <d v="2022-06-10T00:00:00"/>
    <d v="1899-12-30T09:36:00"/>
    <d v="1899-12-30T00:01:56"/>
    <m/>
    <m/>
    <m/>
    <m/>
    <m/>
    <x v="0"/>
    <s v="No"/>
    <s v="86k-105k"/>
    <x v="5"/>
    <s v="Other"/>
    <s v="R"/>
    <n v="8"/>
    <n v="10"/>
    <n v="8"/>
    <n v="7"/>
    <x v="6"/>
    <x v="2"/>
    <s v="Very Easy"/>
    <s v="Remote Work"/>
    <s v="Female"/>
    <n v="30"/>
    <s v="United States"/>
    <s v="Masters"/>
    <s v="White or Caucasian"/>
  </r>
  <r>
    <s v="62a348f2f8d5efcc22f7e2ba"/>
    <s v="anonymous"/>
    <d v="2022-06-10T00:00:00"/>
    <d v="1899-12-30T09:36:00"/>
    <d v="1899-12-30T00:01:10"/>
    <m/>
    <m/>
    <m/>
    <m/>
    <m/>
    <x v="0"/>
    <s v="Yes"/>
    <s v="41k-65k"/>
    <x v="1"/>
    <s v="Other"/>
    <s v="Python"/>
    <n v="9"/>
    <n v="9"/>
    <n v="9"/>
    <n v="9"/>
    <x v="2"/>
    <x v="7"/>
    <s v="Difficult"/>
    <s v="Better Salary"/>
    <s v="Male"/>
    <n v="25"/>
    <s v="Canada"/>
    <s v="Bachelors"/>
    <s v="Asian or Asian American"/>
  </r>
  <r>
    <s v="62a349160a77c1a77f65d4db"/>
    <s v="anonymous"/>
    <d v="2022-06-10T00:00:00"/>
    <d v="1899-12-30T09:37:00"/>
    <d v="1899-12-30T00:00:28"/>
    <m/>
    <m/>
    <m/>
    <m/>
    <m/>
    <x v="0"/>
    <s v="Yes"/>
    <s v="66k-85k"/>
    <x v="6"/>
    <s v="Other"/>
    <s v="Python"/>
    <n v="6"/>
    <n v="9"/>
    <n v="7"/>
    <n v="6"/>
    <x v="2"/>
    <x v="0"/>
    <s v="Neither easy nor difficult"/>
    <s v="Better Salary"/>
    <s v="Male"/>
    <n v="28"/>
    <s v="United States"/>
    <s v="Masters"/>
    <s v="White or Caucasian"/>
  </r>
  <r>
    <s v="62a3493fb4da29969c62fe63"/>
    <s v="anonymous"/>
    <d v="2022-06-10T00:00:00"/>
    <d v="1899-12-30T09:38:00"/>
    <d v="1899-12-30T00:02:22"/>
    <m/>
    <m/>
    <m/>
    <m/>
    <m/>
    <x v="2"/>
    <s v="Yes"/>
    <s v="41k-65k"/>
    <x v="1"/>
    <s v="Other"/>
    <s v="Python"/>
    <n v="8"/>
    <n v="8"/>
    <n v="9"/>
    <n v="9"/>
    <x v="9"/>
    <x v="2"/>
    <s v="Very Easy"/>
    <s v="Better Salary"/>
    <s v="Male"/>
    <n v="34"/>
    <s v="United Kingdom"/>
    <s v="Bachelors"/>
    <s v="White or Caucasian"/>
  </r>
  <r>
    <s v="62a3496e575fa3a5ae88c4e6"/>
    <s v="anonymous"/>
    <d v="2022-06-10T00:00:00"/>
    <d v="1899-12-30T09:38:00"/>
    <d v="1899-12-30T00:03:18"/>
    <m/>
    <m/>
    <m/>
    <m/>
    <m/>
    <x v="0"/>
    <s v="Yes"/>
    <s v="0-40k"/>
    <x v="2"/>
    <s v="Tech"/>
    <s v="Python"/>
    <n v="8"/>
    <n v="10"/>
    <n v="9"/>
    <n v="9"/>
    <x v="9"/>
    <x v="8"/>
    <s v="Neither easy nor difficult"/>
    <s v="Better Salary"/>
    <s v="Female"/>
    <n v="28"/>
    <s v="Other"/>
    <s v="Bachelors"/>
    <s v="Hispanic or Latino"/>
  </r>
  <r>
    <s v="62a3498e575fa3a5ae88c554"/>
    <s v="anonymous"/>
    <d v="2022-06-10T00:00:00"/>
    <d v="1899-12-30T09:39:00"/>
    <d v="1899-12-30T00:01:55"/>
    <m/>
    <m/>
    <m/>
    <m/>
    <m/>
    <x v="4"/>
    <s v="No"/>
    <s v="0-40k"/>
    <x v="2"/>
    <s v="Other"/>
    <s v="Other"/>
    <n v="7"/>
    <n v="9"/>
    <n v="7"/>
    <n v="8"/>
    <x v="6"/>
    <x v="2"/>
    <s v="Neither easy nor difficult"/>
    <s v="Better Salary"/>
    <s v="Male"/>
    <n v="24"/>
    <s v="Other"/>
    <s v="Bachelors"/>
    <s v="Asian or Asian American"/>
  </r>
  <r>
    <s v="62a34991b4da29969c62ff4b"/>
    <s v="anonymous"/>
    <d v="2022-06-10T00:00:00"/>
    <d v="1899-12-30T09:39:00"/>
    <d v="1899-12-30T00:01:15"/>
    <m/>
    <m/>
    <m/>
    <m/>
    <m/>
    <x v="4"/>
    <s v="Yes"/>
    <s v="0-40k"/>
    <x v="2"/>
    <s v="Healthcare"/>
    <s v="Python"/>
    <n v="3"/>
    <n v="7"/>
    <n v="7"/>
    <n v="7"/>
    <x v="1"/>
    <x v="4"/>
    <s v="Difficult"/>
    <s v="Better Salary"/>
    <s v="Male"/>
    <n v="31"/>
    <s v="United States"/>
    <s v="Masters"/>
    <s v="Black or African American"/>
  </r>
  <r>
    <s v="62a349bbf8f756164585400d"/>
    <s v="anonymous"/>
    <d v="2022-06-10T00:00:00"/>
    <d v="1899-12-30T09:40:00"/>
    <d v="1899-12-30T00:02:07"/>
    <m/>
    <m/>
    <m/>
    <m/>
    <m/>
    <x v="0"/>
    <s v="Yes"/>
    <s v="41k-65k"/>
    <x v="1"/>
    <s v="Other"/>
    <s v="Other"/>
    <n v="3"/>
    <n v="6"/>
    <n v="6"/>
    <n v="6"/>
    <x v="7"/>
    <x v="7"/>
    <s v="Easy"/>
    <s v="Better Salary"/>
    <s v="Male"/>
    <n v="25"/>
    <s v="Canada"/>
    <s v="Bachelors"/>
    <s v="Asian or Asian American"/>
  </r>
  <r>
    <s v="62a349c7cec54911e9ca67c7"/>
    <s v="anonymous"/>
    <d v="2022-06-10T00:00:00"/>
    <d v="1899-12-30T09:40:00"/>
    <d v="1899-12-30T00:01:05"/>
    <m/>
    <m/>
    <m/>
    <m/>
    <m/>
    <x v="0"/>
    <s v="Yes"/>
    <s v="106k-125k"/>
    <x v="0"/>
    <s v="Finance"/>
    <s v="Python"/>
    <n v="5"/>
    <n v="1"/>
    <n v="4"/>
    <n v="3"/>
    <x v="4"/>
    <x v="7"/>
    <s v="Easy"/>
    <s v="Better Salary"/>
    <s v="Female"/>
    <n v="38"/>
    <s v="United States"/>
    <s v="Bachelors"/>
    <s v="White or Caucasian"/>
  </r>
  <r>
    <s v="62a349d5d8c00e9f5419ead2"/>
    <s v="anonymous"/>
    <d v="2022-06-10T00:00:00"/>
    <d v="1899-12-30T09:40:00"/>
    <d v="1899-12-30T00:01:32"/>
    <m/>
    <m/>
    <m/>
    <m/>
    <m/>
    <x v="0"/>
    <s v="No"/>
    <s v="41k-65k"/>
    <x v="1"/>
    <s v="Finance"/>
    <s v="Python"/>
    <n v="5"/>
    <n v="5"/>
    <n v="5"/>
    <n v="5"/>
    <x v="7"/>
    <x v="5"/>
    <s v="Neither easy nor difficult"/>
    <s v="Good Culture"/>
    <s v="Male"/>
    <n v="30"/>
    <s v="Other"/>
    <s v="Bachelors"/>
    <s v="Hispanic or Latino"/>
  </r>
  <r>
    <s v="62a349e6b4da29969c63000c"/>
    <s v="anonymous"/>
    <d v="2022-06-10T00:00:00"/>
    <d v="1899-12-30T09:40:00"/>
    <d v="1899-12-30T00:01:32"/>
    <m/>
    <m/>
    <m/>
    <m/>
    <m/>
    <x v="0"/>
    <s v="Yes"/>
    <s v="0-40k"/>
    <x v="2"/>
    <s v="Tech"/>
    <s v="C/C++"/>
    <n v="0"/>
    <n v="0"/>
    <n v="0"/>
    <n v="2"/>
    <x v="8"/>
    <x v="5"/>
    <s v="Neither easy nor difficult"/>
    <s v="Good Work/Life Balance"/>
    <s v="Male"/>
    <n v="25"/>
    <s v="India"/>
    <s v="Bachelors"/>
    <s v="Asian or Asian American"/>
  </r>
  <r>
    <s v="62a34a03cec54911e9ca6869"/>
    <s v="anonymous"/>
    <d v="2022-06-10T00:00:00"/>
    <d v="1899-12-30T09:41:00"/>
    <d v="1899-12-30T00:01:08"/>
    <m/>
    <m/>
    <m/>
    <m/>
    <m/>
    <x v="0"/>
    <s v="Yes"/>
    <s v="0-40k"/>
    <x v="2"/>
    <s v="Tech"/>
    <s v="Python"/>
    <n v="1"/>
    <n v="2"/>
    <n v="1"/>
    <n v="5"/>
    <x v="5"/>
    <x v="10"/>
    <s v="Neither easy nor difficult"/>
    <s v="Better Salary"/>
    <s v="Female"/>
    <n v="29"/>
    <s v="Other"/>
    <s v="Bachelors"/>
    <s v="Black or African American"/>
  </r>
  <r>
    <s v="62a34ab15d257a28a30d9589"/>
    <s v="anonymous"/>
    <d v="2022-06-10T00:00:00"/>
    <d v="1899-12-30T09:44:00"/>
    <d v="1899-12-30T00:04:27"/>
    <m/>
    <m/>
    <m/>
    <m/>
    <m/>
    <x v="3"/>
    <s v="Yes"/>
    <s v="150k-225k"/>
    <x v="3"/>
    <s v="Finance"/>
    <s v="Python"/>
    <n v="7"/>
    <n v="5"/>
    <n v="3"/>
    <n v="6"/>
    <x v="7"/>
    <x v="7"/>
    <s v="Difficult"/>
    <s v="Good Work/Life Balance"/>
    <s v="Male"/>
    <n v="21"/>
    <s v="Other"/>
    <s v="Masters"/>
    <s v="White or Caucasian"/>
  </r>
  <r>
    <s v="62a34abc0f8c8599d5af31c5"/>
    <s v="anonymous"/>
    <d v="2022-06-10T00:00:00"/>
    <d v="1899-12-30T09:44:00"/>
    <d v="1899-12-30T00:02:00"/>
    <m/>
    <m/>
    <m/>
    <m/>
    <m/>
    <x v="0"/>
    <s v="Yes"/>
    <s v="66k-85k"/>
    <x v="6"/>
    <s v="Other"/>
    <s v="Other"/>
    <n v="5"/>
    <n v="8"/>
    <n v="8"/>
    <n v="7"/>
    <x v="5"/>
    <x v="0"/>
    <s v="Very Easy"/>
    <s v="Remote Work"/>
    <s v="Female"/>
    <n v="39"/>
    <s v="United States"/>
    <s v="Bachelors"/>
    <s v="Asian or Asian American"/>
  </r>
  <r>
    <s v="62a34b07cec54911e9ca6b6e"/>
    <s v="anonymous"/>
    <d v="2022-06-10T00:00:00"/>
    <d v="1899-12-30T09:45:00"/>
    <d v="1899-12-30T00:01:19"/>
    <m/>
    <m/>
    <m/>
    <m/>
    <m/>
    <x v="4"/>
    <s v="No"/>
    <s v="0-40k"/>
    <x v="2"/>
    <s v="Other"/>
    <s v="Python"/>
    <n v="0"/>
    <n v="0"/>
    <n v="0"/>
    <n v="0"/>
    <x v="3"/>
    <x v="5"/>
    <s v="Neither easy nor difficult"/>
    <s v="Better Salary"/>
    <s v="Male"/>
    <n v="25"/>
    <s v="Other"/>
    <s v="Bachelors"/>
    <s v="White or Caucasian"/>
  </r>
  <r>
    <s v="62a34b0eb4da29969c6302ce"/>
    <s v="anonymous"/>
    <d v="2022-06-10T00:00:00"/>
    <d v="1899-12-30T09:45:00"/>
    <d v="1899-12-30T00:02:36"/>
    <m/>
    <m/>
    <m/>
    <m/>
    <m/>
    <x v="2"/>
    <s v="Yes"/>
    <s v="86k-105k"/>
    <x v="5"/>
    <s v="Finance"/>
    <s v="Other"/>
    <n v="7"/>
    <n v="9"/>
    <n v="10"/>
    <n v="6"/>
    <x v="7"/>
    <x v="7"/>
    <s v="Neither easy nor difficult"/>
    <s v="Other"/>
    <s v="Female"/>
    <n v="42"/>
    <s v="United States"/>
    <s v="Masters"/>
    <s v="Hispanic or Latino"/>
  </r>
  <r>
    <s v="62a34b1b0f8c8599d5af328b"/>
    <s v="anonymous"/>
    <d v="2022-06-10T00:00:00"/>
    <d v="1899-12-30T09:46:00"/>
    <d v="1899-12-30T00:00:48"/>
    <m/>
    <m/>
    <m/>
    <m/>
    <m/>
    <x v="0"/>
    <s v="No"/>
    <s v="41k-65k"/>
    <x v="1"/>
    <s v="Tech"/>
    <s v="R"/>
    <n v="10"/>
    <n v="8"/>
    <n v="9"/>
    <n v="10"/>
    <x v="9"/>
    <x v="2"/>
    <s v="Easy"/>
    <s v="Better Salary"/>
    <s v="Male"/>
    <n v="25"/>
    <s v="United States"/>
    <s v="Bachelors"/>
    <s v="White or Caucasian"/>
  </r>
  <r>
    <s v="62a34b5b5d257a28a30d96a6"/>
    <s v="anonymous"/>
    <d v="2022-06-10T00:00:00"/>
    <d v="1899-12-30T09:47:00"/>
    <d v="1899-12-30T00:01:20"/>
    <m/>
    <m/>
    <m/>
    <m/>
    <m/>
    <x v="3"/>
    <s v="No"/>
    <s v="86k-105k"/>
    <x v="5"/>
    <s v="Finance"/>
    <s v="Python"/>
    <n v="8"/>
    <n v="7"/>
    <n v="6"/>
    <n v="6"/>
    <x v="0"/>
    <x v="6"/>
    <s v="Neither easy nor difficult"/>
    <s v="Better Salary"/>
    <s v="Male"/>
    <n v="22"/>
    <s v="United States"/>
    <s v="Bachelors"/>
    <s v="White or Caucasian"/>
  </r>
  <r>
    <s v="62a34b7ebae91e4b8b83076c"/>
    <s v="anonymous"/>
    <d v="2022-06-10T00:00:00"/>
    <d v="1899-12-30T09:47:00"/>
    <d v="1899-12-30T00:02:04"/>
    <m/>
    <m/>
    <m/>
    <m/>
    <m/>
    <x v="0"/>
    <s v="No"/>
    <s v="0-40k"/>
    <x v="2"/>
    <s v="Other"/>
    <s v="Python"/>
    <n v="1"/>
    <n v="4"/>
    <n v="4"/>
    <n v="3"/>
    <x v="11"/>
    <x v="5"/>
    <s v="Easy"/>
    <s v="Better Salary"/>
    <s v="Male"/>
    <n v="23"/>
    <s v="Other"/>
    <s v="High School"/>
    <s v="Hispanic or Latino"/>
  </r>
  <r>
    <s v="62a34b99cec54911e9ca6e14"/>
    <s v="anonymous"/>
    <d v="2022-06-10T00:00:00"/>
    <d v="1899-12-30T09:48:00"/>
    <d v="1899-12-30T00:02:36"/>
    <m/>
    <m/>
    <m/>
    <m/>
    <m/>
    <x v="1"/>
    <s v="Yes"/>
    <s v="41k-65k"/>
    <x v="1"/>
    <s v="Other"/>
    <s v="JavaScript"/>
    <n v="6"/>
    <n v="6"/>
    <n v="6"/>
    <n v="6"/>
    <x v="5"/>
    <x v="10"/>
    <s v="Difficult"/>
    <s v="Good Culture"/>
    <s v="Male"/>
    <n v="25"/>
    <s v="Other"/>
    <s v="High School"/>
    <s v="Other"/>
  </r>
  <r>
    <s v="62a34bb0f3072dd892624210"/>
    <s v="anonymous"/>
    <d v="2022-06-10T00:00:00"/>
    <d v="1899-12-30T09:48:00"/>
    <d v="1899-12-30T00:01:05"/>
    <m/>
    <m/>
    <m/>
    <m/>
    <m/>
    <x v="1"/>
    <s v="Yes"/>
    <s v="66k-85k"/>
    <x v="6"/>
    <s v="Other"/>
    <s v="Python"/>
    <n v="5"/>
    <n v="7"/>
    <n v="7"/>
    <n v="6"/>
    <x v="5"/>
    <x v="0"/>
    <s v="Neither easy nor difficult"/>
    <s v="Better Salary"/>
    <s v="Male"/>
    <n v="45"/>
    <s v="Canada"/>
    <s v="Masters"/>
    <s v="White or Caucasian"/>
  </r>
  <r>
    <s v="62a34bd0cf2555431730208b"/>
    <s v="anonymous"/>
    <d v="2022-06-10T00:00:00"/>
    <d v="1899-12-30T09:49:00"/>
    <d v="1899-12-30T00:01:29"/>
    <m/>
    <m/>
    <m/>
    <m/>
    <m/>
    <x v="0"/>
    <s v="Yes"/>
    <s v="66k-85k"/>
    <x v="6"/>
    <s v="Healthcare"/>
    <s v="Other"/>
    <n v="7"/>
    <n v="3"/>
    <n v="8"/>
    <n v="6"/>
    <x v="6"/>
    <x v="8"/>
    <s v="Easy"/>
    <s v="Good Work/Life Balance"/>
    <s v="Male"/>
    <n v="24"/>
    <s v="United States"/>
    <s v="Bachelors"/>
    <s v="White or Caucasian"/>
  </r>
  <r>
    <s v="62a34bd4f408bae018ed57bd"/>
    <s v="anonymous"/>
    <d v="2022-06-10T00:00:00"/>
    <d v="1899-12-30T09:49:00"/>
    <d v="1899-12-30T00:03:57"/>
    <m/>
    <m/>
    <m/>
    <m/>
    <m/>
    <x v="4"/>
    <s v="No"/>
    <s v="0-40k"/>
    <x v="2"/>
    <s v="Other"/>
    <s v="R"/>
    <n v="1"/>
    <n v="9"/>
    <n v="6"/>
    <n v="0"/>
    <x v="3"/>
    <x v="9"/>
    <s v="Difficult"/>
    <s v="Better Salary"/>
    <s v="Male"/>
    <n v="25"/>
    <s v="United States"/>
    <m/>
    <s v="Black or African American"/>
  </r>
  <r>
    <s v="62a34c66b4da29969c6305af"/>
    <s v="anonymous"/>
    <d v="2022-06-10T00:00:00"/>
    <d v="1899-12-30T09:51:00"/>
    <d v="1899-12-30T00:01:36"/>
    <m/>
    <m/>
    <m/>
    <m/>
    <m/>
    <x v="0"/>
    <s v="Yes"/>
    <s v="66k-85k"/>
    <x v="6"/>
    <s v="Other"/>
    <s v="Python"/>
    <n v="9"/>
    <n v="8"/>
    <n v="9"/>
    <n v="9"/>
    <x v="6"/>
    <x v="8"/>
    <s v="Difficult"/>
    <s v="Good Work/Life Balance"/>
    <s v="Male"/>
    <n v="26"/>
    <s v="United States"/>
    <s v="Bachelors"/>
    <s v="White or Caucasian"/>
  </r>
  <r>
    <s v="62a34d1ff8f756164585465c"/>
    <s v="anonymous"/>
    <d v="2022-06-10T00:00:00"/>
    <d v="1899-12-30T09:54:00"/>
    <d v="1899-12-30T00:01:41"/>
    <m/>
    <m/>
    <m/>
    <m/>
    <m/>
    <x v="0"/>
    <s v="No"/>
    <s v="41k-65k"/>
    <x v="1"/>
    <s v="Tech"/>
    <s v="R"/>
    <n v="4"/>
    <n v="7"/>
    <n v="8"/>
    <n v="8"/>
    <x v="0"/>
    <x v="0"/>
    <s v="Easy"/>
    <s v="Better Salary"/>
    <s v="Male"/>
    <n v="23"/>
    <s v="Canada"/>
    <s v="Bachelors"/>
    <s v="Asian or Asian American"/>
  </r>
  <r>
    <s v="62a34d4118134ddc75ceb0ed"/>
    <s v="anonymous"/>
    <d v="2022-06-10T00:00:00"/>
    <d v="1899-12-30T09:55:00"/>
    <d v="1899-12-30T00:01:37"/>
    <m/>
    <m/>
    <m/>
    <m/>
    <m/>
    <x v="4"/>
    <s v="Yes"/>
    <s v="0-40k"/>
    <x v="2"/>
    <s v="Other"/>
    <s v="Python"/>
    <n v="1"/>
    <n v="1"/>
    <n v="1"/>
    <n v="0"/>
    <x v="3"/>
    <x v="1"/>
    <s v="Difficult"/>
    <s v="Remote Work"/>
    <s v="Female"/>
    <n v="42"/>
    <s v="United Kingdom"/>
    <s v="Masters"/>
    <s v="White or Caucasian"/>
  </r>
  <r>
    <s v="62a34da0f408bae018ed5abd"/>
    <s v="anonymous"/>
    <d v="2022-06-10T00:00:00"/>
    <d v="1899-12-30T09:56:00"/>
    <d v="1899-12-30T00:01:30"/>
    <m/>
    <m/>
    <m/>
    <m/>
    <m/>
    <x v="2"/>
    <s v="Yes"/>
    <s v="41k-65k"/>
    <x v="1"/>
    <s v="Education"/>
    <s v="Other"/>
    <n v="0"/>
    <n v="0"/>
    <n v="2"/>
    <n v="0"/>
    <x v="3"/>
    <x v="9"/>
    <s v="Very Difficult"/>
    <s v="Good Work/Life Balance"/>
    <s v="Female"/>
    <n v="42"/>
    <s v="United States"/>
    <s v="Bachelors"/>
    <s v="Black or African American"/>
  </r>
  <r>
    <s v="62a34dbb5d257a28a30d9a61"/>
    <s v="anonymous"/>
    <d v="2022-06-10T00:00:00"/>
    <d v="1899-12-30T09:57:00"/>
    <d v="1899-12-30T00:01:26"/>
    <m/>
    <m/>
    <m/>
    <m/>
    <m/>
    <x v="2"/>
    <s v="No"/>
    <s v="0-40k"/>
    <x v="2"/>
    <s v="Tech"/>
    <s v="Python"/>
    <n v="0"/>
    <n v="6"/>
    <n v="5"/>
    <n v="5"/>
    <x v="4"/>
    <x v="3"/>
    <s v="Neither easy nor difficult"/>
    <s v="Better Salary"/>
    <s v="Male"/>
    <n v="25"/>
    <s v="India"/>
    <s v="Masters"/>
    <s v="Asian or Asian American"/>
  </r>
  <r>
    <s v="62a34e00f8f7561645854954"/>
    <s v="anonymous"/>
    <d v="2022-06-10T00:00:00"/>
    <d v="1899-12-30T09:58:00"/>
    <d v="1899-12-30T00:02:24"/>
    <m/>
    <m/>
    <m/>
    <m/>
    <m/>
    <x v="0"/>
    <s v="Yes"/>
    <s v="86k-105k"/>
    <x v="5"/>
    <s v="Tech"/>
    <s v="R"/>
    <n v="8"/>
    <n v="10"/>
    <n v="10"/>
    <n v="10"/>
    <x v="8"/>
    <x v="0"/>
    <s v="Easy"/>
    <s v="Remote Work"/>
    <s v="Male"/>
    <n v="38"/>
    <s v="United States"/>
    <s v="Masters"/>
    <s v="White or Caucasian"/>
  </r>
  <r>
    <s v="62a34e082e54c9003e534118"/>
    <s v="anonymous"/>
    <d v="2022-06-10T00:00:00"/>
    <d v="1899-12-30T09:58:00"/>
    <d v="1899-12-30T00:02:51"/>
    <m/>
    <m/>
    <m/>
    <m/>
    <m/>
    <x v="2"/>
    <s v="No"/>
    <s v="0-40k"/>
    <x v="2"/>
    <s v="Tech"/>
    <s v="Python"/>
    <n v="5"/>
    <n v="6"/>
    <n v="6"/>
    <n v="6"/>
    <x v="5"/>
    <x v="7"/>
    <s v="Easy"/>
    <s v="Better Salary"/>
    <s v="Male"/>
    <n v="24"/>
    <s v="Other"/>
    <s v="Bachelors"/>
    <s v="Hispanic or Latino"/>
  </r>
  <r>
    <s v="62a34eb7bc6861bf3176e6d8"/>
    <s v="anonymous"/>
    <d v="2022-06-10T00:00:00"/>
    <d v="1899-12-30T10:01:00"/>
    <d v="1899-12-30T00:01:37"/>
    <m/>
    <m/>
    <m/>
    <m/>
    <m/>
    <x v="0"/>
    <s v="Yes"/>
    <s v="66k-85k"/>
    <x v="6"/>
    <s v="Education"/>
    <s v="R"/>
    <n v="7"/>
    <n v="10"/>
    <n v="10"/>
    <n v="10"/>
    <x v="6"/>
    <x v="2"/>
    <s v="Neither easy nor difficult"/>
    <s v="Good Work/Life Balance"/>
    <s v="Male"/>
    <n v="28"/>
    <s v="United States"/>
    <s v="Bachelors"/>
    <s v="White or Caucasian"/>
  </r>
  <r>
    <s v="62a34f2af8f7561645854c1c"/>
    <s v="anonymous"/>
    <d v="2022-06-10T00:00:00"/>
    <d v="1899-12-30T10:03:00"/>
    <d v="1899-12-30T00:01:06"/>
    <m/>
    <m/>
    <m/>
    <m/>
    <m/>
    <x v="0"/>
    <s v="No"/>
    <s v="41k-65k"/>
    <x v="1"/>
    <s v="Healthcare"/>
    <s v="Python"/>
    <n v="1"/>
    <n v="2"/>
    <n v="8"/>
    <n v="7"/>
    <x v="3"/>
    <x v="9"/>
    <s v="Difficult"/>
    <s v="Better Salary"/>
    <s v="Male"/>
    <n v="21"/>
    <s v="United States"/>
    <s v="Bachelors"/>
    <s v="Asian or Asian American"/>
  </r>
  <r>
    <s v="62a34f3bf408bae018ed5e42"/>
    <s v="anonymous"/>
    <d v="2022-06-10T00:00:00"/>
    <d v="1899-12-30T10:03:00"/>
    <d v="1899-12-30T00:01:13"/>
    <m/>
    <m/>
    <m/>
    <m/>
    <m/>
    <x v="0"/>
    <s v="Yes"/>
    <s v="106k-125k"/>
    <x v="0"/>
    <s v="Healthcare"/>
    <s v="R"/>
    <n v="10"/>
    <n v="10"/>
    <n v="10"/>
    <n v="10"/>
    <x v="9"/>
    <x v="2"/>
    <s v="Very Easy"/>
    <s v="Good Culture"/>
    <s v="Male"/>
    <n v="39"/>
    <s v="United States"/>
    <s v="Masters"/>
    <s v="White or Caucasian"/>
  </r>
  <r>
    <s v="62a34fa418134ddc75ceb509"/>
    <s v="anonymous"/>
    <d v="2022-06-10T00:00:00"/>
    <d v="1899-12-30T10:05:00"/>
    <d v="1899-12-30T00:03:29"/>
    <m/>
    <m/>
    <m/>
    <m/>
    <m/>
    <x v="0"/>
    <s v="Yes"/>
    <s v="0-40k"/>
    <x v="2"/>
    <s v="Tech"/>
    <s v="Python"/>
    <n v="4"/>
    <n v="5"/>
    <n v="5"/>
    <n v="5"/>
    <x v="5"/>
    <x v="8"/>
    <s v="Difficult"/>
    <s v="Good Work/Life Balance"/>
    <s v="Male"/>
    <n v="23"/>
    <s v="Other"/>
    <s v="Bachelors"/>
    <s v="Asian or Asian American"/>
  </r>
  <r>
    <s v="62a34fbacec54911e9ca776f"/>
    <s v="anonymous"/>
    <d v="2022-06-10T00:00:00"/>
    <d v="1899-12-30T10:05:00"/>
    <d v="1899-12-30T00:01:17"/>
    <m/>
    <m/>
    <m/>
    <m/>
    <m/>
    <x v="0"/>
    <s v="No"/>
    <s v="0-40k"/>
    <x v="2"/>
    <s v="Other"/>
    <s v="R"/>
    <n v="1"/>
    <n v="6"/>
    <n v="4"/>
    <n v="3"/>
    <x v="0"/>
    <x v="10"/>
    <s v="Neither easy nor difficult"/>
    <s v="Good Work/Life Balance"/>
    <s v="Female"/>
    <n v="23"/>
    <s v="Other"/>
    <s v="Bachelors"/>
    <s v="White or Caucasian"/>
  </r>
  <r>
    <s v="62a34fc3f3072dd892624a45"/>
    <s v="anonymous"/>
    <d v="2022-06-10T00:00:00"/>
    <d v="1899-12-30T10:05:00"/>
    <d v="1899-12-30T00:02:03"/>
    <m/>
    <m/>
    <m/>
    <m/>
    <m/>
    <x v="0"/>
    <s v="Yes"/>
    <s v="66k-85k"/>
    <x v="6"/>
    <s v="Other"/>
    <s v="R"/>
    <n v="8"/>
    <n v="9"/>
    <n v="8"/>
    <n v="7"/>
    <x v="2"/>
    <x v="8"/>
    <s v="Neither easy nor difficult"/>
    <s v="Good Work/Life Balance"/>
    <s v="Male"/>
    <n v="30"/>
    <s v="United States"/>
    <s v="Masters"/>
    <s v="White or Caucasian"/>
  </r>
  <r>
    <s v="62a34ff1f408bae018ed601d"/>
    <s v="anonymous"/>
    <d v="2022-06-10T00:00:00"/>
    <d v="1899-12-30T10:06:00"/>
    <d v="1899-12-30T00:01:16"/>
    <m/>
    <m/>
    <m/>
    <m/>
    <m/>
    <x v="0"/>
    <s v="No"/>
    <s v="41k-65k"/>
    <x v="1"/>
    <s v="Other"/>
    <s v="Python"/>
    <n v="2"/>
    <n v="6"/>
    <n v="2"/>
    <n v="3"/>
    <x v="8"/>
    <x v="4"/>
    <s v="Easy"/>
    <s v="Better Salary"/>
    <s v="Male"/>
    <n v="26"/>
    <s v="Other"/>
    <s v="Masters"/>
    <s v="White or Caucasian"/>
  </r>
  <r>
    <s v="62a34ff4f3072dd892624b32"/>
    <s v="anonymous"/>
    <d v="2022-06-10T00:00:00"/>
    <d v="1899-12-30T10:06:00"/>
    <d v="1899-12-30T00:02:18"/>
    <m/>
    <m/>
    <m/>
    <m/>
    <m/>
    <x v="0"/>
    <s v="Yes"/>
    <s v="41k-65k"/>
    <x v="1"/>
    <s v="Healthcare"/>
    <s v="R"/>
    <n v="3"/>
    <n v="6"/>
    <n v="4"/>
    <n v="6"/>
    <x v="7"/>
    <x v="10"/>
    <s v="Neither easy nor difficult"/>
    <s v="Better Salary"/>
    <s v="Male"/>
    <n v="37"/>
    <s v="United States"/>
    <s v="Bachelors"/>
    <s v="White or Caucasian"/>
  </r>
  <r>
    <s v="62a3505bd8c00e9f5419f8df"/>
    <s v="anonymous"/>
    <d v="2022-06-10T00:00:00"/>
    <d v="1899-12-30T10:08:00"/>
    <d v="1899-12-30T00:01:22"/>
    <m/>
    <m/>
    <m/>
    <m/>
    <m/>
    <x v="0"/>
    <s v="Yes"/>
    <s v="66k-85k"/>
    <x v="6"/>
    <s v="Healthcare"/>
    <s v="Python"/>
    <n v="3"/>
    <n v="5"/>
    <n v="4"/>
    <n v="5"/>
    <x v="7"/>
    <x v="7"/>
    <s v="Neither easy nor difficult"/>
    <s v="Better Salary"/>
    <s v="Female"/>
    <n v="31"/>
    <s v="United States"/>
    <s v="Bachelors"/>
    <s v="White or Caucasian"/>
  </r>
  <r>
    <s v="62a350f7f3072dd892624d05"/>
    <s v="anonymous"/>
    <d v="2022-06-10T00:00:00"/>
    <d v="1899-12-30T10:11:00"/>
    <d v="1899-12-30T00:02:03"/>
    <m/>
    <m/>
    <m/>
    <m/>
    <m/>
    <x v="0"/>
    <s v="Yes"/>
    <s v="0-40k"/>
    <x v="2"/>
    <s v="Finance"/>
    <s v="C/C++"/>
    <n v="5"/>
    <n v="2"/>
    <n v="4"/>
    <n v="3"/>
    <x v="4"/>
    <x v="1"/>
    <s v="Difficult"/>
    <s v="Good Work/Life Balance"/>
    <s v="Female"/>
    <n v="25"/>
    <s v="Other"/>
    <s v="Bachelors"/>
    <s v="Black or African American"/>
  </r>
  <r>
    <s v="62a35130f3072dd892624d9f"/>
    <s v="anonymous"/>
    <d v="2022-06-10T00:00:00"/>
    <d v="1899-12-30T10:12:00"/>
    <d v="1899-12-30T00:02:04"/>
    <m/>
    <m/>
    <m/>
    <m/>
    <m/>
    <x v="0"/>
    <s v="Yes"/>
    <s v="0-40k"/>
    <x v="2"/>
    <s v="Healthcare"/>
    <s v="Python"/>
    <n v="2"/>
    <n v="6"/>
    <n v="6"/>
    <n v="5"/>
    <x v="7"/>
    <x v="5"/>
    <s v="Easy"/>
    <s v="Better Salary"/>
    <s v="Female"/>
    <n v="26"/>
    <s v="Other"/>
    <s v="Bachelors"/>
    <s v="White or Caucasian"/>
  </r>
  <r>
    <s v="62a351860a77c1a77f65e86b"/>
    <s v="anonymous"/>
    <d v="2022-06-10T00:00:00"/>
    <d v="1899-12-30T10:13:00"/>
    <d v="1899-12-30T00:01:28"/>
    <m/>
    <m/>
    <m/>
    <m/>
    <m/>
    <x v="0"/>
    <s v="Yes"/>
    <s v="66k-85k"/>
    <x v="6"/>
    <s v="Healthcare"/>
    <s v="Other"/>
    <n v="7"/>
    <n v="8"/>
    <n v="8"/>
    <n v="8"/>
    <x v="6"/>
    <x v="0"/>
    <s v="Very Easy"/>
    <s v="Better Salary"/>
    <s v="Male"/>
    <n v="30"/>
    <s v="United States"/>
    <s v="Bachelors"/>
    <s v="White or Caucasian"/>
  </r>
  <r>
    <s v="62a3519b24a262602738514a"/>
    <s v="anonymous"/>
    <d v="2022-06-10T00:00:00"/>
    <d v="1899-12-30T10:13:00"/>
    <d v="1899-12-30T00:01:39"/>
    <m/>
    <m/>
    <m/>
    <m/>
    <m/>
    <x v="0"/>
    <s v="Yes"/>
    <s v="66k-85k"/>
    <x v="6"/>
    <s v="Tech"/>
    <s v="Python"/>
    <n v="9"/>
    <n v="10"/>
    <n v="10"/>
    <n v="10"/>
    <x v="2"/>
    <x v="6"/>
    <s v="Neither easy nor difficult"/>
    <s v="Better Salary"/>
    <s v="Female"/>
    <n v="39"/>
    <s v="United States"/>
    <s v="Bachelors"/>
    <s v="Black or African American"/>
  </r>
  <r>
    <s v="62a35236b4da29969c631214"/>
    <s v="anonymous"/>
    <d v="2022-06-10T00:00:00"/>
    <d v="1899-12-30T10:16:00"/>
    <d v="1899-12-30T00:00:53"/>
    <m/>
    <m/>
    <m/>
    <m/>
    <m/>
    <x v="2"/>
    <s v="No"/>
    <s v="0-40k"/>
    <x v="2"/>
    <s v="Education"/>
    <s v="Python"/>
    <n v="1"/>
    <n v="1"/>
    <n v="1"/>
    <n v="0"/>
    <x v="3"/>
    <x v="4"/>
    <s v="Easy"/>
    <s v="Good Work/Life Balance"/>
    <s v="Female"/>
    <n v="28"/>
    <s v="India"/>
    <s v="Masters"/>
    <s v="Asian or Asian American"/>
  </r>
  <r>
    <s v="62a352a32e54c9003e534981"/>
    <s v="anonymous"/>
    <d v="2022-06-10T00:00:00"/>
    <d v="1899-12-30T10:18:00"/>
    <d v="1899-12-30T00:01:46"/>
    <m/>
    <m/>
    <m/>
    <m/>
    <m/>
    <x v="0"/>
    <s v="Yes"/>
    <s v="66k-85k"/>
    <x v="6"/>
    <s v="Finance"/>
    <s v="Other"/>
    <n v="8"/>
    <n v="8"/>
    <n v="7"/>
    <n v="7"/>
    <x v="9"/>
    <x v="2"/>
    <s v="Very Easy"/>
    <s v="Good Work/Life Balance"/>
    <s v="Male"/>
    <n v="22"/>
    <s v="United States"/>
    <s v="Bachelors"/>
    <s v="Other"/>
  </r>
  <r>
    <s v="62a352f00a77c1a77f65eae7"/>
    <s v="anonymous"/>
    <d v="2022-06-10T00:00:00"/>
    <d v="1899-12-30T10:19:00"/>
    <d v="1899-12-30T00:02:45"/>
    <m/>
    <m/>
    <m/>
    <m/>
    <m/>
    <x v="0"/>
    <s v="Yes"/>
    <s v="0-40k"/>
    <x v="2"/>
    <s v="Telecommunication"/>
    <s v="Python"/>
    <n v="3"/>
    <n v="2"/>
    <n v="4"/>
    <n v="2"/>
    <x v="8"/>
    <x v="4"/>
    <s v="Neither easy nor difficult"/>
    <s v="Good Culture"/>
    <s v="Male"/>
    <n v="28"/>
    <s v="Other"/>
    <s v="Bachelors"/>
    <s v="Black or African American"/>
  </r>
  <r>
    <s v="62a353372e54c9003e534a40"/>
    <s v="anonymous"/>
    <d v="2022-06-10T00:00:00"/>
    <d v="1899-12-30T10:20:00"/>
    <d v="1899-12-30T00:01:44"/>
    <m/>
    <m/>
    <m/>
    <m/>
    <m/>
    <x v="2"/>
    <s v="No"/>
    <s v="150k-225k"/>
    <x v="3"/>
    <s v="Tech"/>
    <s v="R"/>
    <n v="8"/>
    <n v="10"/>
    <n v="9"/>
    <n v="7"/>
    <x v="0"/>
    <x v="5"/>
    <s v="Neither easy nor difficult"/>
    <s v="Remote Work"/>
    <s v="Male"/>
    <n v="33"/>
    <s v="United States"/>
    <s v="Masters"/>
    <s v="White or Caucasian"/>
  </r>
  <r>
    <s v="62a353565d257a28a30da59f"/>
    <s v="anonymous"/>
    <d v="2022-06-10T00:00:00"/>
    <d v="1899-12-30T10:21:00"/>
    <d v="1899-12-30T00:05:11"/>
    <m/>
    <m/>
    <m/>
    <m/>
    <m/>
    <x v="0"/>
    <s v="Yes"/>
    <s v="0-40k"/>
    <x v="2"/>
    <s v="Finance"/>
    <s v="Other"/>
    <n v="2"/>
    <n v="3"/>
    <n v="3"/>
    <n v="3"/>
    <x v="8"/>
    <x v="7"/>
    <s v="Neither easy nor difficult"/>
    <s v="Good Work/Life Balance"/>
    <s v="Female"/>
    <n v="22"/>
    <s v="Other"/>
    <s v="Bachelors"/>
    <s v="Other"/>
  </r>
  <r>
    <s v="62a353f07dc029e2d66c1783"/>
    <s v="anonymous"/>
    <d v="2022-06-10T00:00:00"/>
    <d v="1899-12-30T10:23:00"/>
    <d v="1899-12-30T00:01:48"/>
    <m/>
    <m/>
    <m/>
    <m/>
    <m/>
    <x v="4"/>
    <s v="No"/>
    <s v="0-40k"/>
    <x v="2"/>
    <s v="Tech"/>
    <s v="Python"/>
    <n v="3"/>
    <n v="5"/>
    <n v="5"/>
    <n v="4"/>
    <x v="7"/>
    <x v="5"/>
    <s v="Neither easy nor difficult"/>
    <s v="Better Salary"/>
    <s v="Male"/>
    <n v="27"/>
    <s v="India"/>
    <s v="Bachelors"/>
    <s v="Other"/>
  </r>
  <r>
    <s v="62a3545e0f8c8599d5af474b"/>
    <s v="anonymous"/>
    <d v="2022-06-10T00:00:00"/>
    <d v="1899-12-30T10:25:00"/>
    <d v="1899-12-30T00:03:42"/>
    <m/>
    <m/>
    <m/>
    <m/>
    <m/>
    <x v="0"/>
    <s v="Yes"/>
    <s v="106k-125k"/>
    <x v="0"/>
    <s v="Other"/>
    <s v="Other"/>
    <n v="8"/>
    <n v="8"/>
    <n v="8"/>
    <n v="8"/>
    <x v="9"/>
    <x v="2"/>
    <s v="Easy"/>
    <s v="Good Work/Life Balance"/>
    <s v="Male"/>
    <n v="37"/>
    <s v="United States"/>
    <s v="Bachelors"/>
    <s v="Other"/>
  </r>
  <r>
    <s v="62a35472cec54911e9ca82bc"/>
    <s v="anonymous"/>
    <d v="2022-06-10T00:00:00"/>
    <d v="1899-12-30T10:25:00"/>
    <d v="1899-12-30T00:22:47"/>
    <m/>
    <m/>
    <m/>
    <m/>
    <m/>
    <x v="2"/>
    <s v="No"/>
    <s v="41k-65k"/>
    <x v="1"/>
    <s v="Other"/>
    <s v="R"/>
    <n v="3"/>
    <n v="4"/>
    <n v="5"/>
    <n v="5"/>
    <x v="7"/>
    <x v="1"/>
    <s v="Difficult"/>
    <s v="Better Salary"/>
    <s v="Male"/>
    <n v="24"/>
    <s v="United States"/>
    <s v="Masters"/>
    <s v="White or Caucasian"/>
  </r>
  <r>
    <s v="62a354bdb4da29969c631700"/>
    <s v="anonymous"/>
    <d v="2022-06-10T00:00:00"/>
    <d v="1899-12-30T10:27:00"/>
    <d v="1899-12-30T00:01:20"/>
    <m/>
    <m/>
    <m/>
    <m/>
    <m/>
    <x v="0"/>
    <s v="No"/>
    <s v="41k-65k"/>
    <x v="1"/>
    <s v="Healthcare"/>
    <s v="R"/>
    <n v="1"/>
    <n v="4"/>
    <n v="3"/>
    <n v="2"/>
    <x v="3"/>
    <x v="10"/>
    <s v="Difficult"/>
    <s v="Better Salary"/>
    <s v="Male"/>
    <n v="25"/>
    <s v="United Kingdom"/>
    <s v="Masters"/>
    <s v="Asian or Asian American"/>
  </r>
  <r>
    <s v="62a354e9cf255543173031ed"/>
    <s v="anonymous"/>
    <d v="2022-06-10T00:00:00"/>
    <d v="1899-12-30T10:27:00"/>
    <d v="1899-12-30T00:01:24"/>
    <m/>
    <m/>
    <m/>
    <m/>
    <m/>
    <x v="1"/>
    <s v="No"/>
    <s v="86k-105k"/>
    <x v="5"/>
    <s v="Healthcare"/>
    <s v="R"/>
    <n v="8"/>
    <n v="10"/>
    <n v="8"/>
    <n v="8"/>
    <x v="10"/>
    <x v="2"/>
    <s v="Neither easy nor difficult"/>
    <s v="Good Culture"/>
    <s v="Male"/>
    <n v="28"/>
    <s v="United States"/>
    <s v="Masters"/>
    <s v="Black or African American"/>
  </r>
  <r>
    <s v="62a35541f3072dd892625517"/>
    <s v="anonymous"/>
    <d v="2022-06-10T00:00:00"/>
    <d v="1899-12-30T10:29:00"/>
    <d v="1899-12-30T00:02:07"/>
    <m/>
    <m/>
    <m/>
    <m/>
    <m/>
    <x v="0"/>
    <s v="Yes"/>
    <s v="41k-65k"/>
    <x v="1"/>
    <s v="Other"/>
    <s v="Python"/>
    <n v="5"/>
    <n v="5"/>
    <n v="7"/>
    <n v="7"/>
    <x v="2"/>
    <x v="0"/>
    <s v="Easy"/>
    <s v="Better Salary"/>
    <s v="Male"/>
    <n v="32"/>
    <s v="United Kingdom"/>
    <s v="Bachelors"/>
    <s v="White or Caucasian"/>
  </r>
  <r>
    <s v="62a355445d257a28a30dab12"/>
    <s v="anonymous"/>
    <d v="2022-06-10T00:00:00"/>
    <d v="1899-12-30T10:29:00"/>
    <d v="1899-12-30T00:01:34"/>
    <m/>
    <m/>
    <m/>
    <m/>
    <m/>
    <x v="0"/>
    <s v="Yes"/>
    <s v="41k-65k"/>
    <x v="1"/>
    <s v="Other"/>
    <s v="Python"/>
    <n v="0"/>
    <n v="7"/>
    <n v="7"/>
    <n v="7"/>
    <x v="3"/>
    <x v="0"/>
    <s v="Easy"/>
    <s v="Good Culture"/>
    <s v="Male"/>
    <n v="29"/>
    <s v="United States"/>
    <s v="Bachelors"/>
    <s v="Asian or Asian American"/>
  </r>
  <r>
    <s v="62a35631cf25554317303425"/>
    <s v="anonymous"/>
    <d v="2022-06-10T00:00:00"/>
    <d v="1899-12-30T10:33:00"/>
    <d v="1899-12-30T00:02:50"/>
    <m/>
    <m/>
    <m/>
    <m/>
    <m/>
    <x v="0"/>
    <s v="No"/>
    <s v="41k-65k"/>
    <x v="1"/>
    <s v="Healthcare"/>
    <s v="R"/>
    <n v="7"/>
    <n v="5"/>
    <n v="8"/>
    <n v="6"/>
    <x v="0"/>
    <x v="2"/>
    <s v="Difficult"/>
    <s v="Other"/>
    <s v="Female"/>
    <n v="26"/>
    <s v="Other"/>
    <s v="Masters"/>
    <s v="White or Caucasian"/>
  </r>
  <r>
    <s v="62a357390a77c1a77f65f189"/>
    <s v="anonymous"/>
    <d v="2022-06-10T00:00:00"/>
    <d v="1899-12-30T10:37:00"/>
    <d v="1899-12-30T00:03:01"/>
    <m/>
    <m/>
    <m/>
    <m/>
    <m/>
    <x v="1"/>
    <s v="Yes"/>
    <s v="41k-65k"/>
    <x v="1"/>
    <s v="Tech"/>
    <s v="Python"/>
    <n v="0"/>
    <n v="7"/>
    <n v="5"/>
    <n v="0"/>
    <x v="3"/>
    <x v="0"/>
    <s v="Neither easy nor difficult"/>
    <s v="Remote Work"/>
    <s v="Male"/>
    <n v="37"/>
    <s v="Canada"/>
    <s v="Masters"/>
    <s v="White or Caucasian"/>
  </r>
  <r>
    <s v="62a3578b0a77c1a77f65f279"/>
    <s v="anonymous"/>
    <d v="2022-06-10T00:00:00"/>
    <d v="1899-12-30T10:39:00"/>
    <d v="1899-12-30T00:01:44"/>
    <m/>
    <m/>
    <m/>
    <m/>
    <m/>
    <x v="0"/>
    <s v="No"/>
    <s v="41k-65k"/>
    <x v="1"/>
    <s v="Other"/>
    <s v="R"/>
    <n v="4"/>
    <n v="6"/>
    <n v="5"/>
    <n v="4"/>
    <x v="0"/>
    <x v="10"/>
    <s v="Neither easy nor difficult"/>
    <s v="Better Salary"/>
    <s v="Male"/>
    <n v="25"/>
    <s v="United States"/>
    <s v="Bachelors"/>
    <s v="White or Caucasian"/>
  </r>
  <r>
    <s v="62a357d30f8c8599d5af4ea3"/>
    <s v="anonymous"/>
    <d v="2022-06-10T00:00:00"/>
    <d v="1899-12-30T10:40:00"/>
    <d v="1899-12-30T00:01:36"/>
    <m/>
    <m/>
    <m/>
    <m/>
    <m/>
    <x v="0"/>
    <s v="No"/>
    <s v="0-40k"/>
    <x v="2"/>
    <s v="Finance"/>
    <s v="Other"/>
    <n v="4"/>
    <n v="4"/>
    <n v="5"/>
    <n v="6"/>
    <x v="5"/>
    <x v="9"/>
    <s v="Difficult"/>
    <s v="Better Salary"/>
    <s v="Male"/>
    <n v="24"/>
    <s v="Other"/>
    <s v="High School"/>
    <s v="White or Caucasian"/>
  </r>
  <r>
    <s v="62a3582e575fa3a5ae88e506"/>
    <s v="anonymous"/>
    <d v="2022-06-10T00:00:00"/>
    <d v="1899-12-30T10:41:00"/>
    <d v="1899-12-30T00:02:45"/>
    <m/>
    <m/>
    <m/>
    <m/>
    <m/>
    <x v="2"/>
    <s v="No"/>
    <s v="125k-150k"/>
    <x v="4"/>
    <s v="Finance"/>
    <s v="Other"/>
    <n v="7"/>
    <n v="8"/>
    <n v="8"/>
    <n v="8"/>
    <x v="2"/>
    <x v="8"/>
    <s v="Easy"/>
    <s v="Better Salary"/>
    <s v="Male"/>
    <n v="52"/>
    <s v="United States"/>
    <s v="Bachelors"/>
    <s v="White or Caucasian"/>
  </r>
  <r>
    <s v="62a35878575fa3a5ae88e5d5"/>
    <s v="anonymous"/>
    <d v="2022-06-10T00:00:00"/>
    <d v="1899-12-30T10:43:00"/>
    <d v="1899-12-30T00:04:22"/>
    <m/>
    <m/>
    <m/>
    <m/>
    <m/>
    <x v="0"/>
    <s v="Yes"/>
    <s v="41k-65k"/>
    <x v="1"/>
    <s v="Finance"/>
    <s v="Python"/>
    <n v="6"/>
    <n v="10"/>
    <n v="3"/>
    <n v="5"/>
    <x v="3"/>
    <x v="2"/>
    <s v="Difficult"/>
    <s v="Good Culture"/>
    <s v="Male"/>
    <n v="27"/>
    <s v="Other"/>
    <s v="Bachelors"/>
    <s v="Asian or Asian American"/>
  </r>
  <r>
    <s v="62a35981bae91e4b8b8323dd"/>
    <s v="anonymous"/>
    <d v="2022-06-10T00:00:00"/>
    <d v="1899-12-30T10:47:00"/>
    <d v="1899-12-30T00:01:07"/>
    <m/>
    <m/>
    <m/>
    <m/>
    <m/>
    <x v="0"/>
    <s v="No"/>
    <s v="106k-125k"/>
    <x v="0"/>
    <s v="Healthcare"/>
    <s v="Other"/>
    <n v="6"/>
    <n v="6"/>
    <n v="3"/>
    <n v="3"/>
    <x v="4"/>
    <x v="1"/>
    <s v="Neither easy nor difficult"/>
    <s v="Better Salary"/>
    <s v="Female"/>
    <n v="29"/>
    <s v="United States"/>
    <s v="Masters"/>
    <s v="White or Caucasian"/>
  </r>
  <r>
    <s v="62a35a2c7dc029e2d66c2519"/>
    <s v="anonymous"/>
    <d v="2022-06-10T00:00:00"/>
    <d v="1899-12-30T10:50:00"/>
    <d v="1899-12-30T00:01:39"/>
    <m/>
    <m/>
    <m/>
    <m/>
    <m/>
    <x v="4"/>
    <s v="No"/>
    <s v="0-40k"/>
    <x v="2"/>
    <s v="Tech"/>
    <s v="Python"/>
    <n v="3"/>
    <n v="7"/>
    <n v="6"/>
    <n v="7"/>
    <x v="3"/>
    <x v="9"/>
    <s v="Difficult"/>
    <s v="Better Salary"/>
    <s v="Male"/>
    <n v="42"/>
    <s v="Other"/>
    <s v="Associates"/>
    <s v="White or Caucasian"/>
  </r>
  <r>
    <s v="62a35aa2f8d5efcc22f8075d"/>
    <s v="anonymous"/>
    <d v="2022-06-10T00:00:00"/>
    <d v="1899-12-30T10:52:00"/>
    <d v="1899-12-30T00:01:24"/>
    <m/>
    <m/>
    <m/>
    <m/>
    <m/>
    <x v="0"/>
    <s v="Yes"/>
    <s v="41k-65k"/>
    <x v="1"/>
    <s v="Telecommunication"/>
    <s v="R"/>
    <n v="3"/>
    <n v="5"/>
    <n v="6"/>
    <n v="4"/>
    <x v="4"/>
    <x v="0"/>
    <s v="Difficult"/>
    <s v="Other"/>
    <s v="Male"/>
    <n v="28"/>
    <s v="United States"/>
    <s v="Masters"/>
    <s v="White or Caucasian"/>
  </r>
  <r>
    <s v="62a35ababae91e4b8b83269d"/>
    <s v="anonymous"/>
    <d v="2022-06-10T00:00:00"/>
    <d v="1899-12-30T10:52:00"/>
    <d v="1899-12-30T00:02:39"/>
    <m/>
    <m/>
    <m/>
    <m/>
    <m/>
    <x v="0"/>
    <s v="Yes"/>
    <s v="0-40k"/>
    <x v="2"/>
    <s v="Tech"/>
    <s v="Python"/>
    <n v="8"/>
    <n v="8"/>
    <n v="8"/>
    <n v="8"/>
    <x v="6"/>
    <x v="6"/>
    <s v="Neither easy nor difficult"/>
    <s v="Good Work/Life Balance"/>
    <s v="Male"/>
    <n v="44"/>
    <s v="Other"/>
    <s v="Bachelors"/>
    <s v="Hispanic or Latino"/>
  </r>
  <r>
    <s v="62a35ae0575fa3a5ae88ea98"/>
    <s v="anonymous"/>
    <d v="2022-06-10T00:00:00"/>
    <d v="1899-12-30T10:53:00"/>
    <d v="1899-12-30T00:01:30"/>
    <m/>
    <m/>
    <m/>
    <m/>
    <m/>
    <x v="1"/>
    <s v="Yes"/>
    <s v="0-40k"/>
    <x v="2"/>
    <s v="Tech"/>
    <s v="Python"/>
    <n v="5"/>
    <n v="5"/>
    <n v="6"/>
    <n v="5"/>
    <x v="5"/>
    <x v="0"/>
    <s v="Neither easy nor difficult"/>
    <s v="Remote Work"/>
    <s v="Male"/>
    <n v="23"/>
    <s v="Other"/>
    <s v="Bachelors"/>
    <s v="White or Caucasian"/>
  </r>
  <r>
    <s v="62a35ae87dc029e2d66c279b"/>
    <s v="anonymous"/>
    <d v="2022-06-10T00:00:00"/>
    <d v="1899-12-30T10:53:00"/>
    <d v="1899-12-30T00:01:14"/>
    <m/>
    <m/>
    <m/>
    <m/>
    <m/>
    <x v="0"/>
    <s v="No"/>
    <s v="41k-65k"/>
    <x v="1"/>
    <s v="Other"/>
    <s v="R"/>
    <n v="1"/>
    <n v="2"/>
    <n v="6"/>
    <n v="4"/>
    <x v="8"/>
    <x v="9"/>
    <s v="Easy"/>
    <s v="Better Salary"/>
    <s v="Male"/>
    <n v="27"/>
    <s v="United States"/>
    <s v="Bachelors"/>
    <s v="Hispanic or Latino"/>
  </r>
  <r>
    <s v="62a35b13bc6861bf31770188"/>
    <s v="anonymous"/>
    <d v="2022-06-10T00:00:00"/>
    <d v="1899-12-30T10:54:00"/>
    <d v="1899-12-30T00:01:05"/>
    <m/>
    <m/>
    <m/>
    <m/>
    <m/>
    <x v="0"/>
    <s v="No"/>
    <s v="66k-85k"/>
    <x v="6"/>
    <s v="Construction"/>
    <s v="Python"/>
    <n v="3"/>
    <n v="3"/>
    <n v="3"/>
    <n v="2"/>
    <x v="8"/>
    <x v="3"/>
    <s v="Neither easy nor difficult"/>
    <s v="Good Culture"/>
    <s v="Male"/>
    <n v="26"/>
    <s v="United States"/>
    <s v="Masters"/>
    <s v="White or Caucasian"/>
  </r>
  <r>
    <s v="62a35b72f408bae018ed76a8"/>
    <s v="anonymous"/>
    <d v="2022-06-10T00:00:00"/>
    <d v="1899-12-30T10:55:00"/>
    <d v="1899-12-30T00:01:14"/>
    <m/>
    <m/>
    <m/>
    <m/>
    <m/>
    <x v="0"/>
    <s v="Yes"/>
    <s v="86k-105k"/>
    <x v="5"/>
    <s v="Healthcare"/>
    <s v="Other"/>
    <n v="3"/>
    <n v="4"/>
    <n v="4"/>
    <n v="4"/>
    <x v="1"/>
    <x v="1"/>
    <s v="Neither easy nor difficult"/>
    <s v="Better Salary"/>
    <s v="Male"/>
    <n v="27"/>
    <s v="United States"/>
    <s v="Masters"/>
    <s v="Hispanic or Latino"/>
  </r>
  <r>
    <s v="62a35b965d257a28a30db899"/>
    <s v="anonymous"/>
    <d v="2022-06-10T00:00:00"/>
    <d v="1899-12-30T10:56:00"/>
    <d v="1899-12-30T00:01:45"/>
    <m/>
    <m/>
    <m/>
    <m/>
    <m/>
    <x v="0"/>
    <s v="Yes"/>
    <s v="66k-85k"/>
    <x v="6"/>
    <s v="Other"/>
    <s v="Python"/>
    <n v="0"/>
    <n v="0"/>
    <n v="7"/>
    <n v="1"/>
    <x v="3"/>
    <x v="6"/>
    <s v="Difficult"/>
    <s v="Better Salary"/>
    <s v="Male"/>
    <n v="33"/>
    <s v="Canada"/>
    <s v="Bachelors"/>
    <s v="Asian or Asian American"/>
  </r>
  <r>
    <s v="62a35ba3f3072dd892626068"/>
    <s v="anonymous"/>
    <d v="2022-06-10T00:00:00"/>
    <d v="1899-12-30T10:56:00"/>
    <d v="1899-12-30T00:01:44"/>
    <m/>
    <m/>
    <m/>
    <m/>
    <m/>
    <x v="0"/>
    <s v="Yes"/>
    <s v="66k-85k"/>
    <x v="6"/>
    <s v="Other"/>
    <s v="Python"/>
    <n v="8"/>
    <n v="10"/>
    <n v="10"/>
    <n v="10"/>
    <x v="9"/>
    <x v="2"/>
    <s v="Easy"/>
    <s v="Better Salary"/>
    <s v="Male"/>
    <n v="28"/>
    <s v="United States"/>
    <s v="Bachelors"/>
    <s v="Hispanic or Latino"/>
  </r>
  <r>
    <s v="62a35c890a77c1a77f65fdfa"/>
    <s v="anonymous"/>
    <d v="2022-06-10T00:00:00"/>
    <d v="1899-12-30T11:00:00"/>
    <d v="1899-12-30T00:01:29"/>
    <m/>
    <m/>
    <m/>
    <m/>
    <m/>
    <x v="0"/>
    <s v="Yes"/>
    <s v="0-40k"/>
    <x v="2"/>
    <s v="Tech"/>
    <s v="R"/>
    <n v="2"/>
    <n v="8"/>
    <n v="8"/>
    <n v="7"/>
    <x v="5"/>
    <x v="6"/>
    <s v="Neither easy nor difficult"/>
    <s v="Better Salary"/>
    <s v="Male"/>
    <n v="32"/>
    <s v="Other"/>
    <s v="Bachelors"/>
    <s v="Black or African American"/>
  </r>
  <r>
    <s v="62a35d8f575fa3a5ae88efd6"/>
    <s v="anonymous"/>
    <d v="2022-06-10T00:00:00"/>
    <d v="1899-12-30T11:04:00"/>
    <d v="1899-12-30T00:02:38"/>
    <m/>
    <m/>
    <m/>
    <m/>
    <m/>
    <x v="4"/>
    <s v="Yes"/>
    <s v="41k-65k"/>
    <x v="1"/>
    <s v="Other"/>
    <s v="Python"/>
    <n v="2"/>
    <n v="4"/>
    <n v="6"/>
    <n v="1"/>
    <x v="1"/>
    <x v="3"/>
    <s v="Very Difficult"/>
    <s v="Better Salary"/>
    <s v="Male"/>
    <n v="34"/>
    <s v="Canada"/>
    <s v="Associates"/>
    <s v="Asian or Asian American"/>
  </r>
  <r>
    <s v="62a35d95cf25554317304386"/>
    <s v="anonymous"/>
    <d v="2022-06-10T00:00:00"/>
    <d v="1899-12-30T11:04:00"/>
    <d v="1899-12-30T00:01:04"/>
    <m/>
    <m/>
    <m/>
    <m/>
    <m/>
    <x v="0"/>
    <s v="No"/>
    <s v="150k-225k"/>
    <x v="3"/>
    <s v="Tech"/>
    <s v="Python"/>
    <n v="10"/>
    <n v="10"/>
    <n v="10"/>
    <n v="8"/>
    <x v="9"/>
    <x v="2"/>
    <s v="Easy"/>
    <s v="Good Work/Life Balance"/>
    <s v="Male"/>
    <n v="28"/>
    <s v="United States"/>
    <s v="Bachelors"/>
    <s v="Asian or Asian American"/>
  </r>
  <r>
    <s v="62a35e970a77c1a77f66035a"/>
    <s v="anonymous"/>
    <d v="2022-06-10T00:00:00"/>
    <d v="1899-12-30T11:09:00"/>
    <d v="1899-12-30T00:01:51"/>
    <m/>
    <m/>
    <m/>
    <m/>
    <m/>
    <x v="3"/>
    <s v="Yes"/>
    <s v="125k-150k"/>
    <x v="4"/>
    <s v="Telecommunication"/>
    <s v="Python"/>
    <n v="2"/>
    <n v="4"/>
    <n v="1"/>
    <n v="3"/>
    <x v="1"/>
    <x v="0"/>
    <s v="Neither easy nor difficult"/>
    <s v="Better Salary"/>
    <s v="Male"/>
    <n v="27"/>
    <s v="India"/>
    <s v="Bachelors"/>
    <s v="Other"/>
  </r>
  <r>
    <s v="62a35eabf408bae018ed7cbc"/>
    <s v="anonymous"/>
    <d v="2022-06-10T00:00:00"/>
    <d v="1899-12-30T11:09:00"/>
    <d v="1899-12-30T00:01:35"/>
    <m/>
    <m/>
    <m/>
    <m/>
    <m/>
    <x v="1"/>
    <s v="Yes"/>
    <s v="41k-65k"/>
    <x v="1"/>
    <s v="Finance"/>
    <s v="Python"/>
    <n v="2"/>
    <n v="4"/>
    <n v="5"/>
    <n v="5"/>
    <x v="7"/>
    <x v="10"/>
    <s v="Difficult"/>
    <s v="Better Salary"/>
    <s v="Male"/>
    <n v="22"/>
    <s v="United States"/>
    <s v="Bachelors"/>
    <s v="White or Caucasian"/>
  </r>
  <r>
    <s v="62a35f0d24a2626027386a8b"/>
    <s v="anonymous"/>
    <d v="2022-06-10T00:00:00"/>
    <d v="1899-12-30T11:11:00"/>
    <d v="1899-12-30T00:01:03"/>
    <m/>
    <m/>
    <m/>
    <m/>
    <m/>
    <x v="0"/>
    <s v="No"/>
    <s v="66k-85k"/>
    <x v="6"/>
    <s v="Healthcare"/>
    <s v="Python"/>
    <n v="3"/>
    <n v="3"/>
    <n v="4"/>
    <n v="1"/>
    <x v="8"/>
    <x v="4"/>
    <s v="Neither easy nor difficult"/>
    <s v="Better Salary"/>
    <s v="Male"/>
    <n v="29"/>
    <s v="United States"/>
    <s v="Masters"/>
    <s v="White or Caucasian"/>
  </r>
  <r>
    <s v="62a35f825d257a28a30dc128"/>
    <s v="anonymous"/>
    <d v="2022-06-10T00:00:00"/>
    <d v="1899-12-30T11:13:00"/>
    <d v="1899-12-30T00:02:17"/>
    <m/>
    <m/>
    <m/>
    <m/>
    <m/>
    <x v="0"/>
    <s v="No"/>
    <s v="66k-85k"/>
    <x v="6"/>
    <s v="Healthcare"/>
    <s v="Python"/>
    <n v="8"/>
    <n v="10"/>
    <n v="10"/>
    <n v="8"/>
    <x v="0"/>
    <x v="0"/>
    <s v="Neither easy nor difficult"/>
    <s v="Good Work/Life Balance"/>
    <s v="Female"/>
    <n v="31"/>
    <s v="United States"/>
    <s v="Masters"/>
    <s v="White or Caucasian"/>
  </r>
  <r>
    <s v="62a35fa0f8f7561645856c35"/>
    <s v="anonymous"/>
    <d v="2022-06-10T00:00:00"/>
    <d v="1899-12-30T11:13:00"/>
    <d v="1899-12-30T00:01:39"/>
    <m/>
    <m/>
    <m/>
    <m/>
    <m/>
    <x v="0"/>
    <s v="No"/>
    <s v="66k-85k"/>
    <x v="6"/>
    <s v="Tech"/>
    <s v="Python"/>
    <n v="4"/>
    <n v="5"/>
    <n v="5"/>
    <n v="5"/>
    <x v="7"/>
    <x v="7"/>
    <s v="Easy"/>
    <s v="Remote Work"/>
    <s v="Male"/>
    <n v="28"/>
    <s v="United States"/>
    <s v="Bachelors"/>
    <s v="White or Caucasian"/>
  </r>
  <r>
    <s v="62a35fc1f8f7561645856c98"/>
    <s v="anonymous"/>
    <d v="2022-06-10T00:00:00"/>
    <d v="1899-12-30T11:14:00"/>
    <d v="1899-12-30T00:00:53"/>
    <m/>
    <m/>
    <m/>
    <m/>
    <m/>
    <x v="4"/>
    <s v="No"/>
    <s v="0-40k"/>
    <x v="2"/>
    <s v="Healthcare"/>
    <s v="Python"/>
    <n v="0"/>
    <n v="0"/>
    <n v="0"/>
    <n v="0"/>
    <x v="3"/>
    <x v="9"/>
    <s v="Neither easy nor difficult"/>
    <s v="Good Work/Life Balance"/>
    <s v="Male"/>
    <n v="24"/>
    <s v="United States"/>
    <s v="Masters"/>
    <s v="Asian or Asian American"/>
  </r>
  <r>
    <s v="62a3602318134ddc75ced6b9"/>
    <s v="anonymous"/>
    <d v="2022-06-10T00:00:00"/>
    <d v="1899-12-30T11:15:00"/>
    <d v="1899-12-30T00:01:19"/>
    <m/>
    <m/>
    <m/>
    <m/>
    <m/>
    <x v="0"/>
    <s v="No"/>
    <s v="86k-105k"/>
    <x v="5"/>
    <s v="Other"/>
    <s v="Other"/>
    <n v="4"/>
    <n v="5"/>
    <n v="3"/>
    <n v="4"/>
    <x v="8"/>
    <x v="1"/>
    <s v="Easy"/>
    <s v="Good Culture"/>
    <s v="Male"/>
    <n v="34"/>
    <s v="United States"/>
    <s v="Masters"/>
    <s v="White or Caucasian"/>
  </r>
  <r>
    <s v="62a360b8f8f7561645856ec4"/>
    <s v="anonymous"/>
    <d v="2022-06-10T00:00:00"/>
    <d v="1899-12-30T11:18:00"/>
    <d v="1899-12-30T00:01:16"/>
    <m/>
    <m/>
    <m/>
    <m/>
    <m/>
    <x v="1"/>
    <s v="No"/>
    <s v="86k-105k"/>
    <x v="5"/>
    <s v="Tech"/>
    <s v="Python"/>
    <n v="5"/>
    <n v="3"/>
    <n v="5"/>
    <n v="5"/>
    <x v="7"/>
    <x v="5"/>
    <s v="Difficult"/>
    <s v="Better Salary"/>
    <s v="Male"/>
    <n v="23"/>
    <s v="United States"/>
    <s v="Bachelors"/>
    <s v="White or Caucasian"/>
  </r>
  <r>
    <s v="62a360dbd8c00e9f541a16cf"/>
    <s v="anonymous"/>
    <d v="2022-06-10T00:00:00"/>
    <d v="1899-12-30T11:18:00"/>
    <d v="1899-12-30T00:02:08"/>
    <m/>
    <m/>
    <m/>
    <m/>
    <m/>
    <x v="4"/>
    <s v="No"/>
    <s v="41k-65k"/>
    <x v="1"/>
    <s v="Construction"/>
    <s v="Other"/>
    <n v="10"/>
    <n v="4"/>
    <n v="10"/>
    <n v="10"/>
    <x v="7"/>
    <x v="2"/>
    <s v="Neither easy nor difficult"/>
    <s v="Remote Work"/>
    <s v="Male"/>
    <n v="32"/>
    <s v="Other"/>
    <s v="Masters"/>
    <s v="White or Caucasian"/>
  </r>
  <r>
    <s v="62a36146f8f7561645856ff7"/>
    <s v="anonymous"/>
    <d v="2022-06-10T00:00:00"/>
    <d v="1899-12-30T11:20:00"/>
    <d v="1899-12-30T00:01:31"/>
    <m/>
    <m/>
    <m/>
    <m/>
    <m/>
    <x v="0"/>
    <s v="Yes"/>
    <s v="0-40k"/>
    <x v="2"/>
    <s v="Healthcare"/>
    <s v="R"/>
    <n v="6"/>
    <n v="8"/>
    <n v="6"/>
    <n v="6"/>
    <x v="6"/>
    <x v="2"/>
    <s v="Easy"/>
    <s v="Remote Work"/>
    <s v="Male"/>
    <n v="29"/>
    <s v="Other"/>
    <s v="High School"/>
    <s v="Hispanic or Latino"/>
  </r>
  <r>
    <s v="62a361af0f8c8599d5af6277"/>
    <s v="anonymous"/>
    <d v="2022-06-10T00:00:00"/>
    <d v="1899-12-30T11:22:00"/>
    <d v="1899-12-30T00:01:39"/>
    <m/>
    <m/>
    <m/>
    <m/>
    <m/>
    <x v="0"/>
    <s v="Yes"/>
    <s v="0-40k"/>
    <x v="2"/>
    <s v="Education"/>
    <s v="Python"/>
    <n v="0"/>
    <n v="0"/>
    <n v="0"/>
    <n v="0"/>
    <x v="3"/>
    <x v="9"/>
    <s v="Very Difficult"/>
    <s v="Better Salary"/>
    <s v="Male"/>
    <n v="34"/>
    <s v="Other"/>
    <s v="Bachelors"/>
    <s v="Black or African American"/>
  </r>
  <r>
    <s v="62a361cc575fa3a5ae88f908"/>
    <s v="anonymous"/>
    <d v="2022-06-10T00:00:00"/>
    <d v="1899-12-30T11:22:00"/>
    <d v="1899-12-30T00:00:55"/>
    <m/>
    <m/>
    <m/>
    <m/>
    <m/>
    <x v="0"/>
    <s v="No"/>
    <s v="66k-85k"/>
    <x v="6"/>
    <s v="Finance"/>
    <s v="Python"/>
    <n v="7"/>
    <n v="5"/>
    <n v="5"/>
    <n v="7"/>
    <x v="10"/>
    <x v="2"/>
    <s v="Very Easy"/>
    <s v="Remote Work"/>
    <s v="Male"/>
    <n v="24"/>
    <s v="United Kingdom"/>
    <s v="Bachelors"/>
    <s v="White or Caucasian"/>
  </r>
  <r>
    <s v="62a3620f0f8c8599d5af63a5"/>
    <s v="anonymous"/>
    <d v="2022-06-10T00:00:00"/>
    <d v="1899-12-30T11:23:00"/>
    <d v="1899-12-30T00:02:19"/>
    <m/>
    <m/>
    <m/>
    <m/>
    <m/>
    <x v="2"/>
    <s v="No"/>
    <s v="66k-85k"/>
    <x v="6"/>
    <s v="Tech"/>
    <s v="Python"/>
    <n v="0"/>
    <n v="10"/>
    <n v="6"/>
    <n v="0"/>
    <x v="3"/>
    <x v="9"/>
    <s v="Difficult"/>
    <s v="Better Salary"/>
    <s v="Male"/>
    <n v="30"/>
    <s v="United States"/>
    <s v="Bachelors"/>
    <s v="Other"/>
  </r>
  <r>
    <s v="62a36251d8c00e9f541a199e"/>
    <s v="anonymous"/>
    <d v="2022-06-10T00:00:00"/>
    <d v="1899-12-30T11:25:00"/>
    <d v="1899-12-30T00:01:59"/>
    <m/>
    <m/>
    <m/>
    <m/>
    <m/>
    <x v="2"/>
    <s v="No"/>
    <s v="86k-105k"/>
    <x v="5"/>
    <s v="Other"/>
    <s v="Python"/>
    <n v="5"/>
    <n v="5"/>
    <n v="6"/>
    <n v="4"/>
    <x v="0"/>
    <x v="5"/>
    <s v="Difficult"/>
    <s v="Better Salary"/>
    <s v="Male"/>
    <n v="24"/>
    <s v="United States"/>
    <s v="Masters"/>
    <s v="Hispanic or Latino"/>
  </r>
  <r>
    <s v="62a36275bc6861bf31771183"/>
    <s v="anonymous"/>
    <d v="2022-06-10T00:00:00"/>
    <d v="1899-12-30T11:25:00"/>
    <d v="1899-12-30T00:01:52"/>
    <m/>
    <m/>
    <m/>
    <m/>
    <m/>
    <x v="0"/>
    <s v="Yes"/>
    <s v="41k-65k"/>
    <x v="1"/>
    <s v="Other"/>
    <s v="Python"/>
    <n v="6"/>
    <n v="8"/>
    <n v="10"/>
    <n v="9"/>
    <x v="2"/>
    <x v="6"/>
    <s v="Easy"/>
    <s v="Better Salary"/>
    <s v="Male"/>
    <n v="27"/>
    <s v="United States"/>
    <s v="Bachelors"/>
    <s v="Other"/>
  </r>
  <r>
    <s v="62a3636c2e54c9003e536e6b"/>
    <s v="anonymous"/>
    <d v="2022-06-10T00:00:00"/>
    <d v="1899-12-30T11:29:00"/>
    <d v="1899-12-30T00:03:30"/>
    <m/>
    <m/>
    <m/>
    <m/>
    <m/>
    <x v="0"/>
    <s v="No"/>
    <s v="0-40k"/>
    <x v="2"/>
    <s v="Finance"/>
    <s v="Python"/>
    <n v="1"/>
    <n v="2"/>
    <n v="4"/>
    <n v="4"/>
    <x v="7"/>
    <x v="5"/>
    <s v="Neither easy nor difficult"/>
    <s v="Better Salary"/>
    <s v="Male"/>
    <n v="21"/>
    <s v="India"/>
    <s v="Bachelors"/>
    <s v="Asian or Asian American"/>
  </r>
  <r>
    <s v="62a365c2f8d5efcc22f81e2e"/>
    <s v="anonymous"/>
    <d v="2022-06-10T00:00:00"/>
    <d v="1899-12-30T11:39:00"/>
    <d v="1899-12-30T00:03:54"/>
    <m/>
    <m/>
    <m/>
    <m/>
    <m/>
    <x v="0"/>
    <s v="No"/>
    <s v="0-40k"/>
    <x v="2"/>
    <s v="Other"/>
    <s v="Python"/>
    <n v="3"/>
    <n v="5"/>
    <n v="9"/>
    <n v="9"/>
    <x v="11"/>
    <x v="8"/>
    <s v="Very Difficult"/>
    <s v="Other"/>
    <s v="Male"/>
    <n v="31"/>
    <s v="Other"/>
    <s v="Masters"/>
    <s v="Black or African American"/>
  </r>
  <r>
    <s v="62a365d5d8c00e9f541a20cf"/>
    <s v="anonymous"/>
    <d v="2022-06-10T00:00:00"/>
    <d v="1899-12-30T11:40:00"/>
    <d v="1899-12-30T00:02:38"/>
    <m/>
    <m/>
    <m/>
    <m/>
    <m/>
    <x v="0"/>
    <s v="Yes"/>
    <s v="0-40k"/>
    <x v="2"/>
    <s v="Telecommunication"/>
    <s v="R"/>
    <n v="5"/>
    <n v="7"/>
    <n v="5"/>
    <n v="5"/>
    <x v="0"/>
    <x v="0"/>
    <s v="Difficult"/>
    <s v="Better Salary"/>
    <s v="Male"/>
    <n v="41"/>
    <s v="Other"/>
    <s v="Bachelors"/>
    <s v="White or Caucasian"/>
  </r>
  <r>
    <s v="62a3670b575fa3a5ae890422"/>
    <s v="anonymous"/>
    <d v="2022-06-10T00:00:00"/>
    <d v="1899-12-30T11:45:00"/>
    <d v="1899-12-30T00:02:07"/>
    <m/>
    <m/>
    <m/>
    <m/>
    <m/>
    <x v="0"/>
    <s v="Yes"/>
    <s v="0-40k"/>
    <x v="2"/>
    <s v="Tech"/>
    <s v="Python"/>
    <n v="0"/>
    <n v="1"/>
    <n v="1"/>
    <n v="0"/>
    <x v="3"/>
    <x v="4"/>
    <s v="Difficult"/>
    <s v="Better Salary"/>
    <s v="Male"/>
    <n v="25"/>
    <s v="India"/>
    <s v="Bachelors"/>
    <s v="Asian or Asian American"/>
  </r>
  <r>
    <s v="62a3676bb4da29969c633ac7"/>
    <s v="anonymous"/>
    <d v="2022-06-10T00:00:00"/>
    <d v="1899-12-30T11:46:00"/>
    <d v="1899-12-30T00:03:59"/>
    <m/>
    <m/>
    <m/>
    <m/>
    <m/>
    <x v="0"/>
    <s v="No"/>
    <s v="0-40k"/>
    <x v="2"/>
    <s v="Finance"/>
    <s v="Other"/>
    <n v="4"/>
    <n v="7"/>
    <n v="8"/>
    <n v="8"/>
    <x v="6"/>
    <x v="6"/>
    <s v="Neither easy nor difficult"/>
    <s v="Other"/>
    <s v="Male"/>
    <n v="24"/>
    <s v="Other"/>
    <s v="Bachelors"/>
    <s v="Black or African American"/>
  </r>
  <r>
    <s v="62a36794b4da29969c633b48"/>
    <s v="anonymous"/>
    <d v="2022-06-10T00:00:00"/>
    <d v="1899-12-30T11:47:00"/>
    <d v="1899-12-30T00:02:01"/>
    <m/>
    <m/>
    <m/>
    <m/>
    <m/>
    <x v="0"/>
    <s v="No"/>
    <s v="0-40k"/>
    <x v="2"/>
    <s v="Finance"/>
    <s v="Python"/>
    <n v="6"/>
    <n v="5"/>
    <n v="6"/>
    <n v="5"/>
    <x v="5"/>
    <x v="10"/>
    <s v="Neither easy nor difficult"/>
    <s v="Better Salary"/>
    <s v="Male"/>
    <n v="30"/>
    <s v="Other"/>
    <s v="Masters"/>
    <s v="Other"/>
  </r>
  <r>
    <s v="62a367d224a2626027387b56"/>
    <s v="anonymous"/>
    <d v="2022-06-10T00:00:00"/>
    <d v="1899-12-30T11:48:00"/>
    <d v="1899-12-30T00:03:38"/>
    <m/>
    <m/>
    <m/>
    <m/>
    <m/>
    <x v="0"/>
    <s v="No"/>
    <s v="150k-225k"/>
    <x v="3"/>
    <s v="Finance"/>
    <s v="Other"/>
    <n v="7"/>
    <n v="7"/>
    <n v="7"/>
    <m/>
    <x v="0"/>
    <x v="0"/>
    <s v="Neither easy nor difficult"/>
    <s v="Good Work/Life Balance"/>
    <s v="Male"/>
    <n v="33"/>
    <s v="United States"/>
    <s v="Bachelors"/>
    <s v="White or Caucasian"/>
  </r>
  <r>
    <s v="62a367ed18134ddc75cee697"/>
    <s v="anonymous"/>
    <d v="2022-06-10T00:00:00"/>
    <d v="1899-12-30T11:49:00"/>
    <d v="1899-12-30T00:02:40"/>
    <m/>
    <m/>
    <m/>
    <m/>
    <m/>
    <x v="0"/>
    <s v="No"/>
    <s v="66k-85k"/>
    <x v="6"/>
    <s v="Other"/>
    <s v="Other"/>
    <n v="7"/>
    <n v="4"/>
    <n v="10"/>
    <n v="9"/>
    <x v="2"/>
    <x v="2"/>
    <s v="Difficult"/>
    <s v="Better Salary"/>
    <s v="Male"/>
    <n v="23"/>
    <s v="United States"/>
    <s v="Bachelors"/>
    <s v="Hispanic or Latino"/>
  </r>
  <r>
    <s v="62a36802f8f7561645857e38"/>
    <s v="anonymous"/>
    <d v="2022-06-10T00:00:00"/>
    <d v="1899-12-30T11:49:00"/>
    <d v="1899-12-30T00:01:34"/>
    <m/>
    <m/>
    <m/>
    <m/>
    <m/>
    <x v="0"/>
    <s v="Yes"/>
    <s v="66k-85k"/>
    <x v="6"/>
    <s v="Tech"/>
    <s v="Python"/>
    <n v="6"/>
    <n v="6"/>
    <n v="6"/>
    <n v="6"/>
    <x v="5"/>
    <x v="10"/>
    <s v="Difficult"/>
    <s v="Remote Work"/>
    <s v="Female"/>
    <n v="33"/>
    <s v="United Kingdom"/>
    <s v="Masters"/>
    <s v="Asian or Asian American"/>
  </r>
  <r>
    <s v="62a3684ebc6861bf31771f15"/>
    <s v="anonymous"/>
    <d v="2022-06-10T00:00:00"/>
    <d v="1899-12-30T11:50:00"/>
    <d v="1899-12-30T00:00:48"/>
    <m/>
    <m/>
    <m/>
    <m/>
    <m/>
    <x v="0"/>
    <s v="No"/>
    <s v="106k-125k"/>
    <x v="0"/>
    <s v="Finance"/>
    <s v="Python"/>
    <n v="4"/>
    <n v="4"/>
    <n v="4"/>
    <n v="4"/>
    <x v="7"/>
    <x v="7"/>
    <s v="Neither easy nor difficult"/>
    <s v="Better Salary"/>
    <s v="Male"/>
    <n v="25"/>
    <s v="United States"/>
    <s v="Bachelors"/>
    <s v="White or Caucasian"/>
  </r>
  <r>
    <s v="62a3688df8f7561645857f7e"/>
    <s v="anonymous"/>
    <d v="2022-06-10T00:00:00"/>
    <d v="1899-12-30T11:51:00"/>
    <d v="1899-12-30T00:00:57"/>
    <m/>
    <m/>
    <m/>
    <m/>
    <m/>
    <x v="0"/>
    <s v="No"/>
    <s v="0-40k"/>
    <x v="2"/>
    <s v="Other"/>
    <s v="Python"/>
    <n v="5"/>
    <n v="5"/>
    <n v="5"/>
    <n v="5"/>
    <x v="0"/>
    <x v="5"/>
    <s v="Neither easy nor difficult"/>
    <s v="Remote Work"/>
    <s v="Female"/>
    <n v="27"/>
    <s v="Other"/>
    <s v="Masters"/>
    <s v="White or Caucasian"/>
  </r>
  <r>
    <s v="62a368ee2e54c9003e537e4a"/>
    <s v="anonymous"/>
    <d v="2022-06-10T00:00:00"/>
    <d v="1899-12-30T11:53:00"/>
    <d v="1899-12-30T00:01:45"/>
    <m/>
    <m/>
    <m/>
    <m/>
    <m/>
    <x v="0"/>
    <s v="Yes"/>
    <s v="0-40k"/>
    <x v="2"/>
    <s v="Finance"/>
    <s v="C/C++"/>
    <n v="5"/>
    <n v="10"/>
    <n v="10"/>
    <n v="8"/>
    <x v="9"/>
    <x v="2"/>
    <s v="Very Easy"/>
    <s v="Good Work/Life Balance"/>
    <s v="Male"/>
    <n v="30"/>
    <s v="United Kingdom"/>
    <s v="Bachelors"/>
    <s v="White or Caucasian"/>
  </r>
  <r>
    <s v="62a369280a77c1a77f661ad0"/>
    <s v="anonymous"/>
    <d v="2022-06-10T00:00:00"/>
    <d v="1899-12-30T11:54:00"/>
    <d v="1899-12-30T00:02:41"/>
    <m/>
    <m/>
    <m/>
    <m/>
    <m/>
    <x v="0"/>
    <s v="Yes"/>
    <s v="0-40k"/>
    <x v="2"/>
    <s v="Tech"/>
    <s v="Python"/>
    <n v="0"/>
    <n v="3"/>
    <m/>
    <m/>
    <x v="11"/>
    <x v="10"/>
    <s v="Neither easy nor difficult"/>
    <s v="Remote Work"/>
    <s v="Male"/>
    <n v="29"/>
    <s v="Other"/>
    <s v="Bachelors"/>
    <s v="Black or African American"/>
  </r>
  <r>
    <s v="62a36969f8f756164585821d"/>
    <s v="anonymous"/>
    <d v="2022-06-10T00:00:00"/>
    <d v="1899-12-30T11:55:00"/>
    <d v="1899-12-30T00:03:43"/>
    <m/>
    <m/>
    <m/>
    <m/>
    <m/>
    <x v="2"/>
    <s v="Yes"/>
    <s v="0-40k"/>
    <x v="2"/>
    <s v="Healthcare"/>
    <s v="Python"/>
    <n v="10"/>
    <n v="2"/>
    <n v="8"/>
    <n v="5"/>
    <x v="3"/>
    <x v="10"/>
    <s v="Easy"/>
    <s v="Better Salary"/>
    <s v="Male"/>
    <n v="25"/>
    <s v="India"/>
    <s v="Masters"/>
    <s v="Other"/>
  </r>
  <r>
    <s v="62a3697ff408bae018ed948b"/>
    <s v="anonymous"/>
    <d v="2022-06-10T00:00:00"/>
    <d v="1899-12-30T11:55:00"/>
    <d v="1899-12-30T00:01:28"/>
    <m/>
    <m/>
    <m/>
    <m/>
    <m/>
    <x v="0"/>
    <s v="No"/>
    <s v="86k-105k"/>
    <x v="5"/>
    <s v="Telecommunication"/>
    <s v="Other"/>
    <n v="7"/>
    <n v="7"/>
    <n v="5"/>
    <n v="7"/>
    <x v="2"/>
    <x v="0"/>
    <s v="Easy"/>
    <s v="Remote Work"/>
    <s v="Male"/>
    <n v="40"/>
    <s v="United States"/>
    <s v="High School"/>
    <s v="Hispanic or Latino"/>
  </r>
  <r>
    <s v="62a36ac6cf255543173063d8"/>
    <s v="anonymous"/>
    <d v="2022-06-10T00:00:00"/>
    <d v="1899-12-30T12:01:00"/>
    <d v="1899-12-30T00:02:59"/>
    <m/>
    <m/>
    <m/>
    <m/>
    <m/>
    <x v="0"/>
    <s v="No"/>
    <s v="41k-65k"/>
    <x v="1"/>
    <s v="Other"/>
    <s v="Other"/>
    <n v="6"/>
    <n v="10"/>
    <n v="8"/>
    <n v="8"/>
    <x v="7"/>
    <x v="7"/>
    <s v="Neither easy nor difficult"/>
    <s v="Better Salary"/>
    <s v="Female"/>
    <n v="29"/>
    <s v="Canada"/>
    <s v="Bachelors"/>
    <s v="Other"/>
  </r>
  <r>
    <s v="62a36ad1f408bae018ed9793"/>
    <s v="anonymous"/>
    <d v="2022-06-10T00:00:00"/>
    <d v="1899-12-30T12:01:00"/>
    <d v="1899-12-30T00:04:44"/>
    <m/>
    <m/>
    <m/>
    <m/>
    <m/>
    <x v="0"/>
    <s v="No"/>
    <s v="41k-65k"/>
    <x v="1"/>
    <s v="Other"/>
    <s v="Python"/>
    <n v="0"/>
    <n v="3"/>
    <n v="3"/>
    <n v="3"/>
    <x v="4"/>
    <x v="11"/>
    <s v="Difficult"/>
    <s v="Remote Work"/>
    <s v="Male"/>
    <n v="29"/>
    <s v="India"/>
    <s v="Masters"/>
    <s v="Asian or Asian American"/>
  </r>
  <r>
    <s v="62a36b6c24a26260273882a2"/>
    <s v="anonymous"/>
    <d v="2022-06-10T00:00:00"/>
    <d v="1899-12-30T12:03:00"/>
    <d v="1899-12-30T00:01:40"/>
    <m/>
    <m/>
    <m/>
    <m/>
    <m/>
    <x v="0"/>
    <s v="Yes"/>
    <s v="0-40k"/>
    <x v="2"/>
    <s v="Education"/>
    <s v="Python"/>
    <n v="1"/>
    <n v="2"/>
    <n v="2"/>
    <n v="3"/>
    <x v="4"/>
    <x v="7"/>
    <s v="Neither easy nor difficult"/>
    <s v="Better Salary"/>
    <s v="Male"/>
    <n v="28"/>
    <s v="Other"/>
    <s v="Masters"/>
    <s v="Black or African American"/>
  </r>
  <r>
    <s v="62a36b862e54c9003e5383c6"/>
    <s v="anonymous"/>
    <d v="2022-06-10T00:00:00"/>
    <d v="1899-12-30T12:04:00"/>
    <d v="1899-12-30T00:02:21"/>
    <m/>
    <m/>
    <m/>
    <m/>
    <m/>
    <x v="2"/>
    <s v="No"/>
    <s v="86k-105k"/>
    <x v="5"/>
    <s v="Other"/>
    <s v="Other"/>
    <n v="5"/>
    <n v="2"/>
    <n v="0"/>
    <n v="2"/>
    <x v="3"/>
    <x v="9"/>
    <s v="Neither easy nor difficult"/>
    <s v="Good Work/Life Balance"/>
    <s v="Male"/>
    <n v="34"/>
    <s v="United Kingdom"/>
    <s v="Bachelors"/>
    <s v="White or Caucasian"/>
  </r>
  <r>
    <s v="62a36d12f8d5efcc22f82cd8"/>
    <s v="anonymous"/>
    <d v="2022-06-10T00:00:00"/>
    <d v="1899-12-30T12:10:00"/>
    <d v="1899-12-30T00:02:58"/>
    <m/>
    <m/>
    <m/>
    <m/>
    <m/>
    <x v="4"/>
    <s v="No"/>
    <s v="0-40k"/>
    <x v="2"/>
    <s v="Tech"/>
    <s v="Python"/>
    <n v="0"/>
    <n v="4"/>
    <n v="7"/>
    <n v="6"/>
    <x v="2"/>
    <x v="8"/>
    <s v="Easy"/>
    <s v="Other"/>
    <s v="Male"/>
    <n v="24"/>
    <s v="Other"/>
    <s v="Masters"/>
    <s v="White or Caucasian"/>
  </r>
  <r>
    <s v="62a36d3124a262602738862c"/>
    <s v="anonymous"/>
    <d v="2022-06-10T00:00:00"/>
    <d v="1899-12-30T12:11:00"/>
    <d v="1899-12-30T00:02:23"/>
    <m/>
    <m/>
    <m/>
    <m/>
    <m/>
    <x v="0"/>
    <s v="Yes"/>
    <s v="0-40k"/>
    <x v="2"/>
    <s v="Telecommunication"/>
    <s v="Python"/>
    <n v="5"/>
    <n v="8"/>
    <n v="8"/>
    <n v="9"/>
    <x v="2"/>
    <x v="6"/>
    <s v="Very Easy"/>
    <s v="Better Salary"/>
    <s v="Male"/>
    <n v="26"/>
    <s v="Other"/>
    <s v="Bachelors"/>
    <s v="Other"/>
  </r>
  <r>
    <s v="62a36e470a77c1a77f662470"/>
    <s v="anonymous"/>
    <d v="2022-06-10T00:00:00"/>
    <d v="1899-12-30T12:16:00"/>
    <d v="1899-12-30T00:01:21"/>
    <m/>
    <m/>
    <m/>
    <m/>
    <m/>
    <x v="0"/>
    <s v="No"/>
    <s v="125k-150k"/>
    <x v="4"/>
    <s v="Tech"/>
    <s v="Python"/>
    <n v="10"/>
    <n v="5"/>
    <n v="10"/>
    <n v="10"/>
    <x v="5"/>
    <x v="2"/>
    <s v="Difficult"/>
    <s v="Good Work/Life Balance"/>
    <s v="Male"/>
    <n v="28"/>
    <s v="United States"/>
    <s v="Bachelors"/>
    <s v="Hispanic or Latino"/>
  </r>
  <r>
    <s v="62a36e7024a262602738890a"/>
    <s v="anonymous"/>
    <d v="2022-06-10T00:00:00"/>
    <d v="1899-12-30T12:16:00"/>
    <d v="1899-12-30T00:00:59"/>
    <m/>
    <m/>
    <m/>
    <m/>
    <m/>
    <x v="4"/>
    <s v="No"/>
    <s v="0-40k"/>
    <x v="2"/>
    <s v="Education"/>
    <s v="R"/>
    <n v="5"/>
    <n v="4"/>
    <n v="4"/>
    <n v="4"/>
    <x v="0"/>
    <x v="5"/>
    <s v="Difficult"/>
    <s v="Good Work/Life Balance"/>
    <s v="Male"/>
    <n v="25"/>
    <s v="Other"/>
    <s v="Masters"/>
    <s v="White or Caucasian"/>
  </r>
  <r>
    <s v="62a36fe67dc029e2d66c5303"/>
    <s v="anonymous"/>
    <d v="2022-06-10T00:00:00"/>
    <d v="1899-12-30T12:23:00"/>
    <d v="1899-12-30T00:02:52"/>
    <m/>
    <m/>
    <m/>
    <m/>
    <m/>
    <x v="0"/>
    <s v="Yes"/>
    <s v="0-40k"/>
    <x v="2"/>
    <s v="Tech"/>
    <s v="Python"/>
    <n v="1"/>
    <n v="4"/>
    <n v="9"/>
    <n v="7"/>
    <x v="6"/>
    <x v="2"/>
    <s v="Easy"/>
    <s v="Better Salary"/>
    <s v="Male"/>
    <n v="33"/>
    <s v="Other"/>
    <s v="Bachelors"/>
    <s v="Hispanic or Latino"/>
  </r>
  <r>
    <s v="62a3701f575fa3a5ae89164e"/>
    <s v="anonymous"/>
    <d v="2022-06-10T00:00:00"/>
    <d v="1899-12-30T12:23:00"/>
    <d v="1899-12-30T00:01:01"/>
    <m/>
    <m/>
    <m/>
    <m/>
    <m/>
    <x v="0"/>
    <s v="Yes"/>
    <s v="66k-85k"/>
    <x v="6"/>
    <s v="Finance"/>
    <s v="Python"/>
    <n v="4"/>
    <n v="4"/>
    <n v="6"/>
    <n v="3"/>
    <x v="7"/>
    <x v="9"/>
    <s v="Neither easy nor difficult"/>
    <s v="Remote Work"/>
    <s v="Male"/>
    <n v="30"/>
    <s v="Other"/>
    <s v="Masters"/>
    <s v="White or Caucasian"/>
  </r>
  <r>
    <s v="62a370635d257a28a30de5eb"/>
    <s v="anonymous"/>
    <d v="2022-06-10T00:00:00"/>
    <d v="1899-12-30T12:25:00"/>
    <d v="1899-12-30T00:02:51"/>
    <m/>
    <m/>
    <m/>
    <m/>
    <m/>
    <x v="0"/>
    <s v="Yes"/>
    <s v="0-40k"/>
    <x v="2"/>
    <s v="Finance"/>
    <s v="Python"/>
    <n v="1"/>
    <n v="1"/>
    <n v="1"/>
    <n v="1"/>
    <x v="1"/>
    <x v="3"/>
    <s v="Very Difficult"/>
    <s v="Better Salary"/>
    <s v="Male"/>
    <n v="35"/>
    <s v="India"/>
    <s v="Bachelors"/>
    <s v="Other"/>
  </r>
  <r>
    <s v="62a37128d8c00e9f541a39dd"/>
    <s v="anonymous"/>
    <d v="2022-06-10T00:00:00"/>
    <d v="1899-12-30T12:28:00"/>
    <d v="1899-12-30T00:01:57"/>
    <m/>
    <m/>
    <m/>
    <m/>
    <m/>
    <x v="0"/>
    <s v="No"/>
    <s v="0-40k"/>
    <x v="2"/>
    <s v="Other"/>
    <s v="Other"/>
    <n v="5"/>
    <n v="2"/>
    <n v="5"/>
    <n v="5"/>
    <x v="4"/>
    <x v="7"/>
    <s v="Difficult"/>
    <s v="Better Salary"/>
    <s v="Male"/>
    <n v="25"/>
    <s v="Other"/>
    <s v="Bachelors"/>
    <s v="White or Caucasian"/>
  </r>
  <r>
    <s v="62a3715124a2626027388f02"/>
    <s v="anonymous"/>
    <d v="2022-06-10T00:00:00"/>
    <d v="1899-12-30T12:29:00"/>
    <d v="1899-12-30T00:01:21"/>
    <m/>
    <m/>
    <m/>
    <m/>
    <m/>
    <x v="0"/>
    <s v="No"/>
    <s v="0-40k"/>
    <x v="2"/>
    <s v="Real Estate"/>
    <s v="Python"/>
    <n v="4"/>
    <n v="7"/>
    <n v="9"/>
    <n v="5"/>
    <x v="8"/>
    <x v="8"/>
    <s v="Easy"/>
    <s v="Better Salary"/>
    <s v="Male"/>
    <n v="23"/>
    <s v="Other"/>
    <s v="Bachelors"/>
    <s v="White or Caucasian"/>
  </r>
  <r>
    <s v="62a37222cf2555431730732d"/>
    <s v="anonymous"/>
    <d v="2022-06-10T00:00:00"/>
    <d v="1899-12-30T12:32:00"/>
    <d v="1899-12-30T00:02:10"/>
    <m/>
    <m/>
    <m/>
    <m/>
    <m/>
    <x v="1"/>
    <s v="No"/>
    <s v="0-40k"/>
    <x v="2"/>
    <s v="Healthcare"/>
    <s v="Python"/>
    <n v="6"/>
    <n v="6"/>
    <n v="6"/>
    <n v="5"/>
    <x v="7"/>
    <x v="0"/>
    <s v="Neither easy nor difficult"/>
    <s v="Good Work/Life Balance"/>
    <s v="Male"/>
    <n v="24"/>
    <s v="Other"/>
    <s v="Bachelors"/>
    <s v="Hispanic or Latino"/>
  </r>
  <r>
    <s v="62a373efbc6861bf3177360b"/>
    <s v="anonymous"/>
    <d v="2022-06-10T00:00:00"/>
    <d v="1899-12-30T12:40:00"/>
    <d v="1899-12-30T00:02:40"/>
    <m/>
    <m/>
    <m/>
    <m/>
    <m/>
    <x v="0"/>
    <s v="Yes"/>
    <s v="150k-225k"/>
    <x v="3"/>
    <s v="Education"/>
    <s v="Other"/>
    <n v="8"/>
    <n v="9"/>
    <n v="9"/>
    <n v="7"/>
    <x v="5"/>
    <x v="10"/>
    <s v="Neither easy nor difficult"/>
    <s v="Better Salary"/>
    <s v="Male"/>
    <n v="27"/>
    <s v="United States"/>
    <s v="Masters"/>
    <s v="Black or African American"/>
  </r>
  <r>
    <s v="62a3759e5d257a28a30def3a"/>
    <s v="anonymous"/>
    <d v="2022-06-10T00:00:00"/>
    <d v="1899-12-30T12:47:00"/>
    <d v="1899-12-30T00:01:24"/>
    <m/>
    <m/>
    <m/>
    <m/>
    <m/>
    <x v="0"/>
    <s v="Yes"/>
    <s v="66k-85k"/>
    <x v="6"/>
    <s v="Other"/>
    <s v="Python"/>
    <n v="4"/>
    <n v="10"/>
    <n v="10"/>
    <n v="8"/>
    <x v="0"/>
    <x v="10"/>
    <s v="Neither easy nor difficult"/>
    <s v="Remote Work"/>
    <s v="Male"/>
    <n v="32"/>
    <s v="United States"/>
    <s v="Bachelors"/>
    <s v="Asian or Asian American"/>
  </r>
  <r>
    <s v="62a3777624a262602738997e"/>
    <s v="anonymous"/>
    <d v="2022-06-10T00:00:00"/>
    <d v="1899-12-30T12:55:00"/>
    <d v="1899-12-30T00:01:55"/>
    <m/>
    <m/>
    <m/>
    <m/>
    <m/>
    <x v="0"/>
    <s v="Yes"/>
    <s v="41k-65k"/>
    <x v="1"/>
    <s v="Tech"/>
    <s v="Python"/>
    <n v="3"/>
    <n v="5"/>
    <n v="4"/>
    <n v="4"/>
    <x v="7"/>
    <x v="7"/>
    <s v="Neither easy nor difficult"/>
    <s v="Good Work/Life Balance"/>
    <s v="Male"/>
    <n v="50"/>
    <s v="Canada"/>
    <s v="Bachelors"/>
    <s v="White or Caucasian"/>
  </r>
  <r>
    <s v="62a377987dc029e2d66c638d"/>
    <s v="anonymous"/>
    <d v="2022-06-10T00:00:00"/>
    <d v="1899-12-30T12:55:00"/>
    <d v="1899-12-30T00:01:25"/>
    <m/>
    <m/>
    <m/>
    <m/>
    <m/>
    <x v="5"/>
    <s v="Yes"/>
    <s v="66k-85k"/>
    <x v="6"/>
    <s v="Other"/>
    <s v="Python"/>
    <n v="7"/>
    <n v="7"/>
    <n v="8"/>
    <n v="9"/>
    <x v="9"/>
    <x v="2"/>
    <s v="Neither easy nor difficult"/>
    <s v="Remote Work"/>
    <s v="Male"/>
    <n v="29"/>
    <s v="United States"/>
    <s v="High School"/>
    <s v="White or Caucasian"/>
  </r>
  <r>
    <s v="62a377f424a2626027389af3"/>
    <s v="anonymous"/>
    <d v="2022-06-10T00:00:00"/>
    <d v="1899-12-30T12:57:00"/>
    <d v="1899-12-30T00:03:54"/>
    <m/>
    <m/>
    <m/>
    <m/>
    <m/>
    <x v="0"/>
    <s v="Yes"/>
    <s v="0-40k"/>
    <x v="2"/>
    <s v="Telecommunication"/>
    <s v="R"/>
    <n v="2"/>
    <n v="8"/>
    <n v="7"/>
    <n v="6"/>
    <x v="0"/>
    <x v="10"/>
    <s v="Neither easy nor difficult"/>
    <s v="Good Work/Life Balance"/>
    <s v="Male"/>
    <n v="41"/>
    <s v="Other"/>
    <s v="Bachelors"/>
    <s v="Hispanic or Latino"/>
  </r>
  <r>
    <s v="62a3784c0f8c8599d5af8fbc"/>
    <s v="anonymous"/>
    <d v="2022-06-10T00:00:00"/>
    <d v="1899-12-30T12:58:00"/>
    <d v="1899-12-30T00:01:54"/>
    <m/>
    <m/>
    <m/>
    <m/>
    <m/>
    <x v="2"/>
    <s v="No"/>
    <s v="0-40k"/>
    <x v="2"/>
    <s v="Other"/>
    <s v="R"/>
    <n v="1"/>
    <n v="7"/>
    <n v="7"/>
    <n v="1"/>
    <x v="7"/>
    <x v="2"/>
    <s v="Neither easy nor difficult"/>
    <s v="Better Salary"/>
    <s v="Male"/>
    <n v="23"/>
    <s v="United States"/>
    <s v="Associates"/>
    <s v="White or Caucasian"/>
  </r>
  <r>
    <s v="62a37a43d8c00e9f541a4a7c"/>
    <s v="anonymous"/>
    <d v="2022-06-10T00:00:00"/>
    <d v="1899-12-30T13:07:00"/>
    <d v="1899-12-30T00:03:34"/>
    <m/>
    <m/>
    <m/>
    <m/>
    <m/>
    <x v="0"/>
    <s v="Yes"/>
    <s v="0-40k"/>
    <x v="2"/>
    <s v="Finance"/>
    <s v="Python"/>
    <n v="4"/>
    <n v="7"/>
    <n v="8"/>
    <n v="7"/>
    <x v="6"/>
    <x v="8"/>
    <s v="Difficult"/>
    <s v="Better Salary"/>
    <s v="Male"/>
    <n v="31"/>
    <s v="Other"/>
    <s v="Bachelors"/>
    <s v="Black or African American"/>
  </r>
  <r>
    <s v="62a37a7818134ddc75cf0d4c"/>
    <s v="anonymous"/>
    <d v="2022-06-10T00:00:00"/>
    <d v="1899-12-30T13:08:00"/>
    <d v="1899-12-30T00:01:27"/>
    <m/>
    <m/>
    <m/>
    <m/>
    <m/>
    <x v="0"/>
    <s v="No"/>
    <s v="0-40k"/>
    <x v="2"/>
    <s v="Healthcare"/>
    <s v="Python"/>
    <n v="0"/>
    <n v="10"/>
    <n v="10"/>
    <n v="10"/>
    <x v="9"/>
    <x v="2"/>
    <s v="Difficult"/>
    <s v="Better Salary"/>
    <s v="Male"/>
    <n v="22"/>
    <s v="Other"/>
    <s v="Bachelors"/>
    <s v="Native Hawaiian or other Pacific Islander"/>
  </r>
  <r>
    <s v="62a37aa1cf255543173081e5"/>
    <s v="anonymous"/>
    <d v="2022-06-10T00:00:00"/>
    <d v="1899-12-30T13:08:00"/>
    <d v="1899-12-30T00:01:51"/>
    <m/>
    <m/>
    <m/>
    <m/>
    <m/>
    <x v="0"/>
    <s v="No"/>
    <s v="66k-85k"/>
    <x v="6"/>
    <s v="Finance"/>
    <s v="Python"/>
    <n v="3"/>
    <n v="5"/>
    <n v="5"/>
    <n v="5"/>
    <x v="4"/>
    <x v="1"/>
    <s v="Very Difficult"/>
    <s v="Better Salary"/>
    <s v="Male"/>
    <n v="29"/>
    <s v="United States"/>
    <s v="Masters"/>
    <s v="Hispanic or Latino"/>
  </r>
  <r>
    <s v="62a37ad924a2626027389f8a"/>
    <s v="anonymous"/>
    <d v="2022-06-10T00:00:00"/>
    <d v="1899-12-30T13:09:00"/>
    <d v="1899-12-30T00:02:04"/>
    <m/>
    <m/>
    <m/>
    <m/>
    <m/>
    <x v="3"/>
    <s v="Yes"/>
    <s v="0-40k"/>
    <x v="2"/>
    <s v="Tech"/>
    <s v="Python"/>
    <n v="4"/>
    <n v="4"/>
    <n v="4"/>
    <n v="0"/>
    <x v="3"/>
    <x v="10"/>
    <s v="Difficult"/>
    <s v="Good Culture"/>
    <s v="Male"/>
    <n v="23"/>
    <s v="Other"/>
    <s v="Bachelors"/>
    <s v="Other"/>
  </r>
  <r>
    <s v="62a37b7db4da29969c636123"/>
    <s v="anonymous"/>
    <d v="2022-06-10T00:00:00"/>
    <d v="1899-12-30T13:12:00"/>
    <d v="1899-12-30T00:01:25"/>
    <m/>
    <m/>
    <m/>
    <m/>
    <m/>
    <x v="4"/>
    <s v="No"/>
    <s v="0-40k"/>
    <x v="2"/>
    <s v="Other"/>
    <s v="Other"/>
    <n v="0"/>
    <n v="0"/>
    <n v="1"/>
    <n v="1"/>
    <x v="3"/>
    <x v="3"/>
    <s v="Neither easy nor difficult"/>
    <s v="Remote Work"/>
    <s v="Female"/>
    <n v="24"/>
    <s v="United States"/>
    <s v="High School"/>
    <s v="Hispanic or Latino"/>
  </r>
  <r>
    <s v="62a37bab2e54c9003e53a10a"/>
    <s v="anonymous"/>
    <d v="2022-06-10T00:00:00"/>
    <d v="1899-12-30T13:13:00"/>
    <d v="1899-12-30T00:02:09"/>
    <m/>
    <m/>
    <m/>
    <m/>
    <m/>
    <x v="0"/>
    <s v="Yes"/>
    <s v="66k-85k"/>
    <x v="6"/>
    <s v="Other"/>
    <s v="Python"/>
    <n v="5"/>
    <n v="9"/>
    <n v="10"/>
    <n v="10"/>
    <x v="0"/>
    <x v="2"/>
    <s v="Neither easy nor difficult"/>
    <s v="Better Salary"/>
    <s v="Male"/>
    <n v="26"/>
    <s v="United States"/>
    <s v="Bachelors"/>
    <s v="Black or African American"/>
  </r>
  <r>
    <s v="62a37c50cec54911e9cacee2"/>
    <s v="anonymous"/>
    <d v="2022-06-10T00:00:00"/>
    <d v="1899-12-30T13:16:00"/>
    <d v="1899-12-30T00:01:30"/>
    <m/>
    <m/>
    <m/>
    <m/>
    <m/>
    <x v="4"/>
    <s v="Yes"/>
    <s v="0-40k"/>
    <x v="2"/>
    <s v="Finance"/>
    <s v="Python"/>
    <n v="4"/>
    <n v="3"/>
    <n v="5"/>
    <n v="2"/>
    <x v="8"/>
    <x v="1"/>
    <s v="Difficult"/>
    <s v="Good Culture"/>
    <s v="Male"/>
    <n v="31"/>
    <s v="India"/>
    <s v="Bachelors"/>
    <s v="Asian or Asian American"/>
  </r>
  <r>
    <s v="62a37d41bae91e4b8b8369f7"/>
    <s v="anonymous"/>
    <d v="2022-06-10T00:00:00"/>
    <d v="1899-12-30T13:20:00"/>
    <d v="1899-12-30T00:01:31"/>
    <m/>
    <m/>
    <m/>
    <m/>
    <m/>
    <x v="0"/>
    <s v="Yes"/>
    <s v="0-40k"/>
    <x v="2"/>
    <s v="Other"/>
    <s v="Python"/>
    <n v="1"/>
    <n v="1"/>
    <n v="1"/>
    <n v="1"/>
    <x v="2"/>
    <x v="6"/>
    <s v="Neither easy nor difficult"/>
    <s v="Remote Work"/>
    <s v="Male"/>
    <n v="22"/>
    <s v="Other"/>
    <s v="Bachelors"/>
    <s v="Black or African American"/>
  </r>
  <r>
    <s v="62a37f8db4da29969c6367bf"/>
    <s v="anonymous"/>
    <d v="2022-06-10T00:00:00"/>
    <d v="1899-12-30T13:29:00"/>
    <d v="1899-12-30T00:02:32"/>
    <m/>
    <m/>
    <m/>
    <m/>
    <m/>
    <x v="0"/>
    <s v="Yes"/>
    <s v="66k-85k"/>
    <x v="6"/>
    <s v="Other"/>
    <s v="Python"/>
    <n v="7"/>
    <n v="8"/>
    <n v="10"/>
    <n v="8"/>
    <x v="2"/>
    <x v="5"/>
    <s v="Neither easy nor difficult"/>
    <s v="Remote Work"/>
    <s v="Male"/>
    <n v="31"/>
    <s v="Other"/>
    <s v="Bachelors"/>
    <s v="White or Caucasian"/>
  </r>
  <r>
    <s v="62a37ff3bae91e4b8b836ed0"/>
    <s v="anonymous"/>
    <d v="2022-06-10T00:00:00"/>
    <d v="1899-12-30T13:31:00"/>
    <d v="1899-12-30T00:01:21"/>
    <m/>
    <m/>
    <m/>
    <m/>
    <m/>
    <x v="4"/>
    <s v="Yes"/>
    <s v="0-40k"/>
    <x v="2"/>
    <s v="Tech"/>
    <s v="Python"/>
    <n v="0"/>
    <n v="4"/>
    <n v="0"/>
    <n v="0"/>
    <x v="7"/>
    <x v="5"/>
    <s v="Neither easy nor difficult"/>
    <s v="Better Salary"/>
    <s v="Male"/>
    <n v="27"/>
    <s v="United States"/>
    <s v="Masters"/>
    <s v="Asian or Asian American"/>
  </r>
  <r>
    <s v="62a38023575fa3a5ae89339e"/>
    <s v="anonymous"/>
    <d v="2022-06-10T00:00:00"/>
    <d v="1899-12-30T13:32:00"/>
    <d v="1899-12-30T00:01:32"/>
    <m/>
    <m/>
    <m/>
    <m/>
    <m/>
    <x v="4"/>
    <s v="No"/>
    <s v="0-40k"/>
    <x v="2"/>
    <s v="Other"/>
    <s v="Python"/>
    <n v="1"/>
    <n v="1"/>
    <n v="2"/>
    <n v="1"/>
    <x v="1"/>
    <x v="3"/>
    <s v="Difficult"/>
    <s v="Better Salary"/>
    <s v="Female"/>
    <n v="25"/>
    <s v="United States"/>
    <s v="Bachelors"/>
    <s v="Asian or Asian American"/>
  </r>
  <r>
    <s v="62a38153cec54911e9cad855"/>
    <s v="anonymous"/>
    <d v="2022-06-10T00:00:00"/>
    <d v="1899-12-30T13:37:00"/>
    <d v="1899-12-30T00:24:18"/>
    <m/>
    <m/>
    <m/>
    <m/>
    <m/>
    <x v="0"/>
    <s v="Yes"/>
    <s v="0-40k"/>
    <x v="2"/>
    <s v="Healthcare"/>
    <s v="Python"/>
    <n v="4"/>
    <n v="10"/>
    <n v="10"/>
    <n v="8"/>
    <x v="6"/>
    <x v="2"/>
    <s v="Easy"/>
    <s v="Good Work/Life Balance"/>
    <s v="Male"/>
    <n v="30"/>
    <s v="Other"/>
    <s v="Masters"/>
    <s v="Hispanic or Latino"/>
  </r>
  <r>
    <s v="62a381d024a262602738ab19"/>
    <s v="anonymous"/>
    <d v="2022-06-10T00:00:00"/>
    <d v="1899-12-30T13:39:00"/>
    <d v="1899-12-30T00:01:44"/>
    <m/>
    <m/>
    <m/>
    <m/>
    <m/>
    <x v="0"/>
    <s v="Yes"/>
    <s v="41k-65k"/>
    <x v="1"/>
    <s v="Healthcare"/>
    <s v="R"/>
    <n v="0"/>
    <n v="6"/>
    <n v="5"/>
    <n v="6"/>
    <x v="3"/>
    <x v="4"/>
    <s v="Easy"/>
    <s v="Other"/>
    <s v="Male"/>
    <n v="28"/>
    <s v="United States"/>
    <s v="Masters"/>
    <s v="Hispanic or Latino"/>
  </r>
  <r>
    <s v="62a38227bae91e4b8b837235"/>
    <s v="anonymous"/>
    <d v="2022-06-10T00:00:00"/>
    <d v="1899-12-30T13:40:00"/>
    <d v="1899-12-30T00:01:37"/>
    <m/>
    <m/>
    <m/>
    <m/>
    <m/>
    <x v="0"/>
    <s v="No"/>
    <s v="125k-150k"/>
    <x v="4"/>
    <s v="Finance"/>
    <s v="Python"/>
    <n v="6"/>
    <n v="6"/>
    <n v="5"/>
    <n v="4"/>
    <x v="8"/>
    <x v="7"/>
    <s v="Easy"/>
    <s v="Remote Work"/>
    <s v="Male"/>
    <n v="26"/>
    <s v="United States"/>
    <s v="Bachelors"/>
    <s v="White or Caucasian"/>
  </r>
  <r>
    <s v="62a38489cf25554317309145"/>
    <s v="anonymous"/>
    <d v="2022-06-10T00:00:00"/>
    <d v="1899-12-30T13:51:00"/>
    <d v="1899-12-30T00:01:40"/>
    <m/>
    <m/>
    <m/>
    <m/>
    <m/>
    <x v="3"/>
    <s v="Yes"/>
    <s v="125k-150k"/>
    <x v="4"/>
    <s v="Other"/>
    <s v="Python"/>
    <n v="6"/>
    <n v="7"/>
    <n v="7"/>
    <n v="10"/>
    <x v="5"/>
    <x v="0"/>
    <s v="Neither easy nor difficult"/>
    <s v="Remote Work"/>
    <s v="Female"/>
    <n v="32"/>
    <s v="United States"/>
    <s v="Masters"/>
    <s v="White or Caucasian"/>
  </r>
  <r>
    <s v="62a384f0cec54911e9cadd6f"/>
    <s v="anonymous"/>
    <d v="2022-06-10T00:00:00"/>
    <d v="1899-12-30T13:52:00"/>
    <d v="1899-12-30T00:02:41"/>
    <m/>
    <m/>
    <m/>
    <m/>
    <m/>
    <x v="0"/>
    <s v="Yes"/>
    <s v="0-40k"/>
    <x v="2"/>
    <s v="Other"/>
    <s v="Other"/>
    <n v="3"/>
    <n v="5"/>
    <n v="6"/>
    <n v="4"/>
    <x v="5"/>
    <x v="10"/>
    <s v="Neither easy nor difficult"/>
    <s v="Better Salary"/>
    <s v="Female"/>
    <n v="40"/>
    <s v="Other"/>
    <s v="PhD"/>
    <s v="White or Caucasian"/>
  </r>
  <r>
    <s v="62a385480f8c8599d5afa5c6"/>
    <s v="anonymous"/>
    <d v="2022-06-10T00:00:00"/>
    <d v="1899-12-30T13:54:00"/>
    <d v="1899-12-30T00:02:38"/>
    <m/>
    <m/>
    <m/>
    <m/>
    <m/>
    <x v="1"/>
    <s v="Yes"/>
    <s v="0-40k"/>
    <x v="2"/>
    <s v="Other"/>
    <s v="Python"/>
    <n v="4"/>
    <n v="7"/>
    <n v="7"/>
    <n v="6"/>
    <x v="6"/>
    <x v="0"/>
    <s v="Neither easy nor difficult"/>
    <s v="Better Salary"/>
    <s v="Male"/>
    <n v="36"/>
    <s v="Other"/>
    <s v="Associates"/>
    <s v="Asian or Asian American"/>
  </r>
  <r>
    <s v="62a3856218134ddc75cf1ee0"/>
    <s v="anonymous"/>
    <d v="2022-06-10T00:00:00"/>
    <d v="1899-12-30T13:54:00"/>
    <d v="1899-12-30T00:01:29"/>
    <m/>
    <m/>
    <m/>
    <m/>
    <m/>
    <x v="0"/>
    <s v="Yes"/>
    <s v="66k-85k"/>
    <x v="6"/>
    <s v="Finance"/>
    <s v="Python"/>
    <n v="6"/>
    <n v="10"/>
    <n v="9"/>
    <n v="9"/>
    <x v="10"/>
    <x v="2"/>
    <s v="Difficult"/>
    <s v="Better Salary"/>
    <s v="Male"/>
    <n v="35"/>
    <s v="United States"/>
    <s v="Bachelors"/>
    <s v="Hispanic or Latino"/>
  </r>
  <r>
    <s v="62a385c40f8c8599d5afa6cf"/>
    <s v="anonymous"/>
    <d v="2022-06-10T00:00:00"/>
    <d v="1899-12-30T13:56:00"/>
    <d v="1899-12-30T00:00:59"/>
    <m/>
    <m/>
    <m/>
    <m/>
    <m/>
    <x v="0"/>
    <s v="Yes"/>
    <s v="66k-85k"/>
    <x v="6"/>
    <s v="Tech"/>
    <s v="Python"/>
    <n v="3"/>
    <n v="4"/>
    <n v="4"/>
    <n v="4"/>
    <x v="0"/>
    <x v="5"/>
    <s v="Very Difficult"/>
    <s v="Good Work/Life Balance"/>
    <s v="Male"/>
    <n v="29"/>
    <s v="United States"/>
    <s v="Masters"/>
    <s v="Asian or Asian American"/>
  </r>
  <r>
    <s v="62a385ddbae91e4b8b837855"/>
    <s v="anonymous"/>
    <d v="2022-06-10T00:00:00"/>
    <d v="1899-12-30T13:56:00"/>
    <d v="1899-12-30T00:04:08"/>
    <m/>
    <m/>
    <m/>
    <m/>
    <m/>
    <x v="0"/>
    <s v="No"/>
    <s v="41k-65k"/>
    <x v="1"/>
    <s v="Finance"/>
    <s v="Python"/>
    <n v="6"/>
    <n v="5"/>
    <n v="9"/>
    <n v="9"/>
    <x v="2"/>
    <x v="5"/>
    <s v="Neither easy nor difficult"/>
    <s v="Other"/>
    <s v="Female"/>
    <n v="25"/>
    <s v="Other"/>
    <s v="Masters"/>
    <s v="Hispanic or Latino"/>
  </r>
  <r>
    <s v="62a385e7b4da29969c6372ab"/>
    <s v="anonymous"/>
    <d v="2022-06-10T00:00:00"/>
    <d v="1899-12-30T13:56:00"/>
    <d v="1899-12-30T00:02:05"/>
    <m/>
    <m/>
    <m/>
    <m/>
    <m/>
    <x v="6"/>
    <s v="Yes"/>
    <s v="41k-65k"/>
    <x v="1"/>
    <s v="Other"/>
    <s v="Python"/>
    <n v="6"/>
    <n v="8"/>
    <n v="8"/>
    <n v="9"/>
    <x v="5"/>
    <x v="8"/>
    <s v="Difficult"/>
    <s v="Remote Work"/>
    <s v="Male"/>
    <n v="29"/>
    <s v="United States"/>
    <s v="Bachelors"/>
    <s v="White or Caucasian"/>
  </r>
  <r>
    <s v="62a386dfcec54911e9cae1d3"/>
    <s v="anonymous"/>
    <d v="2022-06-10T00:00:00"/>
    <d v="1899-12-30T14:01:00"/>
    <d v="1899-12-30T00:02:04"/>
    <m/>
    <m/>
    <m/>
    <m/>
    <m/>
    <x v="0"/>
    <s v="No"/>
    <s v="86k-105k"/>
    <x v="5"/>
    <s v="Agriculture"/>
    <s v="Python"/>
    <n v="7"/>
    <n v="6"/>
    <n v="7"/>
    <n v="4"/>
    <x v="0"/>
    <x v="8"/>
    <s v="Difficult"/>
    <s v="Good Work/Life Balance"/>
    <s v="Male"/>
    <n v="26"/>
    <s v="United States"/>
    <s v="Bachelors"/>
    <s v="Black or African American"/>
  </r>
  <r>
    <s v="62a3870bbc6861bf31775841"/>
    <s v="anonymous"/>
    <d v="2022-06-10T00:00:00"/>
    <d v="1899-12-30T14:01:00"/>
    <d v="1899-12-30T00:02:02"/>
    <m/>
    <m/>
    <m/>
    <m/>
    <m/>
    <x v="0"/>
    <s v="No"/>
    <s v="0-40k"/>
    <x v="2"/>
    <s v="Other"/>
    <s v="R"/>
    <n v="1"/>
    <n v="1"/>
    <n v="1"/>
    <n v="1"/>
    <x v="1"/>
    <x v="3"/>
    <s v="Neither easy nor difficult"/>
    <s v="Remote Work"/>
    <s v="Male"/>
    <n v="34"/>
    <s v="Other"/>
    <s v="Bachelors"/>
    <s v="Black or African American"/>
  </r>
  <r>
    <s v="62a38733f8d5efcc22f859fc"/>
    <s v="anonymous"/>
    <d v="2022-06-10T00:00:00"/>
    <d v="1899-12-30T14:02:00"/>
    <d v="1899-12-30T00:01:27"/>
    <m/>
    <m/>
    <m/>
    <m/>
    <m/>
    <x v="0"/>
    <s v="Yes"/>
    <s v="0-40k"/>
    <x v="2"/>
    <s v="Finance"/>
    <s v="Python"/>
    <n v="5"/>
    <n v="2"/>
    <n v="5"/>
    <n v="4"/>
    <x v="4"/>
    <x v="5"/>
    <s v="Neither easy nor difficult"/>
    <s v="Good Work/Life Balance"/>
    <s v="Male"/>
    <n v="26"/>
    <s v="Other"/>
    <s v="Bachelors"/>
    <s v="White or Caucasian"/>
  </r>
  <r>
    <s v="62a387e6575fa3a5ae8940a1"/>
    <s v="anonymous"/>
    <d v="2022-06-10T00:00:00"/>
    <d v="1899-12-30T14:05:00"/>
    <d v="1899-12-30T00:02:11"/>
    <m/>
    <m/>
    <m/>
    <m/>
    <m/>
    <x v="0"/>
    <s v="No"/>
    <s v="0-40k"/>
    <x v="2"/>
    <s v="Tech"/>
    <s v="Python"/>
    <n v="3"/>
    <n v="3"/>
    <n v="5"/>
    <n v="4"/>
    <x v="4"/>
    <x v="4"/>
    <s v="Difficult"/>
    <s v="Other"/>
    <s v="Female"/>
    <n v="22"/>
    <s v="India"/>
    <s v="Bachelors"/>
    <s v="Asian or Asian American"/>
  </r>
  <r>
    <s v="62a388d524a262602738b869"/>
    <s v="anonymous"/>
    <d v="2022-06-10T00:00:00"/>
    <d v="1899-12-30T14:09:00"/>
    <d v="1899-12-30T00:01:40"/>
    <m/>
    <m/>
    <m/>
    <m/>
    <m/>
    <x v="4"/>
    <s v="Yes"/>
    <s v="0-40k"/>
    <x v="2"/>
    <s v="Construction"/>
    <s v="Python"/>
    <n v="0"/>
    <n v="2"/>
    <n v="0"/>
    <n v="1"/>
    <x v="1"/>
    <x v="4"/>
    <s v="Very Difficult"/>
    <s v="Remote Work"/>
    <s v="Female"/>
    <n v="24"/>
    <s v="Other"/>
    <s v="Bachelors"/>
    <s v="Black or African American"/>
  </r>
  <r>
    <s v="62a38975b4da29969c637830"/>
    <s v="anonymous"/>
    <d v="2022-06-10T00:00:00"/>
    <d v="1899-12-30T14:12:00"/>
    <d v="1899-12-30T00:03:09"/>
    <m/>
    <m/>
    <m/>
    <m/>
    <m/>
    <x v="0"/>
    <s v="No"/>
    <s v="0-40k"/>
    <x v="2"/>
    <s v="Other"/>
    <s v="Python"/>
    <n v="3"/>
    <n v="6"/>
    <n v="6"/>
    <n v="6"/>
    <x v="7"/>
    <x v="1"/>
    <s v="Neither easy nor difficult"/>
    <s v="Better Salary"/>
    <s v="Male"/>
    <n v="26"/>
    <s v="Other"/>
    <s v="Bachelors"/>
    <s v="Hispanic or Latino"/>
  </r>
  <r>
    <s v="62a38985f8f756164585b89c"/>
    <s v="anonymous"/>
    <d v="2022-06-10T00:00:00"/>
    <d v="1899-12-30T14:12:00"/>
    <d v="1899-12-30T00:03:13"/>
    <m/>
    <m/>
    <m/>
    <m/>
    <m/>
    <x v="5"/>
    <s v="Yes"/>
    <s v="0-40k"/>
    <x v="2"/>
    <s v="Finance"/>
    <s v="Python"/>
    <n v="5"/>
    <n v="6"/>
    <n v="2"/>
    <n v="3"/>
    <x v="4"/>
    <x v="5"/>
    <s v="Very Difficult"/>
    <s v="Good Work/Life Balance"/>
    <s v="Female"/>
    <n v="34"/>
    <s v="Other"/>
    <s v="Masters"/>
    <s v="White or Caucasian"/>
  </r>
  <r>
    <s v="62a389b70f8c8599d5afad1a"/>
    <s v="anonymous"/>
    <d v="2022-06-10T00:00:00"/>
    <d v="1899-12-30T14:13:00"/>
    <d v="1899-12-30T00:02:27"/>
    <m/>
    <m/>
    <m/>
    <m/>
    <m/>
    <x v="0"/>
    <s v="No"/>
    <s v="0-40k"/>
    <x v="2"/>
    <s v="Tech"/>
    <s v="Python"/>
    <n v="3"/>
    <n v="5"/>
    <n v="4"/>
    <n v="5"/>
    <x v="7"/>
    <x v="4"/>
    <s v="Neither easy nor difficult"/>
    <s v="Better Salary"/>
    <s v="Male"/>
    <n v="29"/>
    <s v="India"/>
    <s v="Bachelors"/>
    <s v="Asian or Asian American"/>
  </r>
  <r>
    <s v="62a389ed18134ddc75cf24f8"/>
    <s v="anonymous"/>
    <d v="2022-06-10T00:00:00"/>
    <d v="1899-12-30T14:14:00"/>
    <d v="1899-12-30T00:01:27"/>
    <m/>
    <m/>
    <m/>
    <m/>
    <m/>
    <x v="3"/>
    <s v="No"/>
    <s v="0-40k"/>
    <x v="2"/>
    <s v="Tech"/>
    <s v="R"/>
    <n v="2"/>
    <n v="7"/>
    <n v="7"/>
    <n v="7"/>
    <x v="2"/>
    <x v="0"/>
    <s v="Easy"/>
    <s v="Better Salary"/>
    <s v="Male"/>
    <n v="21"/>
    <s v="Other"/>
    <s v="Bachelors"/>
    <s v="Black or African American"/>
  </r>
  <r>
    <s v="62a38a060a77c1a77f6654b7"/>
    <s v="anonymous"/>
    <d v="2022-06-10T00:00:00"/>
    <d v="1899-12-30T14:14:00"/>
    <d v="1899-12-30T00:02:47"/>
    <m/>
    <m/>
    <m/>
    <m/>
    <m/>
    <x v="2"/>
    <s v="No"/>
    <s v="0-40k"/>
    <x v="2"/>
    <s v="Other"/>
    <s v="Python"/>
    <n v="2"/>
    <n v="4"/>
    <n v="5"/>
    <n v="3"/>
    <x v="1"/>
    <x v="3"/>
    <s v="Neither easy nor difficult"/>
    <s v="Good Work/Life Balance"/>
    <s v="Female"/>
    <n v="35"/>
    <s v="Other"/>
    <s v="Masters"/>
    <s v="White or Caucasian"/>
  </r>
  <r>
    <s v="62a38a4d575fa3a5ae8944df"/>
    <s v="anonymous"/>
    <d v="2022-06-10T00:00:00"/>
    <d v="1899-12-30T14:15:00"/>
    <d v="1899-12-30T00:01:43"/>
    <m/>
    <m/>
    <m/>
    <m/>
    <m/>
    <x v="0"/>
    <s v="No"/>
    <s v="41k-65k"/>
    <x v="1"/>
    <s v="Education"/>
    <s v="Python"/>
    <n v="7"/>
    <n v="7"/>
    <n v="8"/>
    <n v="8"/>
    <x v="5"/>
    <x v="0"/>
    <s v="Neither easy nor difficult"/>
    <s v="Good Work/Life Balance"/>
    <s v="Male"/>
    <n v="26"/>
    <s v="United States"/>
    <s v="Bachelors"/>
    <s v="Black or African American"/>
  </r>
  <r>
    <s v="62a38a97cf25554317309af2"/>
    <s v="anonymous"/>
    <d v="2022-06-10T00:00:00"/>
    <d v="1899-12-30T14:16:00"/>
    <d v="1899-12-30T00:01:42"/>
    <m/>
    <m/>
    <m/>
    <m/>
    <m/>
    <x v="0"/>
    <s v="Yes"/>
    <s v="41k-65k"/>
    <x v="1"/>
    <s v="Other"/>
    <s v="Python"/>
    <n v="2"/>
    <n v="4"/>
    <n v="7"/>
    <n v="10"/>
    <x v="0"/>
    <x v="2"/>
    <s v="Neither easy nor difficult"/>
    <s v="Remote Work"/>
    <s v="Male"/>
    <n v="28"/>
    <s v="United States"/>
    <s v="Bachelors"/>
    <s v="White or Caucasian"/>
  </r>
  <r>
    <s v="62a38c120f8c8599d5afb0e9"/>
    <s v="anonymous"/>
    <d v="2022-06-10T00:00:00"/>
    <d v="1899-12-30T14:23:00"/>
    <d v="1899-12-30T00:02:02"/>
    <m/>
    <m/>
    <m/>
    <m/>
    <m/>
    <x v="2"/>
    <s v="No"/>
    <s v="41k-65k"/>
    <x v="1"/>
    <s v="Other"/>
    <s v="Python"/>
    <n v="1"/>
    <n v="5"/>
    <n v="5"/>
    <n v="1"/>
    <x v="3"/>
    <x v="1"/>
    <s v="Easy"/>
    <s v="Better Salary"/>
    <s v="Female"/>
    <n v="33"/>
    <s v="United States"/>
    <s v="Bachelors"/>
    <s v="White or Caucasian"/>
  </r>
  <r>
    <s v="62a38c9dbc6861bf317760c4"/>
    <s v="anonymous"/>
    <d v="2022-06-10T00:00:00"/>
    <d v="1899-12-30T14:25:00"/>
    <d v="1899-12-30T00:01:57"/>
    <m/>
    <m/>
    <m/>
    <m/>
    <m/>
    <x v="0"/>
    <s v="Yes"/>
    <s v="66k-85k"/>
    <x v="6"/>
    <s v="Other"/>
    <s v="Other"/>
    <n v="7"/>
    <n v="6"/>
    <n v="5"/>
    <n v="7"/>
    <x v="7"/>
    <x v="7"/>
    <s v="Easy"/>
    <s v="Better Salary"/>
    <s v="Female"/>
    <n v="56"/>
    <s v="United States"/>
    <s v="Bachelors"/>
    <s v="White or Caucasian"/>
  </r>
  <r>
    <s v="62a38de50f8c8599d5afb3e7"/>
    <s v="anonymous"/>
    <d v="2022-06-10T00:00:00"/>
    <d v="1899-12-30T14:31:00"/>
    <d v="1899-12-30T00:04:30"/>
    <m/>
    <m/>
    <m/>
    <m/>
    <m/>
    <x v="2"/>
    <s v="No"/>
    <s v="0-40k"/>
    <x v="2"/>
    <s v="Other"/>
    <s v="Python"/>
    <n v="3"/>
    <n v="3"/>
    <n v="6"/>
    <n v="5"/>
    <x v="11"/>
    <x v="7"/>
    <s v="Difficult"/>
    <s v="Good Work/Life Balance"/>
    <s v="Male"/>
    <n v="23"/>
    <s v="India"/>
    <s v="Bachelors"/>
    <s v="Asian or Asian American"/>
  </r>
  <r>
    <s v="62a3906224a262602738c58a"/>
    <s v="anonymous"/>
    <d v="2022-06-10T00:00:00"/>
    <d v="1899-12-30T14:41:00"/>
    <d v="1899-12-30T00:01:16"/>
    <m/>
    <m/>
    <m/>
    <m/>
    <m/>
    <x v="3"/>
    <s v="Yes"/>
    <s v="125k-150k"/>
    <x v="4"/>
    <s v="Healthcare"/>
    <s v="Python"/>
    <n v="4"/>
    <n v="5"/>
    <n v="5"/>
    <n v="5"/>
    <x v="7"/>
    <x v="5"/>
    <s v="Difficult"/>
    <s v="Better Salary"/>
    <s v="Male"/>
    <n v="28"/>
    <s v="United States"/>
    <s v="Masters"/>
    <s v="White or Caucasian"/>
  </r>
  <r>
    <s v="62a3907cbae91e4b8b838917"/>
    <s v="anonymous"/>
    <d v="2022-06-10T00:00:00"/>
    <d v="1899-12-30T14:42:00"/>
    <d v="1899-12-30T00:01:44"/>
    <m/>
    <m/>
    <m/>
    <m/>
    <m/>
    <x v="4"/>
    <s v="No"/>
    <s v="0-40k"/>
    <x v="2"/>
    <s v="Other"/>
    <s v="JavaScript"/>
    <n v="0"/>
    <n v="0"/>
    <n v="0"/>
    <n v="0"/>
    <x v="3"/>
    <x v="2"/>
    <s v="Neither easy nor difficult"/>
    <s v="Remote Work"/>
    <s v="Male"/>
    <n v="21"/>
    <s v="Other"/>
    <s v="High School"/>
    <s v="White or Caucasian"/>
  </r>
  <r>
    <s v="62a390c0d8c00e9f541a6fd7"/>
    <s v="anonymous"/>
    <d v="2022-06-10T00:00:00"/>
    <d v="1899-12-30T14:43:00"/>
    <d v="1899-12-30T00:02:14"/>
    <m/>
    <m/>
    <m/>
    <m/>
    <m/>
    <x v="4"/>
    <s v="No"/>
    <s v="66k-85k"/>
    <x v="6"/>
    <s v="Other"/>
    <s v="Python"/>
    <n v="2"/>
    <n v="2"/>
    <n v="4"/>
    <n v="1"/>
    <x v="8"/>
    <x v="3"/>
    <s v="Neither easy nor difficult"/>
    <s v="Good Work/Life Balance"/>
    <s v="Male"/>
    <n v="35"/>
    <s v="United States"/>
    <s v="Masters"/>
    <s v="Black or African American"/>
  </r>
  <r>
    <s v="62a390e4f3072dd89262c0cd"/>
    <s v="anonymous"/>
    <d v="2022-06-10T00:00:00"/>
    <d v="1899-12-30T14:43:00"/>
    <d v="1899-12-30T00:01:25"/>
    <m/>
    <m/>
    <m/>
    <m/>
    <m/>
    <x v="0"/>
    <s v="No"/>
    <s v="41k-65k"/>
    <x v="1"/>
    <s v="Healthcare"/>
    <s v="Python"/>
    <n v="7"/>
    <n v="5"/>
    <n v="9"/>
    <n v="9"/>
    <x v="10"/>
    <x v="8"/>
    <s v="Neither easy nor difficult"/>
    <s v="Remote Work"/>
    <s v="Male"/>
    <n v="29"/>
    <s v="Other"/>
    <s v="Masters"/>
    <s v="Asian or Asian American"/>
  </r>
  <r>
    <s v="62a391cacf2555431730a623"/>
    <s v="anonymous"/>
    <d v="2022-06-10T00:00:00"/>
    <d v="1899-12-30T14:47:00"/>
    <d v="1899-12-30T00:01:18"/>
    <m/>
    <m/>
    <m/>
    <m/>
    <m/>
    <x v="0"/>
    <s v="No"/>
    <s v="86k-105k"/>
    <x v="5"/>
    <s v="Tech"/>
    <s v="Python"/>
    <n v="9"/>
    <n v="10"/>
    <n v="8"/>
    <n v="8"/>
    <x v="2"/>
    <x v="0"/>
    <s v="Neither easy nor difficult"/>
    <s v="Other"/>
    <s v="Female"/>
    <n v="23"/>
    <s v="United States"/>
    <s v="Bachelors"/>
    <s v="Asian or Asian American"/>
  </r>
  <r>
    <s v="62a39214f8f756164585c6b6"/>
    <s v="anonymous"/>
    <d v="2022-06-10T00:00:00"/>
    <d v="1899-12-30T14:48:00"/>
    <d v="1899-12-30T00:03:06"/>
    <m/>
    <m/>
    <m/>
    <m/>
    <m/>
    <x v="2"/>
    <s v="No"/>
    <s v="41k-65k"/>
    <x v="1"/>
    <s v="Finance"/>
    <s v="Python"/>
    <n v="3"/>
    <n v="3"/>
    <n v="3"/>
    <n v="0"/>
    <x v="3"/>
    <x v="3"/>
    <s v="Difficult"/>
    <s v="Good Work/Life Balance"/>
    <s v="Male"/>
    <n v="25"/>
    <s v="India"/>
    <s v="Bachelors"/>
    <s v="Asian or Asian American"/>
  </r>
  <r>
    <s v="62a39297b4da29969c638679"/>
    <s v="anonymous"/>
    <d v="2022-06-10T00:00:00"/>
    <d v="1899-12-30T14:51:00"/>
    <d v="1899-12-30T00:01:36"/>
    <m/>
    <m/>
    <m/>
    <m/>
    <m/>
    <x v="1"/>
    <s v="Yes"/>
    <s v="86k-105k"/>
    <x v="5"/>
    <s v="Other"/>
    <s v="Python"/>
    <n v="8"/>
    <n v="7"/>
    <n v="10"/>
    <n v="9"/>
    <x v="9"/>
    <x v="2"/>
    <s v="Easy"/>
    <s v="Better Salary"/>
    <s v="Male"/>
    <n v="27"/>
    <s v="United States"/>
    <s v="Masters"/>
    <s v="White or Caucasian"/>
  </r>
  <r>
    <s v="62a393330a77c1a77f6662e4"/>
    <s v="anonymous"/>
    <d v="2022-06-10T00:00:00"/>
    <d v="1899-12-30T14:53:00"/>
    <d v="1899-12-30T00:01:54"/>
    <m/>
    <m/>
    <m/>
    <m/>
    <m/>
    <x v="0"/>
    <s v="No"/>
    <s v="0-40k"/>
    <x v="2"/>
    <s v="Tech"/>
    <s v="Python"/>
    <n v="3"/>
    <n v="8"/>
    <n v="7"/>
    <n v="5"/>
    <x v="6"/>
    <x v="0"/>
    <s v="Neither easy nor difficult"/>
    <s v="Better Salary"/>
    <s v="Male"/>
    <n v="22"/>
    <s v="India"/>
    <s v="Bachelors"/>
    <s v="Other"/>
  </r>
  <r>
    <s v="62a3944024a262602738cb07"/>
    <s v="anonymous"/>
    <d v="2022-06-10T00:00:00"/>
    <d v="1899-12-30T14:58:00"/>
    <d v="1899-12-30T00:02:02"/>
    <m/>
    <m/>
    <m/>
    <m/>
    <m/>
    <x v="0"/>
    <s v="Yes"/>
    <s v="0-40k"/>
    <x v="2"/>
    <s v="Other"/>
    <s v="Python"/>
    <n v="6"/>
    <n v="3"/>
    <n v="5"/>
    <n v="7"/>
    <x v="0"/>
    <x v="0"/>
    <s v="Neither easy nor difficult"/>
    <s v="Good Work/Life Balance"/>
    <s v="Male"/>
    <n v="22"/>
    <s v="India"/>
    <s v="Bachelors"/>
    <s v="Asian or Asian American"/>
  </r>
  <r>
    <s v="62a3951ed8c00e9f541a75d1"/>
    <s v="anonymous"/>
    <d v="2022-06-10T00:00:00"/>
    <d v="1899-12-30T15:01:00"/>
    <d v="1899-12-30T00:01:41"/>
    <m/>
    <m/>
    <m/>
    <m/>
    <m/>
    <x v="2"/>
    <s v="No"/>
    <s v="106k-125k"/>
    <x v="0"/>
    <s v="Other"/>
    <s v="Java"/>
    <n v="7"/>
    <n v="7"/>
    <n v="4"/>
    <n v="5"/>
    <x v="0"/>
    <x v="7"/>
    <s v="Neither easy nor difficult"/>
    <s v="Better Salary"/>
    <s v="Male"/>
    <n v="43"/>
    <s v="United States"/>
    <s v="Masters"/>
    <s v="Asian or Asian American"/>
  </r>
  <r>
    <s v="62a3958fcec54911e9caf827"/>
    <s v="anonymous"/>
    <d v="2022-06-10T00:00:00"/>
    <d v="1899-12-30T15:03:00"/>
    <d v="1899-12-30T00:05:13"/>
    <m/>
    <m/>
    <m/>
    <m/>
    <m/>
    <x v="2"/>
    <s v="Yes"/>
    <s v="0-40k"/>
    <x v="2"/>
    <s v="Tech"/>
    <s v="Python"/>
    <n v="3"/>
    <n v="5"/>
    <n v="8"/>
    <n v="4"/>
    <x v="0"/>
    <x v="5"/>
    <s v="Difficult"/>
    <s v="Better Salary"/>
    <s v="Female"/>
    <n v="32"/>
    <s v="United States"/>
    <s v="Bachelors"/>
    <s v="Asian or Asian American"/>
  </r>
  <r>
    <s v="62a3970ebae91e4b8b839495"/>
    <s v="anonymous"/>
    <d v="2022-06-10T00:00:00"/>
    <d v="1899-12-30T15:10:00"/>
    <d v="1899-12-30T00:01:06"/>
    <m/>
    <m/>
    <m/>
    <m/>
    <m/>
    <x v="4"/>
    <s v="Yes"/>
    <s v="66k-85k"/>
    <x v="6"/>
    <s v="Healthcare"/>
    <s v="Other"/>
    <s v="null"/>
    <m/>
    <m/>
    <m/>
    <x v="11"/>
    <x v="9"/>
    <s v="Difficult"/>
    <s v="Good Work/Life Balance"/>
    <s v="Female"/>
    <n v="42"/>
    <s v="United States"/>
    <s v="Masters"/>
    <s v="Asian or Asian American"/>
  </r>
  <r>
    <s v="62a3976ecf2555431730af5e"/>
    <s v="anonymous"/>
    <d v="2022-06-10T00:00:00"/>
    <d v="1899-12-30T15:11:00"/>
    <d v="1899-12-30T00:01:40"/>
    <m/>
    <m/>
    <m/>
    <m/>
    <m/>
    <x v="2"/>
    <s v="No"/>
    <s v="66k-85k"/>
    <x v="6"/>
    <s v="Other"/>
    <s v="Python"/>
    <n v="4"/>
    <n v="6"/>
    <n v="2"/>
    <n v="3"/>
    <x v="4"/>
    <x v="4"/>
    <s v="Very Difficult"/>
    <s v="Remote Work"/>
    <s v="Male"/>
    <n v="31"/>
    <s v="United States"/>
    <s v="Bachelors"/>
    <s v="Hispanic or Latino"/>
  </r>
  <r>
    <s v="62a397fb5d257a28a30e279a"/>
    <s v="anonymous"/>
    <d v="2022-06-10T00:00:00"/>
    <d v="1899-12-30T15:14:00"/>
    <d v="1899-12-30T00:01:20"/>
    <m/>
    <m/>
    <m/>
    <m/>
    <m/>
    <x v="1"/>
    <s v="No"/>
    <s v="0-40k"/>
    <x v="2"/>
    <s v="Other"/>
    <s v="Python"/>
    <n v="0"/>
    <n v="10"/>
    <n v="10"/>
    <n v="5"/>
    <x v="3"/>
    <x v="1"/>
    <s v="Neither easy nor difficult"/>
    <s v="Better Salary"/>
    <s v="Male"/>
    <n v="25"/>
    <s v="United Kingdom"/>
    <s v="Bachelors"/>
    <s v="White or Caucasian"/>
  </r>
  <r>
    <s v="62a3980c7dc029e2d66c9a81"/>
    <s v="anonymous"/>
    <d v="2022-06-10T00:00:00"/>
    <d v="1899-12-30T15:14:00"/>
    <d v="1899-12-30T00:01:49"/>
    <m/>
    <m/>
    <m/>
    <m/>
    <m/>
    <x v="0"/>
    <s v="No"/>
    <s v="41k-65k"/>
    <x v="1"/>
    <s v="Agriculture"/>
    <s v="Other"/>
    <n v="3"/>
    <n v="5"/>
    <n v="5"/>
    <n v="5"/>
    <x v="4"/>
    <x v="4"/>
    <s v="Neither easy nor difficult"/>
    <s v="Better Salary"/>
    <s v="Female"/>
    <n v="25"/>
    <s v="United States"/>
    <s v="Masters"/>
    <s v="Asian or Asian American"/>
  </r>
  <r>
    <s v="62a3980e0f8c8599d5afc32c"/>
    <s v="anonymous"/>
    <d v="2022-06-10T00:00:00"/>
    <d v="1899-12-30T15:14:00"/>
    <d v="1899-12-30T00:01:27"/>
    <m/>
    <m/>
    <m/>
    <m/>
    <m/>
    <x v="0"/>
    <s v="Yes"/>
    <s v="106k-125k"/>
    <x v="0"/>
    <s v="Other"/>
    <s v="Other"/>
    <n v="9"/>
    <n v="9"/>
    <n v="9"/>
    <n v="6"/>
    <x v="10"/>
    <x v="8"/>
    <s v="Difficult"/>
    <s v="Good Work/Life Balance"/>
    <s v="Male"/>
    <n v="31"/>
    <s v="United States"/>
    <s v="Masters"/>
    <s v="Asian or Asian American"/>
  </r>
  <r>
    <s v="62a39a340f8c8599d5afc6ce"/>
    <s v="anonymous"/>
    <d v="2022-06-10T00:00:00"/>
    <d v="1899-12-30T15:23:00"/>
    <d v="1899-12-30T00:01:23"/>
    <m/>
    <m/>
    <m/>
    <m/>
    <m/>
    <x v="3"/>
    <s v="Yes"/>
    <s v="0-40k"/>
    <x v="2"/>
    <s v="Education"/>
    <s v="Python"/>
    <n v="3"/>
    <n v="3"/>
    <n v="1"/>
    <n v="1"/>
    <x v="1"/>
    <x v="10"/>
    <s v="Difficult"/>
    <s v="Better Salary"/>
    <s v="Male"/>
    <n v="36"/>
    <s v="Other"/>
    <s v="Masters"/>
    <s v="White or Caucasian"/>
  </r>
  <r>
    <s v="62a39a95bc6861bf3177751d"/>
    <s v="anonymous"/>
    <d v="2022-06-10T00:00:00"/>
    <d v="1899-12-30T15:25:00"/>
    <d v="1899-12-30T00:02:24"/>
    <m/>
    <m/>
    <m/>
    <m/>
    <m/>
    <x v="2"/>
    <s v="No"/>
    <s v="41k-65k"/>
    <x v="1"/>
    <s v="Healthcare"/>
    <s v="Python"/>
    <n v="6"/>
    <n v="8"/>
    <n v="8"/>
    <n v="8"/>
    <x v="6"/>
    <x v="2"/>
    <s v="Neither easy nor difficult"/>
    <s v="Good Work/Life Balance"/>
    <s v="Female"/>
    <n v="35"/>
    <s v="Other"/>
    <s v="Masters"/>
    <s v="White or Caucasian"/>
  </r>
  <r>
    <s v="62a39b315d257a28a30e2cae"/>
    <s v="anonymous"/>
    <d v="2022-06-10T00:00:00"/>
    <d v="1899-12-30T15:27:00"/>
    <d v="1899-12-30T00:01:40"/>
    <m/>
    <m/>
    <m/>
    <m/>
    <m/>
    <x v="0"/>
    <s v="Yes"/>
    <s v="66k-85k"/>
    <x v="6"/>
    <s v="Other"/>
    <s v="R"/>
    <n v="6"/>
    <n v="10"/>
    <n v="10"/>
    <n v="10"/>
    <x v="10"/>
    <x v="8"/>
    <s v="Easy"/>
    <s v="Remote Work"/>
    <s v="Male"/>
    <n v="28"/>
    <s v="United States"/>
    <s v="Bachelors"/>
    <s v="White or Caucasian"/>
  </r>
  <r>
    <s v="62a39b6cf408bae018ede929"/>
    <s v="anonymous"/>
    <d v="2022-06-10T00:00:00"/>
    <d v="1899-12-30T15:28:00"/>
    <d v="1899-12-30T00:01:55"/>
    <m/>
    <m/>
    <m/>
    <m/>
    <m/>
    <x v="0"/>
    <s v="No"/>
    <s v="0-40k"/>
    <x v="2"/>
    <s v="Other"/>
    <s v="Python"/>
    <n v="8"/>
    <n v="8"/>
    <n v="9"/>
    <n v="9"/>
    <x v="6"/>
    <x v="0"/>
    <s v="Neither easy nor difficult"/>
    <s v="Better Salary"/>
    <s v="Male"/>
    <n v="27"/>
    <s v="Other"/>
    <s v="Bachelors"/>
    <s v="Hispanic or Latino"/>
  </r>
  <r>
    <s v="62a39bd324a262602738d725"/>
    <s v="anonymous"/>
    <d v="2022-06-10T00:00:00"/>
    <d v="1899-12-30T15:30:00"/>
    <d v="1899-12-30T00:01:23"/>
    <m/>
    <m/>
    <m/>
    <m/>
    <m/>
    <x v="0"/>
    <s v="Yes"/>
    <s v="0-40k"/>
    <x v="2"/>
    <s v="Other"/>
    <s v="Python"/>
    <n v="7"/>
    <n v="4"/>
    <n v="7"/>
    <n v="4"/>
    <x v="6"/>
    <x v="2"/>
    <s v="Easy"/>
    <s v="Good Work/Life Balance"/>
    <s v="Male"/>
    <n v="25"/>
    <s v="Other"/>
    <s v="Bachelors"/>
    <s v="Hispanic or Latino"/>
  </r>
  <r>
    <s v="62a39e03f408bae018eded39"/>
    <s v="anonymous"/>
    <d v="2022-06-10T00:00:00"/>
    <d v="1899-12-30T15:39:00"/>
    <d v="1899-12-30T00:01:59"/>
    <m/>
    <m/>
    <m/>
    <m/>
    <m/>
    <x v="0"/>
    <s v="No"/>
    <s v="0-40k"/>
    <x v="2"/>
    <s v="Other"/>
    <s v="Python"/>
    <n v="6"/>
    <n v="6"/>
    <n v="10"/>
    <n v="8"/>
    <x v="5"/>
    <x v="8"/>
    <s v="Neither easy nor difficult"/>
    <s v="Better Salary"/>
    <s v="Male"/>
    <n v="25"/>
    <s v="Other"/>
    <s v="Bachelors"/>
    <s v="White or Caucasian"/>
  </r>
  <r>
    <s v="62a39e69d8c00e9f541a8358"/>
    <s v="anonymous"/>
    <d v="2022-06-10T00:00:00"/>
    <d v="1899-12-30T15:41:00"/>
    <d v="1899-12-30T00:01:10"/>
    <m/>
    <m/>
    <m/>
    <m/>
    <m/>
    <x v="2"/>
    <s v="No"/>
    <s v="41k-65k"/>
    <x v="1"/>
    <s v="Other"/>
    <s v="R"/>
    <n v="5"/>
    <n v="5"/>
    <n v="5"/>
    <n v="5"/>
    <x v="0"/>
    <x v="5"/>
    <s v="Difficult"/>
    <s v="Good Work/Life Balance"/>
    <s v="Male"/>
    <n v="22"/>
    <s v="United States"/>
    <s v="Masters"/>
    <s v="White or Caucasian"/>
  </r>
  <r>
    <s v="62a3a0bcf8f756164585daf7"/>
    <s v="anonymous"/>
    <d v="2022-06-10T00:00:00"/>
    <d v="1899-12-30T15:51:00"/>
    <d v="1899-12-30T00:03:49"/>
    <m/>
    <m/>
    <m/>
    <m/>
    <m/>
    <x v="0"/>
    <s v="Yes"/>
    <s v="41k-65k"/>
    <x v="1"/>
    <s v="Healthcare"/>
    <s v="Other"/>
    <n v="7"/>
    <n v="8"/>
    <n v="8"/>
    <n v="4"/>
    <x v="5"/>
    <x v="8"/>
    <s v="Neither easy nor difficult"/>
    <s v="Good Culture"/>
    <s v="Male"/>
    <n v="38"/>
    <s v="Other"/>
    <s v="High School"/>
    <s v="White or Caucasian"/>
  </r>
  <r>
    <s v="62a3a1a62e54c9003e53dc35"/>
    <s v="anonymous"/>
    <d v="2022-06-10T00:00:00"/>
    <d v="1899-12-30T15:55:00"/>
    <d v="1899-12-30T00:01:47"/>
    <m/>
    <m/>
    <m/>
    <m/>
    <m/>
    <x v="0"/>
    <s v="Yes"/>
    <s v="0-40k"/>
    <x v="2"/>
    <s v="Education"/>
    <s v="Python"/>
    <n v="0"/>
    <n v="0"/>
    <n v="5"/>
    <n v="0"/>
    <x v="3"/>
    <x v="9"/>
    <s v="Difficult"/>
    <s v="Good Culture"/>
    <s v="Male"/>
    <n v="27"/>
    <s v="Other"/>
    <s v="Bachelors"/>
    <s v="Black or African American"/>
  </r>
  <r>
    <s v="62a3a231b4da29969c639b2c"/>
    <s v="anonymous"/>
    <d v="2022-06-10T00:00:00"/>
    <d v="1899-12-30T15:57:00"/>
    <d v="1899-12-30T00:02:55"/>
    <m/>
    <m/>
    <m/>
    <m/>
    <m/>
    <x v="0"/>
    <s v="Yes"/>
    <s v="86k-105k"/>
    <x v="5"/>
    <s v="Other"/>
    <s v="Other"/>
    <n v="4"/>
    <n v="4"/>
    <n v="2"/>
    <n v="2"/>
    <x v="8"/>
    <x v="4"/>
    <s v="Easy"/>
    <s v="Remote Work"/>
    <s v="Female"/>
    <n v="34"/>
    <s v="Canada"/>
    <s v="Bachelors"/>
    <s v="Black or African American"/>
  </r>
  <r>
    <s v="62a3a3800f8c8599d5afd4db"/>
    <s v="anonymous"/>
    <d v="2022-06-10T00:00:00"/>
    <d v="1899-12-30T16:03:00"/>
    <d v="1899-12-30T00:01:45"/>
    <m/>
    <m/>
    <m/>
    <m/>
    <m/>
    <x v="0"/>
    <s v="Yes"/>
    <s v="66k-85k"/>
    <x v="6"/>
    <s v="Other"/>
    <s v="Python"/>
    <n v="9"/>
    <n v="10"/>
    <n v="10"/>
    <n v="9"/>
    <x v="6"/>
    <x v="2"/>
    <s v="Difficult"/>
    <s v="Better Salary"/>
    <s v="Female"/>
    <n v="31"/>
    <s v="United States"/>
    <s v="Bachelors"/>
    <s v="White or Caucasian"/>
  </r>
  <r>
    <s v="62a3a4fdbae91e4b8b83ab6f"/>
    <s v="anonymous"/>
    <d v="2022-06-10T00:00:00"/>
    <d v="1899-12-30T16:09:00"/>
    <d v="1899-12-30T00:03:52"/>
    <m/>
    <m/>
    <m/>
    <m/>
    <m/>
    <x v="0"/>
    <s v="Yes"/>
    <s v="41k-65k"/>
    <x v="1"/>
    <s v="Tech"/>
    <s v="Python"/>
    <n v="4"/>
    <n v="9"/>
    <n v="8"/>
    <n v="8"/>
    <x v="5"/>
    <x v="2"/>
    <s v="Neither easy nor difficult"/>
    <s v="Better Salary"/>
    <s v="Female"/>
    <n v="33"/>
    <s v="Canada"/>
    <s v="Masters"/>
    <s v="Black or African American"/>
  </r>
  <r>
    <s v="62a3a7f50a77c1a77f668221"/>
    <s v="anonymous"/>
    <d v="2022-06-10T00:00:00"/>
    <d v="1899-12-30T16:22:00"/>
    <d v="1899-12-30T00:00:59"/>
    <m/>
    <m/>
    <m/>
    <m/>
    <m/>
    <x v="4"/>
    <s v="Yes"/>
    <s v="0-40k"/>
    <x v="2"/>
    <s v="Tech"/>
    <s v="Python"/>
    <n v="2"/>
    <n v="5"/>
    <n v="5"/>
    <n v="5"/>
    <x v="0"/>
    <x v="5"/>
    <s v="Very Difficult"/>
    <s v="Remote Work"/>
    <s v="Male"/>
    <n v="23"/>
    <s v="United States"/>
    <s v="Bachelors"/>
    <s v="Asian or Asian American"/>
  </r>
  <r>
    <s v="62a3a90f24a262602738e800"/>
    <s v="anonymous"/>
    <d v="2022-06-10T00:00:00"/>
    <d v="1899-12-30T16:26:00"/>
    <d v="1899-12-30T00:01:26"/>
    <m/>
    <m/>
    <m/>
    <m/>
    <m/>
    <x v="0"/>
    <s v="Yes"/>
    <s v="41k-65k"/>
    <x v="1"/>
    <s v="Healthcare"/>
    <s v="Other"/>
    <n v="3"/>
    <n v="10"/>
    <n v="9"/>
    <n v="10"/>
    <x v="0"/>
    <x v="9"/>
    <s v="Neither easy nor difficult"/>
    <s v="Better Salary"/>
    <s v="Female"/>
    <n v="25"/>
    <s v="United States"/>
    <s v="Bachelors"/>
    <s v="Asian or Asian American"/>
  </r>
  <r>
    <s v="62a3a9dbd8c00e9f541a93eb"/>
    <s v="anonymous"/>
    <d v="2022-06-10T00:00:00"/>
    <d v="1899-12-30T16:30:00"/>
    <d v="1899-12-30T00:01:54"/>
    <m/>
    <m/>
    <m/>
    <m/>
    <m/>
    <x v="0"/>
    <s v="Yes"/>
    <s v="0-40k"/>
    <x v="2"/>
    <s v="Tech"/>
    <s v="Python"/>
    <n v="4"/>
    <n v="4"/>
    <n v="4"/>
    <n v="5"/>
    <x v="8"/>
    <x v="3"/>
    <s v="Difficult"/>
    <s v="Better Salary"/>
    <s v="Male"/>
    <n v="29"/>
    <s v="Other"/>
    <s v="Masters"/>
    <s v="White or Caucasian"/>
  </r>
  <r>
    <s v="62a3aaa3cec54911e9cb1724"/>
    <s v="anonymous"/>
    <d v="2022-06-10T00:00:00"/>
    <d v="1899-12-30T16:33:00"/>
    <d v="1899-12-30T00:02:16"/>
    <m/>
    <m/>
    <m/>
    <m/>
    <m/>
    <x v="2"/>
    <s v="Yes"/>
    <s v="41k-65k"/>
    <x v="1"/>
    <s v="Healthcare"/>
    <s v="R"/>
    <n v="5"/>
    <n v="7"/>
    <n v="9"/>
    <n v="8"/>
    <x v="6"/>
    <x v="8"/>
    <s v="Neither easy nor difficult"/>
    <s v="Better Salary"/>
    <s v="Female"/>
    <n v="29"/>
    <s v="United States"/>
    <s v="Masters"/>
    <s v="Black or African American"/>
  </r>
  <r>
    <s v="62a3ab320f8c8599d5afdfa8"/>
    <s v="anonymous"/>
    <d v="2022-06-10T00:00:00"/>
    <d v="1899-12-30T16:36:00"/>
    <d v="1899-12-30T00:01:45"/>
    <m/>
    <m/>
    <m/>
    <m/>
    <m/>
    <x v="0"/>
    <s v="Yes"/>
    <s v="0-40k"/>
    <x v="2"/>
    <s v="Tech"/>
    <s v="R"/>
    <n v="3"/>
    <n v="4"/>
    <n v="4"/>
    <n v="4"/>
    <x v="7"/>
    <x v="4"/>
    <s v="Easy"/>
    <s v="Better Salary"/>
    <s v="Male"/>
    <n v="31"/>
    <s v="India"/>
    <s v="Masters"/>
    <s v="Asian or Asian American"/>
  </r>
  <r>
    <s v="62a3abacd8c00e9f541a96eb"/>
    <s v="anonymous"/>
    <d v="2022-06-10T00:00:00"/>
    <d v="1899-12-30T16:38:00"/>
    <d v="1899-12-30T00:01:33"/>
    <m/>
    <m/>
    <m/>
    <m/>
    <m/>
    <x v="4"/>
    <s v="No"/>
    <s v="0-40k"/>
    <x v="2"/>
    <s v="Real Estate"/>
    <s v="R"/>
    <n v="0"/>
    <n v="5"/>
    <n v="0"/>
    <n v="0"/>
    <x v="3"/>
    <x v="9"/>
    <s v="Very Difficult"/>
    <s v="Remote Work"/>
    <s v="Male"/>
    <n v="34"/>
    <s v="Other"/>
    <s v="High School"/>
    <s v="Black or African American"/>
  </r>
  <r>
    <s v="62a3ac4bf8f756164585ea83"/>
    <s v="anonymous"/>
    <d v="2022-06-10T00:00:00"/>
    <d v="1899-12-30T16:40:00"/>
    <d v="1899-12-30T00:02:04"/>
    <m/>
    <m/>
    <m/>
    <m/>
    <m/>
    <x v="0"/>
    <s v="Yes"/>
    <s v="0-40k"/>
    <x v="2"/>
    <s v="Tech"/>
    <s v="Python"/>
    <n v="3"/>
    <n v="2"/>
    <n v="4"/>
    <n v="3"/>
    <x v="2"/>
    <x v="8"/>
    <s v="Easy"/>
    <s v="Good Work/Life Balance"/>
    <s v="Male"/>
    <n v="26"/>
    <s v="Other"/>
    <s v="Bachelors"/>
    <s v="Other"/>
  </r>
  <r>
    <s v="62a3ad35cec54911e9cb1b5c"/>
    <s v="anonymous"/>
    <d v="2022-06-10T00:00:00"/>
    <d v="1899-12-30T16:44:00"/>
    <d v="1899-12-30T00:01:34"/>
    <m/>
    <m/>
    <m/>
    <m/>
    <m/>
    <x v="2"/>
    <s v="No"/>
    <s v="86k-105k"/>
    <x v="5"/>
    <s v="Healthcare"/>
    <s v="Python"/>
    <n v="4"/>
    <n v="6"/>
    <n v="5"/>
    <n v="6"/>
    <x v="5"/>
    <x v="7"/>
    <s v="Neither easy nor difficult"/>
    <s v="Remote Work"/>
    <s v="Female"/>
    <n v="26"/>
    <s v="United States"/>
    <s v="Bachelors"/>
    <s v="White or Caucasian"/>
  </r>
  <r>
    <s v="62a3ae69bc6861bf3177900d"/>
    <s v="anonymous"/>
    <d v="2022-06-10T00:00:00"/>
    <d v="1899-12-30T16:49:00"/>
    <d v="1899-12-30T00:02:55"/>
    <m/>
    <m/>
    <m/>
    <m/>
    <m/>
    <x v="2"/>
    <s v="Yes"/>
    <s v="41k-65k"/>
    <x v="1"/>
    <s v="Other"/>
    <s v="Other"/>
    <n v="3"/>
    <n v="6"/>
    <n v="9"/>
    <n v="6"/>
    <x v="0"/>
    <x v="2"/>
    <s v="Difficult"/>
    <s v="Other"/>
    <s v="Male"/>
    <n v="27"/>
    <s v="United States"/>
    <s v="Masters"/>
    <s v="Black or African American"/>
  </r>
  <r>
    <s v="62a3af26cec54911e9cb1f3a"/>
    <s v="anonymous"/>
    <d v="2022-06-10T00:00:00"/>
    <d v="1899-12-30T16:52:00"/>
    <d v="1899-12-30T00:01:42"/>
    <m/>
    <m/>
    <m/>
    <m/>
    <m/>
    <x v="0"/>
    <s v="Yes"/>
    <s v="66k-85k"/>
    <x v="6"/>
    <s v="Other"/>
    <s v="Python"/>
    <n v="8"/>
    <n v="5"/>
    <n v="9"/>
    <n v="6"/>
    <x v="5"/>
    <x v="2"/>
    <s v="Neither easy nor difficult"/>
    <s v="Remote Work"/>
    <s v="Male"/>
    <n v="26"/>
    <s v="United States"/>
    <s v="Bachelors"/>
    <s v="White or Caucasian"/>
  </r>
  <r>
    <s v="62a3af66f8f756164585eeb8"/>
    <s v="anonymous"/>
    <d v="2022-06-10T00:00:00"/>
    <d v="1899-12-30T16:53:00"/>
    <d v="1899-12-30T00:03:01"/>
    <m/>
    <m/>
    <m/>
    <m/>
    <m/>
    <x v="4"/>
    <s v="Yes"/>
    <s v="0-40k"/>
    <x v="2"/>
    <s v="Tech"/>
    <s v="Python"/>
    <n v="4"/>
    <n v="5"/>
    <n v="4"/>
    <n v="4"/>
    <x v="4"/>
    <x v="7"/>
    <s v="Very Difficult"/>
    <s v="Better Salary"/>
    <s v="Female"/>
    <n v="26"/>
    <s v="United States"/>
    <s v="Masters"/>
    <s v="Asian or Asian American"/>
  </r>
  <r>
    <s v="62a3b135b4da29969c63b1ed"/>
    <s v="anonymous"/>
    <d v="2022-06-10T00:00:00"/>
    <d v="1899-12-30T17:01:00"/>
    <d v="1899-12-30T00:01:18"/>
    <m/>
    <m/>
    <m/>
    <m/>
    <m/>
    <x v="0"/>
    <s v="Yes"/>
    <s v="41k-65k"/>
    <x v="1"/>
    <s v="Finance"/>
    <s v="R"/>
    <n v="2"/>
    <n v="5"/>
    <n v="5"/>
    <n v="5"/>
    <x v="7"/>
    <x v="5"/>
    <s v="Easy"/>
    <s v="Better Salary"/>
    <s v="Male"/>
    <n v="24"/>
    <s v="United States"/>
    <s v="Bachelors"/>
    <s v="White or Caucasian"/>
  </r>
  <r>
    <s v="62a3b255d8c00e9f541a9fd5"/>
    <s v="anonymous"/>
    <d v="2022-06-10T00:00:00"/>
    <d v="1899-12-30T17:06:00"/>
    <d v="1899-12-30T00:02:18"/>
    <m/>
    <m/>
    <m/>
    <m/>
    <m/>
    <x v="0"/>
    <s v="Yes"/>
    <s v="86k-105k"/>
    <x v="5"/>
    <s v="Other"/>
    <s v="Python"/>
    <n v="4"/>
    <n v="6"/>
    <n v="3"/>
    <n v="4"/>
    <x v="7"/>
    <x v="4"/>
    <s v="Easy"/>
    <s v="Better Salary"/>
    <s v="Female"/>
    <n v="28"/>
    <s v="Other"/>
    <s v="Masters"/>
    <s v="Other"/>
  </r>
  <r>
    <s v="62a3b314f408bae018ee0938"/>
    <s v="anonymous"/>
    <d v="2022-06-10T00:00:00"/>
    <d v="1899-12-30T17:09:00"/>
    <d v="1899-12-30T00:01:18"/>
    <m/>
    <m/>
    <m/>
    <m/>
    <m/>
    <x v="0"/>
    <s v="Yes"/>
    <s v="106k-125k"/>
    <x v="0"/>
    <s v="Other"/>
    <s v="R"/>
    <n v="8"/>
    <n v="8"/>
    <n v="10"/>
    <n v="9"/>
    <x v="2"/>
    <x v="5"/>
    <s v="Easy"/>
    <s v="Better Salary"/>
    <s v="Male"/>
    <n v="29"/>
    <s v="United States"/>
    <s v="Bachelors"/>
    <s v="White or Caucasian"/>
  </r>
  <r>
    <s v="62a3b3f6bc6861bf3177973b"/>
    <s v="anonymous"/>
    <d v="2022-06-10T00:00:00"/>
    <d v="1899-12-30T17:13:00"/>
    <d v="1899-12-30T00:01:02"/>
    <m/>
    <m/>
    <m/>
    <m/>
    <m/>
    <x v="0"/>
    <s v="Yes"/>
    <s v="66k-85k"/>
    <x v="6"/>
    <s v="Finance"/>
    <s v="Python"/>
    <n v="3"/>
    <n v="2"/>
    <n v="1"/>
    <n v="1"/>
    <x v="3"/>
    <x v="4"/>
    <s v="Very Difficult"/>
    <s v="Better Salary"/>
    <s v="Female"/>
    <n v="26"/>
    <s v="United States"/>
    <s v="Masters"/>
    <s v="Asian or Asian American"/>
  </r>
  <r>
    <s v="62a3ba4dbc6861bf31779f24"/>
    <s v="anonymous"/>
    <d v="2022-06-10T00:00:00"/>
    <d v="1899-12-30T17:40:00"/>
    <d v="1899-12-30T00:01:19"/>
    <m/>
    <m/>
    <m/>
    <m/>
    <m/>
    <x v="0"/>
    <s v="Yes"/>
    <s v="41k-65k"/>
    <x v="1"/>
    <s v="Other"/>
    <s v="Python"/>
    <n v="3"/>
    <n v="5"/>
    <n v="3"/>
    <n v="3"/>
    <x v="1"/>
    <x v="3"/>
    <s v="Neither easy nor difficult"/>
    <s v="Better Salary"/>
    <s v="Male"/>
    <n v="28"/>
    <s v="United Kingdom"/>
    <s v="Bachelors"/>
    <s v="White or Caucasian"/>
  </r>
  <r>
    <s v="62a3baa624a262602738ff27"/>
    <s v="anonymous"/>
    <d v="2022-06-10T00:00:00"/>
    <d v="1899-12-30T17:41:00"/>
    <d v="1899-12-30T00:04:19"/>
    <m/>
    <m/>
    <m/>
    <m/>
    <m/>
    <x v="0"/>
    <s v="No"/>
    <s v="0-40k"/>
    <x v="2"/>
    <s v="Finance"/>
    <s v="Python"/>
    <n v="6"/>
    <n v="8"/>
    <n v="7"/>
    <n v="6"/>
    <x v="8"/>
    <x v="7"/>
    <s v="Easy"/>
    <s v="Other"/>
    <s v="Male"/>
    <n v="25"/>
    <s v="Other"/>
    <s v="Masters"/>
    <s v="White or Caucasian"/>
  </r>
  <r>
    <s v="62a3bc00d8c00e9f541aad66"/>
    <s v="anonymous"/>
    <d v="2022-06-10T00:00:00"/>
    <d v="1899-12-30T17:47:00"/>
    <d v="1899-12-30T00:01:30"/>
    <m/>
    <m/>
    <m/>
    <m/>
    <m/>
    <x v="0"/>
    <s v="Yes"/>
    <s v="66k-85k"/>
    <x v="6"/>
    <s v="Finance"/>
    <s v="R"/>
    <n v="5"/>
    <n v="7"/>
    <n v="7"/>
    <n v="3"/>
    <x v="2"/>
    <x v="6"/>
    <s v="Difficult"/>
    <s v="Better Salary"/>
    <s v="Female"/>
    <n v="26"/>
    <s v="United States"/>
    <s v="Bachelors"/>
    <s v="Asian or Asian American"/>
  </r>
  <r>
    <s v="62a3bf1b0a77c1a77f66a347"/>
    <s v="anonymous"/>
    <d v="2022-06-10T00:00:00"/>
    <d v="1899-12-30T18:00:00"/>
    <d v="1899-12-30T00:05:36"/>
    <m/>
    <m/>
    <m/>
    <m/>
    <m/>
    <x v="1"/>
    <s v="Yes"/>
    <s v="125k-150k"/>
    <x v="4"/>
    <s v="Healthcare"/>
    <s v="Python"/>
    <n v="6"/>
    <n v="3"/>
    <n v="9"/>
    <n v="5"/>
    <x v="6"/>
    <x v="8"/>
    <s v="Neither easy nor difficult"/>
    <s v="Remote Work"/>
    <s v="Female"/>
    <n v="38"/>
    <s v="United States"/>
    <s v="Masters"/>
    <s v="White or Caucasian"/>
  </r>
  <r>
    <s v="62a3c021f8f756164586043f"/>
    <s v="anonymous"/>
    <d v="2022-06-10T00:00:00"/>
    <d v="1899-12-30T18:05:00"/>
    <d v="1899-12-30T00:02:00"/>
    <m/>
    <m/>
    <m/>
    <m/>
    <m/>
    <x v="2"/>
    <s v="Yes"/>
    <s v="0-40k"/>
    <x v="2"/>
    <s v="Other"/>
    <s v="Other"/>
    <n v="0"/>
    <n v="3"/>
    <n v="3"/>
    <n v="3"/>
    <x v="7"/>
    <x v="7"/>
    <s v="Neither easy nor difficult"/>
    <s v="Better Salary"/>
    <s v="Female"/>
    <n v="20"/>
    <s v="Other"/>
    <s v="High School"/>
    <s v="Black or African American"/>
  </r>
  <r>
    <s v="62a3c1b1bc6861bf3177aa8c"/>
    <s v="anonymous"/>
    <d v="2022-06-10T00:00:00"/>
    <d v="1899-12-30T18:12:00"/>
    <d v="1899-12-30T00:02:04"/>
    <m/>
    <m/>
    <m/>
    <m/>
    <m/>
    <x v="0"/>
    <s v="No"/>
    <s v="66k-85k"/>
    <x v="6"/>
    <s v="Education"/>
    <s v="Other"/>
    <n v="4"/>
    <n v="6"/>
    <n v="7"/>
    <n v="7"/>
    <x v="8"/>
    <x v="4"/>
    <s v="Neither easy nor difficult"/>
    <s v="Remote Work"/>
    <s v="Female"/>
    <n v="45"/>
    <s v="United States"/>
    <s v="Masters"/>
    <s v="Black or African American"/>
  </r>
  <r>
    <s v="62a3c30324a26260273909b9"/>
    <s v="anonymous"/>
    <d v="2022-06-10T00:00:00"/>
    <d v="1899-12-30T18:17:00"/>
    <d v="1899-12-30T00:01:18"/>
    <m/>
    <m/>
    <m/>
    <m/>
    <m/>
    <x v="0"/>
    <s v="No"/>
    <s v="86k-105k"/>
    <x v="5"/>
    <s v="Other"/>
    <s v="Python"/>
    <n v="5"/>
    <n v="3"/>
    <n v="5"/>
    <n v="6"/>
    <x v="5"/>
    <x v="7"/>
    <s v="Difficult"/>
    <s v="Good Work/Life Balance"/>
    <s v="Male"/>
    <n v="27"/>
    <s v="Canada"/>
    <s v="Masters"/>
    <s v="Other"/>
  </r>
  <r>
    <s v="62a3c476bc6861bf3177ad9d"/>
    <s v="anonymous"/>
    <d v="2022-06-10T00:00:00"/>
    <d v="1899-12-30T18:23:00"/>
    <d v="1899-12-30T00:02:58"/>
    <m/>
    <m/>
    <m/>
    <m/>
    <m/>
    <x v="0"/>
    <s v="Yes"/>
    <s v="41k-65k"/>
    <x v="1"/>
    <s v="Other"/>
    <s v="Python"/>
    <n v="3"/>
    <n v="7"/>
    <n v="7"/>
    <n v="7"/>
    <x v="2"/>
    <x v="10"/>
    <s v="Difficult"/>
    <s v="Good Culture"/>
    <s v="Male"/>
    <n v="28"/>
    <s v="Canada"/>
    <s v="Masters"/>
    <s v="Asian or Asian American"/>
  </r>
  <r>
    <s v="62a3c5f2cec54911e9cb3d9b"/>
    <s v="anonymous"/>
    <d v="2022-06-10T00:00:00"/>
    <d v="1899-12-30T18:30:00"/>
    <d v="1899-12-30T00:04:30"/>
    <m/>
    <m/>
    <m/>
    <m/>
    <m/>
    <x v="4"/>
    <s v="Yes"/>
    <s v="0-40k"/>
    <x v="2"/>
    <s v="Other"/>
    <s v="R"/>
    <n v="2"/>
    <n v="10"/>
    <n v="10"/>
    <n v="10"/>
    <x v="9"/>
    <x v="1"/>
    <s v="Neither easy nor difficult"/>
    <s v="Remote Work"/>
    <s v="Female"/>
    <n v="29"/>
    <s v="Other"/>
    <s v="Bachelors"/>
    <s v="Other"/>
  </r>
  <r>
    <s v="62a3c7f1bc6861bf3177b06e"/>
    <s v="anonymous"/>
    <d v="2022-06-10T00:00:00"/>
    <d v="1899-12-30T18:38:00"/>
    <d v="1899-12-30T00:01:57"/>
    <m/>
    <m/>
    <m/>
    <m/>
    <m/>
    <x v="2"/>
    <s v="No"/>
    <s v="41k-65k"/>
    <x v="1"/>
    <s v="Tech"/>
    <s v="C/C++"/>
    <n v="7"/>
    <n v="7"/>
    <n v="7"/>
    <n v="7"/>
    <x v="2"/>
    <x v="0"/>
    <s v="Neither easy nor difficult"/>
    <s v="Better Salary"/>
    <s v="Female"/>
    <n v="43"/>
    <s v="Other"/>
    <s v="High School"/>
    <s v="Asian or Asian American"/>
  </r>
  <r>
    <s v="62a3c8652e54c9003e54103e"/>
    <s v="anonymous"/>
    <d v="2022-06-10T00:00:00"/>
    <d v="1899-12-30T18:40:00"/>
    <d v="1899-12-30T00:02:27"/>
    <m/>
    <m/>
    <m/>
    <m/>
    <m/>
    <x v="0"/>
    <s v="Yes"/>
    <s v="0-40k"/>
    <x v="2"/>
    <s v="Finance"/>
    <s v="Python"/>
    <n v="0"/>
    <n v="5"/>
    <n v="9"/>
    <n v="9"/>
    <x v="3"/>
    <x v="2"/>
    <s v="Neither easy nor difficult"/>
    <s v="Remote Work"/>
    <s v="Male"/>
    <n v="26"/>
    <s v="Other"/>
    <s v="Bachelors"/>
    <s v="Black or African American"/>
  </r>
  <r>
    <s v="62a3ca44bae91e4b8b83dcd4"/>
    <s v="anonymous"/>
    <d v="2022-06-10T00:00:00"/>
    <d v="1899-12-30T18:48:00"/>
    <d v="1899-12-30T00:04:17"/>
    <m/>
    <m/>
    <m/>
    <m/>
    <m/>
    <x v="4"/>
    <s v="No"/>
    <s v="41k-65k"/>
    <x v="1"/>
    <s v="Tech"/>
    <s v="Other"/>
    <n v="7"/>
    <n v="8"/>
    <n v="7"/>
    <n v="7"/>
    <x v="6"/>
    <x v="0"/>
    <s v="Neither easy nor difficult"/>
    <s v="Other"/>
    <s v="Female"/>
    <n v="47"/>
    <s v="United States"/>
    <s v="Bachelors"/>
    <s v="Black or African American"/>
  </r>
  <r>
    <s v="62a3cafff8d5efcc22f8b5cb"/>
    <s v="anonymous"/>
    <d v="2022-06-10T00:00:00"/>
    <d v="1899-12-30T18:51:00"/>
    <d v="1899-12-30T00:01:42"/>
    <m/>
    <m/>
    <m/>
    <m/>
    <m/>
    <x v="4"/>
    <s v="Yes"/>
    <s v="0-40k"/>
    <x v="2"/>
    <s v="Finance"/>
    <s v="Python"/>
    <s v="null"/>
    <m/>
    <m/>
    <n v="8"/>
    <x v="9"/>
    <x v="2"/>
    <s v="Easy"/>
    <s v="Remote Work"/>
    <s v="Male"/>
    <n v="23"/>
    <s v="Other"/>
    <s v="Bachelors"/>
    <s v="Black or African American"/>
  </r>
  <r>
    <s v="62a3cbfef8d5efcc22f8b6f1"/>
    <s v="anonymous"/>
    <d v="2022-06-10T00:00:00"/>
    <d v="1899-12-30T18:55:00"/>
    <d v="1899-12-30T00:01:20"/>
    <m/>
    <m/>
    <m/>
    <m/>
    <m/>
    <x v="0"/>
    <s v="Yes"/>
    <s v="0-40k"/>
    <x v="2"/>
    <s v="Tech"/>
    <s v="Python"/>
    <n v="0"/>
    <n v="1"/>
    <n v="1"/>
    <n v="1"/>
    <x v="1"/>
    <x v="4"/>
    <s v="Very Difficult"/>
    <s v="Better Salary"/>
    <s v="Male"/>
    <n v="25"/>
    <s v="Other"/>
    <s v="Bachelors"/>
    <s v="Other"/>
  </r>
  <r>
    <s v="62a3cde8f8f7561645861366"/>
    <s v="anonymous"/>
    <d v="2022-06-10T00:00:00"/>
    <d v="1899-12-30T19:04:00"/>
    <d v="1899-12-30T00:02:02"/>
    <m/>
    <m/>
    <m/>
    <m/>
    <m/>
    <x v="2"/>
    <s v="No"/>
    <s v="0-40k"/>
    <x v="2"/>
    <s v="Finance"/>
    <s v="Python"/>
    <n v="6"/>
    <n v="6"/>
    <n v="3"/>
    <n v="7"/>
    <x v="8"/>
    <x v="7"/>
    <s v="Very Difficult"/>
    <s v="Other"/>
    <s v="Male"/>
    <n v="32"/>
    <s v="Other"/>
    <s v="Masters"/>
    <s v="White or Caucasian"/>
  </r>
  <r>
    <s v="62a3cfed0f8c8599d5b00b12"/>
    <s v="anonymous"/>
    <d v="2022-06-10T00:00:00"/>
    <d v="1899-12-30T19:12:00"/>
    <d v="1899-12-30T00:01:09"/>
    <m/>
    <m/>
    <m/>
    <m/>
    <m/>
    <x v="0"/>
    <s v="Yes"/>
    <s v="0-40k"/>
    <x v="2"/>
    <s v="Finance"/>
    <s v="Python"/>
    <n v="1"/>
    <n v="10"/>
    <n v="10"/>
    <n v="5"/>
    <x v="4"/>
    <x v="3"/>
    <s v="Neither easy nor difficult"/>
    <s v="Better Salary"/>
    <s v="Female"/>
    <n v="25"/>
    <s v="United States"/>
    <s v="Bachelors"/>
    <s v="White or Caucasian"/>
  </r>
  <r>
    <s v="62a3d21ef3072dd8926314d1"/>
    <s v="anonymous"/>
    <d v="2022-06-10T00:00:00"/>
    <d v="1899-12-30T19:22:00"/>
    <d v="1899-12-30T00:02:40"/>
    <m/>
    <m/>
    <m/>
    <m/>
    <m/>
    <x v="0"/>
    <s v="No"/>
    <s v="0-40k"/>
    <x v="2"/>
    <s v="Finance"/>
    <s v="Python"/>
    <n v="1"/>
    <n v="2"/>
    <n v="10"/>
    <n v="1"/>
    <x v="8"/>
    <x v="8"/>
    <s v="Difficult"/>
    <s v="Remote Work"/>
    <s v="Female"/>
    <n v="29"/>
    <s v="Other"/>
    <s v="Bachelors"/>
    <s v="Hispanic or Latino"/>
  </r>
  <r>
    <s v="62a3d37c0a77c1a77f66bc0e"/>
    <s v="anonymous"/>
    <d v="2022-06-10T00:00:00"/>
    <d v="1899-12-30T19:27:00"/>
    <d v="1899-12-30T00:01:11"/>
    <m/>
    <m/>
    <m/>
    <m/>
    <m/>
    <x v="0"/>
    <s v="No"/>
    <s v="41k-65k"/>
    <x v="1"/>
    <s v="Healthcare"/>
    <s v="Other"/>
    <n v="3"/>
    <n v="7"/>
    <n v="5"/>
    <n v="5"/>
    <x v="4"/>
    <x v="1"/>
    <s v="Neither easy nor difficult"/>
    <s v="Better Salary"/>
    <s v="Female"/>
    <n v="33"/>
    <s v="United States"/>
    <s v="Bachelors"/>
    <s v="Asian or Asian American"/>
  </r>
  <r>
    <s v="62a3d8dbf8f7561645861f9d"/>
    <s v="anonymous"/>
    <d v="2022-06-10T00:00:00"/>
    <d v="1899-12-30T19:50:00"/>
    <d v="1899-12-30T00:04:51"/>
    <m/>
    <m/>
    <m/>
    <m/>
    <m/>
    <x v="0"/>
    <s v="No"/>
    <s v="106k-125k"/>
    <x v="0"/>
    <s v="Education"/>
    <s v="Python"/>
    <n v="6"/>
    <n v="10"/>
    <n v="10"/>
    <n v="10"/>
    <x v="2"/>
    <x v="10"/>
    <s v="Easy"/>
    <s v="Other"/>
    <s v="Male"/>
    <n v="36"/>
    <s v="United States"/>
    <s v="Masters"/>
    <s v="Asian or Asian American"/>
  </r>
  <r>
    <s v="62a3d9697dc029e2d66cf087"/>
    <s v="anonymous"/>
    <d v="2022-06-10T00:00:00"/>
    <d v="1899-12-30T19:53:00"/>
    <d v="1899-12-30T00:01:32"/>
    <m/>
    <m/>
    <m/>
    <m/>
    <m/>
    <x v="0"/>
    <s v="Yes"/>
    <s v="41k-65k"/>
    <x v="1"/>
    <s v="Healthcare"/>
    <s v="Python"/>
    <n v="4"/>
    <n v="10"/>
    <n v="9"/>
    <n v="3"/>
    <x v="3"/>
    <x v="2"/>
    <s v="Difficult"/>
    <s v="Good Work/Life Balance"/>
    <s v="Male"/>
    <n v="25"/>
    <s v="United States"/>
    <s v="Bachelors"/>
    <s v="White or Caucasian"/>
  </r>
  <r>
    <s v="62a3dac9f3072dd892631e12"/>
    <s v="anonymous"/>
    <d v="2022-06-10T00:00:00"/>
    <d v="1899-12-30T19:59:00"/>
    <d v="1899-12-30T00:03:19"/>
    <m/>
    <m/>
    <m/>
    <m/>
    <m/>
    <x v="3"/>
    <s v="No"/>
    <s v="150k-225k"/>
    <x v="3"/>
    <s v="Other"/>
    <s v="Python"/>
    <n v="8"/>
    <n v="7"/>
    <n v="8"/>
    <n v="7"/>
    <x v="2"/>
    <x v="8"/>
    <s v="Neither easy nor difficult"/>
    <s v="Good Work/Life Balance"/>
    <s v="Male"/>
    <n v="38"/>
    <s v="United States"/>
    <s v="Masters"/>
    <s v="White or Caucasian"/>
  </r>
  <r>
    <s v="62a3dc3ab4da29969c63e3d7"/>
    <s v="anonymous"/>
    <d v="2022-06-10T00:00:00"/>
    <d v="1899-12-30T20:05:00"/>
    <d v="1899-12-30T00:03:42"/>
    <m/>
    <m/>
    <m/>
    <m/>
    <m/>
    <x v="0"/>
    <s v="Yes"/>
    <s v="66k-85k"/>
    <x v="6"/>
    <s v="Other"/>
    <s v="R"/>
    <n v="3"/>
    <n v="2"/>
    <n v="6"/>
    <n v="6"/>
    <x v="0"/>
    <x v="7"/>
    <s v="Difficult"/>
    <s v="Good Work/Life Balance"/>
    <s v="Male"/>
    <n v="30"/>
    <s v="United States"/>
    <s v="Masters"/>
    <s v="Other"/>
  </r>
  <r>
    <s v="62a3e2abf8f75616458628d1"/>
    <s v="anonymous"/>
    <d v="2022-06-10T00:00:00"/>
    <d v="1899-12-30T20:32:00"/>
    <d v="1899-12-30T00:01:48"/>
    <m/>
    <m/>
    <m/>
    <m/>
    <m/>
    <x v="0"/>
    <s v="Yes"/>
    <s v="41k-65k"/>
    <x v="1"/>
    <s v="Tech"/>
    <s v="Python"/>
    <n v="3"/>
    <n v="5"/>
    <n v="6"/>
    <n v="6"/>
    <x v="5"/>
    <x v="0"/>
    <s v="Difficult"/>
    <s v="Good Culture"/>
    <s v="Male"/>
    <n v="35"/>
    <s v="United States"/>
    <s v="Masters"/>
    <s v="Black or African American"/>
  </r>
  <r>
    <s v="62a3e32bd8c00e9f541ad5f0"/>
    <s v="anonymous"/>
    <d v="2022-06-10T00:00:00"/>
    <d v="1899-12-30T20:34:00"/>
    <d v="1899-12-30T00:01:44"/>
    <m/>
    <m/>
    <m/>
    <m/>
    <m/>
    <x v="2"/>
    <s v="No"/>
    <s v="41k-65k"/>
    <x v="1"/>
    <s v="Education"/>
    <s v="Other"/>
    <n v="0"/>
    <n v="1"/>
    <n v="10"/>
    <n v="5"/>
    <x v="3"/>
    <x v="9"/>
    <s v="Difficult"/>
    <s v="Better Salary"/>
    <s v="Female"/>
    <n v="42"/>
    <s v="United States"/>
    <s v="Bachelors"/>
    <s v="White or Caucasian"/>
  </r>
  <r>
    <s v="62a3ecf7bc6861bf3177d5c2"/>
    <s v="anonymous"/>
    <d v="2022-06-10T00:00:00"/>
    <d v="1899-12-30T21:16:00"/>
    <d v="1899-12-30T00:01:40"/>
    <m/>
    <m/>
    <m/>
    <m/>
    <m/>
    <x v="0"/>
    <s v="Yes"/>
    <s v="66k-85k"/>
    <x v="6"/>
    <s v="Healthcare"/>
    <s v="Python"/>
    <n v="3"/>
    <n v="5"/>
    <n v="4"/>
    <n v="6"/>
    <x v="7"/>
    <x v="10"/>
    <s v="Easy"/>
    <s v="Remote Work"/>
    <s v="Male"/>
    <n v="30"/>
    <s v="United States"/>
    <s v="Masters"/>
    <s v="White or Caucasian"/>
  </r>
  <r>
    <s v="62a3eea9bae91e4b8b8401a4"/>
    <s v="anonymous"/>
    <d v="2022-06-10T00:00:00"/>
    <d v="1899-12-30T21:23:00"/>
    <d v="1899-12-30T00:01:57"/>
    <m/>
    <m/>
    <m/>
    <m/>
    <m/>
    <x v="4"/>
    <s v="Yes"/>
    <s v="0-40k"/>
    <x v="2"/>
    <s v="Other"/>
    <s v="Python"/>
    <n v="0"/>
    <n v="0"/>
    <n v="0"/>
    <n v="0"/>
    <x v="3"/>
    <x v="7"/>
    <s v="Very Difficult"/>
    <s v="Better Salary"/>
    <s v="Female"/>
    <n v="25"/>
    <s v="Other"/>
    <s v="Bachelors"/>
    <s v="Black or African American"/>
  </r>
  <r>
    <s v="62a3f39df8d5efcc22f8ddc2"/>
    <s v="anonymous"/>
    <d v="2022-06-10T00:00:00"/>
    <d v="1899-12-30T21:45:00"/>
    <d v="1899-12-30T01:09:45"/>
    <m/>
    <m/>
    <m/>
    <m/>
    <m/>
    <x v="0"/>
    <s v="No"/>
    <s v="86k-105k"/>
    <x v="5"/>
    <s v="Healthcare"/>
    <s v="Python"/>
    <n v="5"/>
    <n v="9"/>
    <n v="5"/>
    <n v="2"/>
    <x v="0"/>
    <x v="3"/>
    <s v="Difficult"/>
    <s v="Good Culture"/>
    <s v="Female"/>
    <n v="28"/>
    <s v="United States"/>
    <s v="Bachelors"/>
    <s v="Asian or Asian American"/>
  </r>
  <r>
    <s v="62a3f6a25d257a28a30e9d02"/>
    <s v="anonymous"/>
    <d v="2022-06-10T00:00:00"/>
    <d v="1899-12-30T21:57:00"/>
    <d v="1899-12-30T00:04:54"/>
    <m/>
    <m/>
    <m/>
    <m/>
    <m/>
    <x v="0"/>
    <s v="Yes"/>
    <s v="0-40k"/>
    <x v="2"/>
    <s v="Other"/>
    <s v="Python"/>
    <n v="5"/>
    <n v="10"/>
    <n v="8"/>
    <n v="5"/>
    <x v="2"/>
    <x v="2"/>
    <s v="Very Difficult"/>
    <s v="Other"/>
    <s v="Male"/>
    <n v="28"/>
    <s v="Canada"/>
    <s v="Bachelors"/>
    <s v="Asian or Asian American"/>
  </r>
  <r>
    <s v="62a3f6d9bae91e4b8b8408ca"/>
    <s v="anonymous"/>
    <d v="2022-06-10T00:00:00"/>
    <d v="1899-12-30T21:58:00"/>
    <d v="1899-12-30T00:00:59"/>
    <m/>
    <m/>
    <m/>
    <m/>
    <m/>
    <x v="4"/>
    <s v="No"/>
    <s v="0-40k"/>
    <x v="2"/>
    <s v="Other"/>
    <s v="Other"/>
    <n v="0"/>
    <n v="0"/>
    <n v="0"/>
    <n v="0"/>
    <x v="3"/>
    <x v="9"/>
    <s v="Neither easy nor difficult"/>
    <s v="Better Salary"/>
    <s v="Male"/>
    <n v="20"/>
    <s v="Other"/>
    <s v="High School"/>
    <s v="Asian or Asian American"/>
  </r>
  <r>
    <s v="62a3fc7c7dc029e2d66d10e8"/>
    <s v="anonymous"/>
    <d v="2022-06-10T00:00:00"/>
    <d v="1899-12-30T22:22:00"/>
    <d v="1899-12-30T00:02:26"/>
    <m/>
    <m/>
    <m/>
    <m/>
    <m/>
    <x v="0"/>
    <s v="Yes"/>
    <s v="106k-125k"/>
    <x v="0"/>
    <s v="Construction"/>
    <s v="Other"/>
    <n v="7"/>
    <n v="8"/>
    <n v="7"/>
    <n v="7"/>
    <x v="9"/>
    <x v="2"/>
    <s v="Easy"/>
    <s v="Good Culture"/>
    <s v="Male"/>
    <n v="33"/>
    <s v="United States"/>
    <s v="Masters"/>
    <s v="Hispanic or Latino"/>
  </r>
  <r>
    <s v="62a3fe0d5d257a28a30ea3c8"/>
    <s v="anonymous"/>
    <d v="2022-06-10T00:00:00"/>
    <d v="1899-12-30T22:29:00"/>
    <d v="1899-12-30T00:12:09"/>
    <m/>
    <m/>
    <m/>
    <m/>
    <m/>
    <x v="0"/>
    <s v="No"/>
    <s v="66k-85k"/>
    <x v="6"/>
    <s v="Tech"/>
    <s v="Python"/>
    <n v="8"/>
    <n v="6"/>
    <n v="7"/>
    <n v="7"/>
    <x v="6"/>
    <x v="8"/>
    <s v="Easy"/>
    <s v="Better Salary"/>
    <s v="Male"/>
    <n v="23"/>
    <s v="United States"/>
    <s v="Associates"/>
    <s v="White or Caucasian"/>
  </r>
  <r>
    <s v="62a3fea50a77c1a77f66e41b"/>
    <s v="anonymous"/>
    <d v="2022-06-10T00:00:00"/>
    <d v="1899-12-30T22:32:00"/>
    <d v="1899-12-30T00:00:43"/>
    <m/>
    <m/>
    <m/>
    <m/>
    <m/>
    <x v="0"/>
    <s v="Yes"/>
    <s v="0-40k"/>
    <x v="2"/>
    <s v="Healthcare"/>
    <s v="R"/>
    <n v="4"/>
    <n v="5"/>
    <n v="7"/>
    <n v="7"/>
    <x v="0"/>
    <x v="0"/>
    <s v="Neither easy nor difficult"/>
    <s v="Better Salary"/>
    <s v="Female"/>
    <n v="35"/>
    <s v="Other"/>
    <s v="Bachelors"/>
    <s v="Hispanic or Latino"/>
  </r>
  <r>
    <s v="62a40276bc6861bf3177e6fd"/>
    <s v="anonymous"/>
    <d v="2022-06-10T00:00:00"/>
    <d v="1899-12-30T22:48:00"/>
    <d v="1899-12-30T00:04:01"/>
    <m/>
    <m/>
    <m/>
    <m/>
    <m/>
    <x v="4"/>
    <s v="Yes"/>
    <s v="0-40k"/>
    <x v="2"/>
    <s v="Other"/>
    <s v="Python"/>
    <n v="2"/>
    <n v="2"/>
    <n v="3"/>
    <n v="3"/>
    <x v="8"/>
    <x v="1"/>
    <s v="Difficult"/>
    <s v="Good Work/Life Balance"/>
    <s v="Male"/>
    <n v="22"/>
    <s v="India"/>
    <s v="Bachelors"/>
    <s v="Asian or Asian American"/>
  </r>
  <r>
    <s v="62a403bbf8d5efcc22f8eb18"/>
    <s v="anonymous"/>
    <d v="2022-06-10T00:00:00"/>
    <d v="1899-12-30T22:53:00"/>
    <d v="1899-12-30T00:02:40"/>
    <m/>
    <m/>
    <m/>
    <m/>
    <m/>
    <x v="0"/>
    <s v="Yes"/>
    <s v="0-40k"/>
    <x v="2"/>
    <s v="Tech"/>
    <s v="Python"/>
    <n v="5"/>
    <n v="10"/>
    <n v="5"/>
    <n v="6"/>
    <x v="5"/>
    <x v="8"/>
    <s v="Very Difficult"/>
    <s v="Better Salary"/>
    <s v="Male"/>
    <n v="33"/>
    <s v="India"/>
    <s v="Bachelors"/>
    <s v="Asian or Asian American"/>
  </r>
  <r>
    <s v="62a403d30f8c8599d5b03d65"/>
    <s v="anonymous"/>
    <d v="2022-06-10T00:00:00"/>
    <d v="1899-12-30T22:54:00"/>
    <d v="1899-12-30T00:00:59"/>
    <m/>
    <m/>
    <m/>
    <m/>
    <m/>
    <x v="1"/>
    <s v="No"/>
    <s v="0-40k"/>
    <x v="2"/>
    <s v="Real Estate"/>
    <s v="Python"/>
    <n v="1"/>
    <n v="7"/>
    <n v="7"/>
    <n v="7"/>
    <x v="1"/>
    <x v="4"/>
    <s v="Very Easy"/>
    <s v="Better Salary"/>
    <s v="Male"/>
    <n v="22"/>
    <s v="United States"/>
    <s v="Bachelors"/>
    <s v="White or Caucasian"/>
  </r>
  <r>
    <s v="62a4044acf25554317312a81"/>
    <s v="anonymous"/>
    <d v="2022-06-10T00:00:00"/>
    <d v="1899-12-30T22:56:00"/>
    <d v="1899-12-30T00:03:27"/>
    <m/>
    <m/>
    <m/>
    <m/>
    <m/>
    <x v="0"/>
    <s v="Yes"/>
    <s v="86k-105k"/>
    <x v="5"/>
    <s v="Other"/>
    <s v="R"/>
    <n v="7"/>
    <n v="8"/>
    <n v="8"/>
    <n v="7"/>
    <x v="0"/>
    <x v="6"/>
    <s v="Neither easy nor difficult"/>
    <s v="Remote Work"/>
    <s v="Male"/>
    <n v="35"/>
    <s v="United States"/>
    <s v="Bachelors"/>
    <s v="White or Caucasian"/>
  </r>
  <r>
    <s v="62a4061bf408bae018ee5deb"/>
    <s v="anonymous"/>
    <d v="2022-06-10T00:00:00"/>
    <d v="1899-12-30T23:03:00"/>
    <d v="1899-12-30T00:02:55"/>
    <m/>
    <m/>
    <m/>
    <m/>
    <m/>
    <x v="0"/>
    <s v="Yes"/>
    <s v="66k-85k"/>
    <x v="6"/>
    <s v="Agriculture"/>
    <s v="Other"/>
    <n v="8"/>
    <n v="5"/>
    <n v="6"/>
    <n v="4"/>
    <x v="7"/>
    <x v="8"/>
    <s v="Easy"/>
    <s v="Good Work/Life Balance"/>
    <s v="Female"/>
    <n v="37"/>
    <s v="United States"/>
    <s v="Masters"/>
    <s v="White or Caucasian"/>
  </r>
  <r>
    <s v="62a40726575fa3a5ae89d990"/>
    <s v="anonymous"/>
    <d v="2022-06-10T00:00:00"/>
    <d v="1899-12-30T23:08:00"/>
    <d v="1899-12-30T00:00:51"/>
    <m/>
    <m/>
    <m/>
    <m/>
    <m/>
    <x v="4"/>
    <s v="Yes"/>
    <s v="0-40k"/>
    <x v="2"/>
    <s v="Finance"/>
    <s v="Python"/>
    <n v="4"/>
    <m/>
    <m/>
    <m/>
    <x v="11"/>
    <x v="11"/>
    <s v="Very Easy"/>
    <s v="Better Salary"/>
    <s v="Male"/>
    <n v="22"/>
    <s v="United States"/>
    <s v="Associates"/>
    <s v="Other"/>
  </r>
  <r>
    <s v="62a4098124a2626027394ddc"/>
    <s v="anonymous"/>
    <d v="2022-06-10T00:00:00"/>
    <d v="1899-12-30T23:18:00"/>
    <d v="1899-12-30T00:02:12"/>
    <m/>
    <m/>
    <m/>
    <m/>
    <m/>
    <x v="0"/>
    <s v="Yes"/>
    <s v="66k-85k"/>
    <x v="6"/>
    <s v="Healthcare"/>
    <s v="Python"/>
    <n v="10"/>
    <n v="10"/>
    <n v="10"/>
    <n v="7"/>
    <x v="9"/>
    <x v="2"/>
    <s v="Neither easy nor difficult"/>
    <s v="Better Salary"/>
    <s v="Male"/>
    <n v="36"/>
    <s v="United States"/>
    <s v="Masters"/>
    <s v="White or Caucasian"/>
  </r>
  <r>
    <s v="62a40c99575fa3a5ae89de4b"/>
    <s v="anonymous"/>
    <d v="2022-06-10T00:00:00"/>
    <d v="1899-12-30T23:31:00"/>
    <d v="1899-12-30T00:02:29"/>
    <m/>
    <m/>
    <m/>
    <m/>
    <m/>
    <x v="3"/>
    <s v="Yes"/>
    <s v="86k-105k"/>
    <x v="5"/>
    <s v="Other"/>
    <s v="Python"/>
    <n v="6"/>
    <n v="5"/>
    <n v="8"/>
    <n v="8"/>
    <x v="2"/>
    <x v="6"/>
    <s v="Easy"/>
    <s v="Good Work/Life Balance"/>
    <s v="Male"/>
    <n v="26"/>
    <s v="India"/>
    <s v="Bachelors"/>
    <s v="Hispanic or Latino"/>
  </r>
  <r>
    <s v="62a40d86d8c00e9f541afb5e"/>
    <s v="anonymous"/>
    <d v="2022-06-10T00:00:00"/>
    <d v="1899-12-30T23:35:00"/>
    <d v="1899-12-30T00:05:15"/>
    <m/>
    <m/>
    <m/>
    <m/>
    <m/>
    <x v="0"/>
    <s v="Yes"/>
    <s v="0-40k"/>
    <x v="2"/>
    <s v="Other"/>
    <s v="R"/>
    <n v="3"/>
    <n v="2"/>
    <n v="6"/>
    <n v="5"/>
    <x v="0"/>
    <x v="10"/>
    <s v="Neither easy nor difficult"/>
    <s v="Good Culture"/>
    <s v="Female"/>
    <n v="25"/>
    <s v="Other"/>
    <s v="Bachelors"/>
    <s v="Asian or Asian American"/>
  </r>
  <r>
    <s v="62a40da3cf255543173132e2"/>
    <s v="anonymous"/>
    <d v="2022-06-10T00:00:00"/>
    <d v="1899-12-30T23:36:00"/>
    <d v="1899-12-30T00:02:55"/>
    <m/>
    <m/>
    <m/>
    <m/>
    <m/>
    <x v="0"/>
    <s v="Yes"/>
    <s v="41k-65k"/>
    <x v="1"/>
    <s v="Other"/>
    <s v="R"/>
    <n v="4"/>
    <n v="6"/>
    <n v="6"/>
    <n v="5"/>
    <x v="0"/>
    <x v="10"/>
    <s v="Neither easy nor difficult"/>
    <s v="Remote Work"/>
    <s v="Female"/>
    <n v="34"/>
    <s v="United States"/>
    <s v="High School"/>
    <s v="White or Caucasian"/>
  </r>
  <r>
    <s v="62a40dfa5d257a28a30eb110"/>
    <s v="anonymous"/>
    <d v="2022-06-10T00:00:00"/>
    <d v="1899-12-30T23:37:00"/>
    <d v="1899-12-30T00:02:58"/>
    <m/>
    <m/>
    <m/>
    <m/>
    <m/>
    <x v="0"/>
    <s v="Yes"/>
    <s v="0-40k"/>
    <x v="2"/>
    <s v="Other"/>
    <s v="Python"/>
    <n v="4"/>
    <n v="8"/>
    <n v="8"/>
    <n v="8"/>
    <x v="2"/>
    <x v="8"/>
    <s v="Difficult"/>
    <s v="Remote Work"/>
    <s v="Male"/>
    <n v="33"/>
    <s v="Other"/>
    <s v="Bachelors"/>
    <s v="Hispanic or Latino"/>
  </r>
  <r>
    <s v="62a410b5cec54911e9cb8262"/>
    <s v="anonymous"/>
    <d v="2022-06-10T00:00:00"/>
    <d v="1899-12-30T23:49:00"/>
    <d v="1899-12-30T00:02:00"/>
    <m/>
    <m/>
    <m/>
    <m/>
    <m/>
    <x v="4"/>
    <s v="No"/>
    <s v="41k-65k"/>
    <x v="1"/>
    <s v="Other"/>
    <s v="Python"/>
    <n v="0"/>
    <n v="4"/>
    <n v="0"/>
    <n v="1"/>
    <x v="7"/>
    <x v="4"/>
    <s v="Very Difficult"/>
    <s v="Good Work/Life Balance"/>
    <s v="Male"/>
    <n v="37"/>
    <s v="United States"/>
    <s v="Bachelors"/>
    <s v="White or Caucasian"/>
  </r>
  <r>
    <s v="62a41135bc6861bf3177f3d8"/>
    <s v="anonymous"/>
    <d v="2022-06-10T00:00:00"/>
    <d v="1899-12-30T23:51:00"/>
    <d v="1899-12-30T00:01:27"/>
    <m/>
    <m/>
    <m/>
    <m/>
    <m/>
    <x v="0"/>
    <s v="No"/>
    <s v="66k-85k"/>
    <x v="6"/>
    <s v="Other"/>
    <s v="Python"/>
    <n v="5"/>
    <n v="5"/>
    <n v="7"/>
    <n v="6"/>
    <x v="7"/>
    <x v="10"/>
    <s v="Very Easy"/>
    <s v="Better Salary"/>
    <s v="Female"/>
    <n v="54"/>
    <s v="United States"/>
    <s v="High School"/>
    <s v="White or Caucasian"/>
  </r>
  <r>
    <s v="62a41795cec54911e9cb8854"/>
    <s v="anonymous"/>
    <d v="2022-06-11T00:00:00"/>
    <d v="1899-12-30T00:18:00"/>
    <d v="1899-12-30T00:00:59"/>
    <m/>
    <m/>
    <m/>
    <m/>
    <m/>
    <x v="0"/>
    <s v="Yes"/>
    <s v="0-40k"/>
    <x v="2"/>
    <s v="Finance"/>
    <s v="Python"/>
    <n v="2"/>
    <m/>
    <m/>
    <m/>
    <x v="11"/>
    <x v="11"/>
    <s v="Very Easy"/>
    <s v="Better Salary"/>
    <s v="Male"/>
    <n v="26"/>
    <s v="India"/>
    <s v="Bachelors"/>
    <s v="Asian or Asian American"/>
  </r>
  <r>
    <s v="62a41964d8c00e9f541b061d"/>
    <s v="anonymous"/>
    <d v="2022-06-11T00:00:00"/>
    <d v="1899-12-30T00:26:00"/>
    <d v="1899-12-30T00:01:49"/>
    <m/>
    <m/>
    <m/>
    <m/>
    <m/>
    <x v="0"/>
    <s v="No"/>
    <s v="41k-65k"/>
    <x v="1"/>
    <s v="Education"/>
    <s v="R"/>
    <n v="4"/>
    <n v="7"/>
    <n v="7"/>
    <n v="7"/>
    <x v="8"/>
    <x v="0"/>
    <s v="Neither easy nor difficult"/>
    <s v="Better Salary"/>
    <s v="Female"/>
    <n v="27"/>
    <s v="United States"/>
    <s v="Masters"/>
    <s v="Hispanic or Latino"/>
  </r>
  <r>
    <s v="62a41968f8d5efcc22f8fd44"/>
    <s v="anonymous"/>
    <d v="2022-06-11T00:00:00"/>
    <d v="1899-12-30T00:26:00"/>
    <d v="1899-12-30T00:02:20"/>
    <m/>
    <m/>
    <m/>
    <m/>
    <m/>
    <x v="6"/>
    <s v="Yes"/>
    <s v="0-40k"/>
    <x v="2"/>
    <s v="Telecommunication"/>
    <s v="Other"/>
    <n v="2"/>
    <n v="3"/>
    <n v="6"/>
    <n v="6"/>
    <x v="4"/>
    <x v="5"/>
    <s v="Difficult"/>
    <s v="Better Salary"/>
    <s v="Male"/>
    <n v="24"/>
    <s v="United Kingdom"/>
    <s v="Bachelors"/>
    <s v="White or Caucasian"/>
  </r>
  <r>
    <s v="62a41e23bc6861bf3177fffb"/>
    <s v="anonymous"/>
    <d v="2022-06-11T00:00:00"/>
    <d v="1899-12-30T00:46:00"/>
    <d v="1899-12-30T00:01:41"/>
    <m/>
    <m/>
    <m/>
    <m/>
    <m/>
    <x v="0"/>
    <s v="Yes"/>
    <s v="0-40k"/>
    <x v="2"/>
    <s v="Finance"/>
    <s v="Python"/>
    <n v="5"/>
    <n v="5"/>
    <n v="5"/>
    <n v="5"/>
    <x v="0"/>
    <x v="2"/>
    <s v="Neither easy nor difficult"/>
    <s v="Better Salary"/>
    <s v="Male"/>
    <n v="24"/>
    <s v="Other"/>
    <s v="Bachelors"/>
    <s v="White or Caucasian"/>
  </r>
  <r>
    <s v="62a421cebc6861bf317803f5"/>
    <s v="anonymous"/>
    <d v="2022-06-11T00:00:00"/>
    <d v="1899-12-30T01:02:00"/>
    <d v="1899-12-30T00:01:29"/>
    <m/>
    <m/>
    <m/>
    <m/>
    <m/>
    <x v="2"/>
    <s v="Yes"/>
    <s v="0-40k"/>
    <x v="2"/>
    <s v="Other"/>
    <s v="Python"/>
    <n v="3"/>
    <n v="4"/>
    <n v="5"/>
    <n v="3"/>
    <x v="8"/>
    <x v="1"/>
    <s v="Neither easy nor difficult"/>
    <s v="Better Salary"/>
    <s v="Male"/>
    <n v="27"/>
    <s v="Other"/>
    <s v="Bachelors"/>
    <s v="White or Caucasian"/>
  </r>
  <r>
    <s v="62a42243f8d5efcc22f90c55"/>
    <s v="anonymous"/>
    <d v="2022-06-11T00:00:00"/>
    <d v="1899-12-30T01:04:00"/>
    <d v="1899-12-30T00:01:37"/>
    <m/>
    <m/>
    <m/>
    <m/>
    <m/>
    <x v="4"/>
    <s v="No"/>
    <s v="0-40k"/>
    <x v="2"/>
    <s v="Other"/>
    <s v="Python"/>
    <n v="0"/>
    <n v="0"/>
    <n v="0"/>
    <n v="0"/>
    <x v="3"/>
    <x v="9"/>
    <s v="Very Difficult"/>
    <s v="Remote Work"/>
    <s v="Male"/>
    <n v="25"/>
    <s v="Other"/>
    <s v="Bachelors"/>
    <s v="Asian or Asian American"/>
  </r>
  <r>
    <s v="62a424ccd8c00e9f541b114e"/>
    <s v="anonymous"/>
    <d v="2022-06-11T00:00:00"/>
    <d v="1899-12-30T01:14:00"/>
    <d v="1899-12-30T00:02:47"/>
    <m/>
    <m/>
    <m/>
    <m/>
    <m/>
    <x v="0"/>
    <s v="Yes"/>
    <s v="0-40k"/>
    <x v="2"/>
    <s v="Tech"/>
    <s v="Python"/>
    <n v="1"/>
    <n v="7"/>
    <n v="7"/>
    <n v="7"/>
    <x v="2"/>
    <x v="3"/>
    <s v="Difficult"/>
    <s v="Better Salary"/>
    <s v="Female"/>
    <n v="28"/>
    <s v="United Kingdom"/>
    <s v="Masters"/>
    <s v="Black or African American"/>
  </r>
  <r>
    <s v="62a42527b4da29969c6423f7"/>
    <s v="anonymous"/>
    <d v="2022-06-11T00:00:00"/>
    <d v="1899-12-30T01:16:00"/>
    <d v="1899-12-30T00:01:23"/>
    <m/>
    <m/>
    <m/>
    <m/>
    <m/>
    <x v="2"/>
    <s v="No"/>
    <s v="41k-65k"/>
    <x v="1"/>
    <s v="Education"/>
    <s v="Python"/>
    <n v="3"/>
    <n v="6"/>
    <n v="5"/>
    <n v="5"/>
    <x v="4"/>
    <x v="7"/>
    <s v="Easy"/>
    <s v="Remote Work"/>
    <s v="Male"/>
    <n v="21"/>
    <s v="United States"/>
    <s v="Bachelors"/>
    <s v="Asian or Asian American"/>
  </r>
  <r>
    <s v="62a425ec2e54c9003e5467bf"/>
    <s v="anonymous"/>
    <d v="2022-06-11T00:00:00"/>
    <d v="1899-12-30T01:19:00"/>
    <d v="1899-12-30T00:01:15"/>
    <m/>
    <m/>
    <m/>
    <m/>
    <m/>
    <x v="0"/>
    <s v="Yes"/>
    <s v="86k-105k"/>
    <x v="5"/>
    <s v="Healthcare"/>
    <s v="Other"/>
    <n v="4"/>
    <n v="4"/>
    <n v="5"/>
    <n v="5"/>
    <x v="7"/>
    <x v="10"/>
    <s v="Difficult"/>
    <s v="Good Work/Life Balance"/>
    <s v="Female"/>
    <n v="28"/>
    <s v="United States"/>
    <s v="Bachelors"/>
    <s v="White or Caucasian"/>
  </r>
  <r>
    <s v="62a427190a77c1a77f67095c"/>
    <s v="anonymous"/>
    <d v="2022-06-11T00:00:00"/>
    <d v="1899-12-30T01:24:00"/>
    <d v="1899-12-30T00:03:20"/>
    <m/>
    <m/>
    <m/>
    <m/>
    <m/>
    <x v="0"/>
    <s v="Yes"/>
    <s v="0-40k"/>
    <x v="2"/>
    <s v="Tech"/>
    <s v="Python"/>
    <n v="3"/>
    <n v="5"/>
    <n v="5"/>
    <n v="5"/>
    <x v="0"/>
    <x v="4"/>
    <s v="Neither easy nor difficult"/>
    <s v="Remote Work"/>
    <s v="Male"/>
    <n v="30"/>
    <s v="Other"/>
    <s v="Masters"/>
    <s v="Black or African American"/>
  </r>
  <r>
    <s v="62a429f0f3072dd892636396"/>
    <s v="anonymous"/>
    <d v="2022-06-11T00:00:00"/>
    <d v="1899-12-30T01:36:00"/>
    <d v="1899-12-30T00:02:39"/>
    <m/>
    <m/>
    <m/>
    <m/>
    <m/>
    <x v="0"/>
    <s v="No"/>
    <s v="0-40k"/>
    <x v="2"/>
    <s v="Education"/>
    <s v="Python"/>
    <n v="0"/>
    <n v="10"/>
    <n v="0"/>
    <n v="9"/>
    <x v="0"/>
    <x v="2"/>
    <s v="Easy"/>
    <s v="Remote Work"/>
    <s v="Male"/>
    <n v="24"/>
    <s v="Other"/>
    <s v="Associates"/>
    <s v="Black or African American"/>
  </r>
  <r>
    <s v="62a42d6ef8d5efcc22f9178a"/>
    <s v="anonymous"/>
    <d v="2022-06-11T00:00:00"/>
    <d v="1899-12-30T01:51:00"/>
    <d v="1899-12-30T00:02:01"/>
    <m/>
    <m/>
    <m/>
    <m/>
    <m/>
    <x v="0"/>
    <s v="Yes"/>
    <s v="0-40k"/>
    <x v="2"/>
    <s v="Healthcare"/>
    <s v="Python"/>
    <n v="7"/>
    <n v="4"/>
    <n v="6"/>
    <n v="5"/>
    <x v="5"/>
    <x v="10"/>
    <s v="Difficult"/>
    <s v="Remote Work"/>
    <s v="Male"/>
    <n v="26"/>
    <s v="India"/>
    <s v="Bachelors"/>
    <s v="Other"/>
  </r>
  <r>
    <s v="62a436fd24a2626027397c93"/>
    <s v="anonymous"/>
    <d v="2022-06-11T00:00:00"/>
    <d v="1899-12-30T02:32:00"/>
    <d v="1899-12-30T00:03:23"/>
    <m/>
    <m/>
    <m/>
    <m/>
    <m/>
    <x v="0"/>
    <s v="Yes"/>
    <s v="0-40k"/>
    <x v="2"/>
    <s v="Tech"/>
    <s v="Python"/>
    <s v="null"/>
    <m/>
    <m/>
    <m/>
    <x v="11"/>
    <x v="5"/>
    <s v="Neither easy nor difficult"/>
    <s v="Good Work/Life Balance"/>
    <s v="Female"/>
    <n v="19"/>
    <s v="Other"/>
    <s v="High School"/>
    <s v="Asian or Asian American"/>
  </r>
  <r>
    <s v="62a43e86f408bae018ee913a"/>
    <s v="anonymous"/>
    <d v="2022-06-11T00:00:00"/>
    <d v="1899-12-30T03:04:00"/>
    <d v="1899-12-30T00:04:03"/>
    <m/>
    <m/>
    <m/>
    <m/>
    <m/>
    <x v="4"/>
    <s v="No"/>
    <s v="0-40k"/>
    <x v="2"/>
    <s v="Other"/>
    <s v="Python"/>
    <n v="5"/>
    <n v="6"/>
    <n v="6"/>
    <n v="5"/>
    <x v="1"/>
    <x v="1"/>
    <s v="Neither easy nor difficult"/>
    <s v="Good Work/Life Balance"/>
    <s v="Female"/>
    <n v="92"/>
    <s v="India"/>
    <s v="Masters"/>
    <s v="Asian or Asian American"/>
  </r>
  <r>
    <s v="62a43ed4f8d5efcc22f92d0a"/>
    <s v="anonymous"/>
    <d v="2022-06-11T00:00:00"/>
    <d v="1899-12-30T03:05:00"/>
    <d v="1899-12-30T00:02:33"/>
    <m/>
    <m/>
    <m/>
    <m/>
    <m/>
    <x v="0"/>
    <s v="Yes"/>
    <s v="0-40k"/>
    <x v="2"/>
    <s v="Healthcare"/>
    <s v="Python"/>
    <n v="1"/>
    <n v="8"/>
    <n v="5"/>
    <n v="1"/>
    <x v="2"/>
    <x v="8"/>
    <s v="Neither easy nor difficult"/>
    <s v="Remote Work"/>
    <s v="Male"/>
    <n v="28"/>
    <s v="Other"/>
    <s v="Bachelors"/>
    <s v="Black or African American"/>
  </r>
  <r>
    <s v="62a43f43f408bae018ee9281"/>
    <s v="anonymous"/>
    <d v="2022-06-11T00:00:00"/>
    <d v="1899-12-30T03:07:00"/>
    <d v="1899-12-30T00:01:34"/>
    <m/>
    <m/>
    <m/>
    <m/>
    <m/>
    <x v="4"/>
    <s v="Yes"/>
    <s v="0-40k"/>
    <x v="2"/>
    <s v="Education"/>
    <s v="Python"/>
    <n v="0"/>
    <n v="1"/>
    <n v="2"/>
    <n v="2"/>
    <x v="1"/>
    <x v="3"/>
    <s v="Neither easy nor difficult"/>
    <s v="Better Salary"/>
    <s v="Female"/>
    <n v="24"/>
    <s v="India"/>
    <s v="Masters"/>
    <s v="Asian or Asian American"/>
  </r>
  <r>
    <s v="62a440ab575fa3a5ae8a1418"/>
    <s v="anonymous"/>
    <d v="2022-06-11T00:00:00"/>
    <d v="1899-12-30T03:13:00"/>
    <d v="1899-12-30T00:03:39"/>
    <m/>
    <m/>
    <m/>
    <m/>
    <m/>
    <x v="2"/>
    <s v="No"/>
    <s v="41k-65k"/>
    <x v="1"/>
    <s v="Healthcare"/>
    <s v="Python"/>
    <n v="7"/>
    <n v="10"/>
    <n v="10"/>
    <n v="10"/>
    <x v="0"/>
    <x v="2"/>
    <s v="Easy"/>
    <s v="Better Salary"/>
    <s v="Male"/>
    <n v="25"/>
    <s v="United States"/>
    <s v="Masters"/>
    <s v="Asian or Asian American"/>
  </r>
  <r>
    <s v="62a441e3575fa3a5ae8a1552"/>
    <s v="anonymous"/>
    <d v="2022-06-11T00:00:00"/>
    <d v="1899-12-30T03:18:00"/>
    <d v="1899-12-30T00:04:04"/>
    <m/>
    <m/>
    <m/>
    <m/>
    <m/>
    <x v="0"/>
    <s v="Yes"/>
    <s v="41k-65k"/>
    <x v="1"/>
    <s v="Finance"/>
    <s v="Python"/>
    <n v="4"/>
    <n v="5"/>
    <n v="5"/>
    <n v="5"/>
    <x v="5"/>
    <x v="10"/>
    <s v="Neither easy nor difficult"/>
    <s v="Good Work/Life Balance"/>
    <s v="Male"/>
    <n v="42"/>
    <s v="United Kingdom"/>
    <s v="Masters"/>
    <s v="Black or African American"/>
  </r>
  <r>
    <s v="62a446faf8f7561645868c60"/>
    <s v="anonymous"/>
    <d v="2022-06-11T00:00:00"/>
    <d v="1899-12-30T03:40:00"/>
    <d v="1899-12-30T00:01:05"/>
    <m/>
    <m/>
    <m/>
    <m/>
    <m/>
    <x v="0"/>
    <s v="Yes"/>
    <s v="0-40k"/>
    <x v="2"/>
    <s v="Tech"/>
    <s v="Python"/>
    <n v="2"/>
    <n v="3"/>
    <n v="3"/>
    <n v="3"/>
    <x v="4"/>
    <x v="1"/>
    <s v="Difficult"/>
    <s v="Better Salary"/>
    <s v="Male"/>
    <n v="21"/>
    <s v="India"/>
    <s v="Bachelors"/>
    <s v="Asian or Asian American"/>
  </r>
  <r>
    <s v="62a448832e54c9003e5491c5"/>
    <s v="anonymous"/>
    <d v="2022-06-11T00:00:00"/>
    <d v="1899-12-30T03:47:00"/>
    <d v="1899-12-30T00:02:36"/>
    <m/>
    <m/>
    <m/>
    <m/>
    <m/>
    <x v="0"/>
    <s v="No"/>
    <s v="66k-85k"/>
    <x v="6"/>
    <s v="Healthcare"/>
    <s v="Python"/>
    <n v="7"/>
    <n v="8"/>
    <n v="9"/>
    <n v="7"/>
    <x v="2"/>
    <x v="10"/>
    <s v="Easy"/>
    <s v="Better Salary"/>
    <s v="Male"/>
    <n v="24"/>
    <s v="United States"/>
    <s v="Bachelors"/>
    <s v="White or Caucasian"/>
  </r>
  <r>
    <s v="62a44ae2f8f7561645869335"/>
    <s v="anonymous"/>
    <d v="2022-06-11T00:00:00"/>
    <d v="1899-12-30T03:57:00"/>
    <d v="1899-12-30T00:02:32"/>
    <m/>
    <m/>
    <m/>
    <m/>
    <m/>
    <x v="0"/>
    <s v="Yes"/>
    <s v="41k-65k"/>
    <x v="1"/>
    <s v="Healthcare"/>
    <s v="Python"/>
    <n v="4"/>
    <n v="7"/>
    <n v="6"/>
    <n v="6"/>
    <x v="5"/>
    <x v="0"/>
    <s v="Neither easy nor difficult"/>
    <s v="Better Salary"/>
    <s v="Female"/>
    <n v="26"/>
    <s v="United States"/>
    <s v="Bachelors"/>
    <s v="White or Caucasian"/>
  </r>
  <r>
    <s v="62a44bc7bc6861bf31783829"/>
    <s v="anonymous"/>
    <d v="2022-06-11T00:00:00"/>
    <d v="1899-12-30T04:01:00"/>
    <d v="1899-12-30T00:01:16"/>
    <m/>
    <m/>
    <m/>
    <m/>
    <m/>
    <x v="0"/>
    <s v="Yes"/>
    <s v="0-40k"/>
    <x v="2"/>
    <s v="Other"/>
    <s v="Python"/>
    <n v="2"/>
    <n v="8"/>
    <n v="8"/>
    <n v="9"/>
    <x v="6"/>
    <x v="2"/>
    <s v="Difficult"/>
    <s v="Better Salary"/>
    <s v="Male"/>
    <n v="30"/>
    <s v="United Kingdom"/>
    <s v="Bachelors"/>
    <s v="White or Caucasian"/>
  </r>
  <r>
    <s v="62a44ea3f408bae018eea62a"/>
    <s v="anonymous"/>
    <d v="2022-06-11T00:00:00"/>
    <d v="1899-12-30T04:13:00"/>
    <d v="1899-12-30T00:05:51"/>
    <m/>
    <m/>
    <m/>
    <m/>
    <m/>
    <x v="1"/>
    <s v="Yes"/>
    <s v="86k-105k"/>
    <x v="5"/>
    <s v="Other"/>
    <s v="Other"/>
    <n v="6"/>
    <n v="10"/>
    <n v="10"/>
    <n v="10"/>
    <x v="9"/>
    <x v="2"/>
    <s v="Neither easy nor difficult"/>
    <s v="Good Culture"/>
    <s v="Male"/>
    <n v="27"/>
    <s v="United States"/>
    <s v="Bachelors"/>
    <s v="Black or African American"/>
  </r>
  <r>
    <s v="62a4514ff408bae018eea94d"/>
    <s v="anonymous"/>
    <d v="2022-06-11T00:00:00"/>
    <d v="1899-12-30T04:24:00"/>
    <d v="1899-12-30T00:02:01"/>
    <m/>
    <m/>
    <m/>
    <m/>
    <m/>
    <x v="1"/>
    <s v="Yes"/>
    <s v="0-40k"/>
    <x v="2"/>
    <s v="Tech"/>
    <s v="Python"/>
    <n v="0"/>
    <n v="4"/>
    <n v="1"/>
    <n v="0"/>
    <x v="1"/>
    <x v="1"/>
    <s v="Easy"/>
    <s v="Better Salary"/>
    <s v="Male"/>
    <n v="28"/>
    <s v="India"/>
    <s v="Bachelors"/>
    <s v="Asian or Asian American"/>
  </r>
  <r>
    <s v="62a45a140a77c1a77f67469d"/>
    <s v="anonymous"/>
    <d v="2022-06-11T00:00:00"/>
    <d v="1899-12-30T05:02:00"/>
    <d v="1899-12-30T00:02:27"/>
    <m/>
    <m/>
    <m/>
    <m/>
    <m/>
    <x v="0"/>
    <s v="No"/>
    <s v="66k-85k"/>
    <x v="6"/>
    <s v="Real Estate"/>
    <s v="Other"/>
    <n v="6"/>
    <n v="8"/>
    <n v="7"/>
    <n v="7"/>
    <x v="0"/>
    <x v="10"/>
    <s v="Easy"/>
    <s v="Better Salary"/>
    <s v="Female"/>
    <n v="29"/>
    <s v="United Kingdom"/>
    <s v="Bachelors"/>
    <s v="White or Caucasian"/>
  </r>
  <r>
    <s v="62a45c8bf3072dd89263a493"/>
    <s v="anonymous"/>
    <d v="2022-06-11T00:00:00"/>
    <d v="1899-12-30T05:12:00"/>
    <d v="1899-12-30T00:02:43"/>
    <m/>
    <m/>
    <m/>
    <m/>
    <m/>
    <x v="0"/>
    <s v="No"/>
    <s v="0-40k"/>
    <x v="2"/>
    <s v="Other"/>
    <s v="Python"/>
    <n v="0"/>
    <n v="0"/>
    <n v="0"/>
    <n v="0"/>
    <x v="3"/>
    <x v="9"/>
    <s v="Easy"/>
    <s v="Good Work/Life Balance"/>
    <s v="Female"/>
    <n v="26"/>
    <s v="India"/>
    <s v="Bachelors"/>
    <s v="Asian or Asian American"/>
  </r>
  <r>
    <s v="62a45f8c0f8c8599d5b09d40"/>
    <s v="anonymous"/>
    <d v="2022-06-11T00:00:00"/>
    <d v="1899-12-30T05:25:00"/>
    <d v="1899-12-30T00:02:47"/>
    <m/>
    <m/>
    <m/>
    <m/>
    <m/>
    <x v="1"/>
    <s v="Yes"/>
    <s v="0-40k"/>
    <x v="2"/>
    <s v="Finance"/>
    <s v="Python"/>
    <n v="3"/>
    <n v="3"/>
    <n v="3"/>
    <n v="3"/>
    <x v="4"/>
    <x v="7"/>
    <s v="Neither easy nor difficult"/>
    <s v="Remote Work"/>
    <s v="Male"/>
    <n v="29"/>
    <s v="Other"/>
    <s v="Bachelors"/>
    <s v="Black or African American"/>
  </r>
  <r>
    <s v="62a4604d0a77c1a77f674e29"/>
    <s v="anonymous"/>
    <d v="2022-06-11T00:00:00"/>
    <d v="1899-12-30T05:28:00"/>
    <d v="1899-12-30T00:01:51"/>
    <m/>
    <m/>
    <m/>
    <m/>
    <m/>
    <x v="2"/>
    <s v="No"/>
    <s v="66k-85k"/>
    <x v="6"/>
    <s v="Finance"/>
    <s v="Other"/>
    <n v="3"/>
    <n v="5"/>
    <n v="7"/>
    <n v="2"/>
    <x v="0"/>
    <x v="0"/>
    <s v="Easy"/>
    <s v="Remote Work"/>
    <s v="Male"/>
    <n v="60"/>
    <s v="United Kingdom"/>
    <s v="Masters"/>
    <s v="White or Caucasian"/>
  </r>
  <r>
    <s v="62a46a66f8d5efcc22f95a7a"/>
    <s v="anonymous"/>
    <d v="2022-06-11T00:00:00"/>
    <d v="1899-12-30T06:11:00"/>
    <d v="1899-12-30T00:01:55"/>
    <m/>
    <m/>
    <m/>
    <m/>
    <m/>
    <x v="0"/>
    <s v="Yes"/>
    <s v="0-40k"/>
    <x v="2"/>
    <s v="Healthcare"/>
    <s v="Python"/>
    <n v="5"/>
    <n v="8"/>
    <n v="8"/>
    <n v="5"/>
    <x v="0"/>
    <x v="10"/>
    <s v="Neither easy nor difficult"/>
    <s v="Better Salary"/>
    <s v="Male"/>
    <n v="25"/>
    <s v="Other"/>
    <s v="Bachelors"/>
    <s v="Black or African American"/>
  </r>
  <r>
    <s v="62a46ad7d8c00e9f541b664a"/>
    <s v="anonymous"/>
    <d v="2022-06-11T00:00:00"/>
    <d v="1899-12-30T06:13:00"/>
    <d v="1899-12-30T00:03:13"/>
    <m/>
    <m/>
    <m/>
    <m/>
    <m/>
    <x v="2"/>
    <s v="No"/>
    <s v="0-40k"/>
    <x v="2"/>
    <s v="Construction"/>
    <s v="R"/>
    <n v="0"/>
    <n v="0"/>
    <n v="1"/>
    <n v="3"/>
    <x v="8"/>
    <x v="3"/>
    <s v="Neither easy nor difficult"/>
    <s v="Good Work/Life Balance"/>
    <s v="Female"/>
    <n v="37"/>
    <s v="Other"/>
    <s v="Masters"/>
    <s v="Other"/>
  </r>
  <r>
    <s v="62a46dbecf25554317319e48"/>
    <s v="anonymous"/>
    <d v="2022-06-11T00:00:00"/>
    <d v="1899-12-30T06:26:00"/>
    <d v="1899-12-30T00:01:31"/>
    <m/>
    <m/>
    <m/>
    <m/>
    <m/>
    <x v="0"/>
    <s v="Yes"/>
    <s v="66k-85k"/>
    <x v="6"/>
    <s v="Finance"/>
    <s v="Python"/>
    <n v="6"/>
    <n v="8"/>
    <n v="3"/>
    <n v="4"/>
    <x v="0"/>
    <x v="3"/>
    <s v="Neither easy nor difficult"/>
    <s v="Better Salary"/>
    <s v="Female"/>
    <n v="30"/>
    <s v="Canada"/>
    <s v="Bachelors"/>
    <s v="Asian or Asian American"/>
  </r>
  <r>
    <s v="62a475dcf408bae018eed15c"/>
    <s v="anonymous"/>
    <d v="2022-06-11T00:00:00"/>
    <d v="1899-12-30T07:00:00"/>
    <d v="1899-12-30T00:04:48"/>
    <m/>
    <m/>
    <m/>
    <m/>
    <m/>
    <x v="0"/>
    <s v="Yes"/>
    <s v="0-40k"/>
    <x v="2"/>
    <s v="Healthcare"/>
    <s v="Python"/>
    <n v="0"/>
    <n v="1"/>
    <n v="2"/>
    <n v="1"/>
    <x v="3"/>
    <x v="1"/>
    <s v="Neither easy nor difficult"/>
    <s v="Better Salary"/>
    <s v="Female"/>
    <n v="27"/>
    <s v="Other"/>
    <s v="Masters"/>
    <s v="Black or African American"/>
  </r>
  <r>
    <s v="62a477f0b4da29969c64892f"/>
    <s v="anonymous"/>
    <d v="2022-06-11T00:00:00"/>
    <d v="1899-12-30T07:09:00"/>
    <d v="1899-12-30T00:01:04"/>
    <m/>
    <m/>
    <m/>
    <m/>
    <m/>
    <x v="3"/>
    <s v="Yes"/>
    <s v="225k+"/>
    <x v="7"/>
    <s v="Tech"/>
    <s v="R"/>
    <n v="5"/>
    <n v="6"/>
    <n v="5"/>
    <n v="5"/>
    <x v="5"/>
    <x v="10"/>
    <s v="Difficult"/>
    <s v="Other"/>
    <s v="Male"/>
    <n v="31"/>
    <s v="United States"/>
    <s v="PhD"/>
    <s v="White or Caucasian"/>
  </r>
  <r>
    <s v="62a47947cec54911e9cbf6b2"/>
    <s v="anonymous"/>
    <d v="2022-06-11T00:00:00"/>
    <d v="1899-12-30T07:15:00"/>
    <d v="1899-12-30T00:02:11"/>
    <m/>
    <m/>
    <m/>
    <m/>
    <m/>
    <x v="4"/>
    <s v="No"/>
    <s v="0-40k"/>
    <x v="2"/>
    <s v="Other"/>
    <s v="R"/>
    <n v="10"/>
    <n v="10"/>
    <n v="10"/>
    <n v="10"/>
    <x v="9"/>
    <x v="2"/>
    <s v="Neither easy nor difficult"/>
    <s v="Good Work/Life Balance"/>
    <s v="Male"/>
    <n v="24"/>
    <s v="United Kingdom"/>
    <s v="Masters"/>
    <s v="Asian or Asian American"/>
  </r>
  <r>
    <s v="62a47c587dc029e2d66d9782"/>
    <s v="anonymous"/>
    <d v="2022-06-11T00:00:00"/>
    <d v="1899-12-30T07:28:00"/>
    <d v="1899-12-30T00:03:11"/>
    <m/>
    <m/>
    <m/>
    <m/>
    <m/>
    <x v="0"/>
    <s v="No"/>
    <s v="0-40k"/>
    <x v="2"/>
    <s v="Finance"/>
    <s v="Other"/>
    <n v="0"/>
    <n v="6"/>
    <n v="6"/>
    <n v="6"/>
    <x v="0"/>
    <x v="10"/>
    <s v="Neither easy nor difficult"/>
    <s v="Better Salary"/>
    <s v="Female"/>
    <n v="20"/>
    <s v="United States"/>
    <s v="Bachelors"/>
    <s v="Black or African American"/>
  </r>
  <r>
    <s v="62a47e3ef3072dd89263c8c0"/>
    <s v="anonymous"/>
    <d v="2022-06-11T00:00:00"/>
    <d v="1899-12-30T07:36:00"/>
    <d v="1899-12-30T00:02:30"/>
    <m/>
    <m/>
    <m/>
    <m/>
    <m/>
    <x v="2"/>
    <s v="No"/>
    <s v="0-40k"/>
    <x v="2"/>
    <s v="Tech"/>
    <s v="R"/>
    <n v="2"/>
    <n v="1"/>
    <n v="4"/>
    <n v="1"/>
    <x v="1"/>
    <x v="3"/>
    <s v="Easy"/>
    <s v="Good Work/Life Balance"/>
    <s v="Male"/>
    <n v="24"/>
    <s v="India"/>
    <s v="Bachelors"/>
    <s v="Asian or Asian American"/>
  </r>
  <r>
    <s v="62a47e812e54c9003e54d789"/>
    <s v="anonymous"/>
    <d v="2022-06-11T00:00:00"/>
    <d v="1899-12-30T07:37:00"/>
    <d v="1899-12-30T00:01:32"/>
    <m/>
    <m/>
    <m/>
    <m/>
    <m/>
    <x v="4"/>
    <s v="Yes"/>
    <s v="0-40k"/>
    <x v="2"/>
    <s v="Other"/>
    <s v="R"/>
    <n v="3"/>
    <n v="6"/>
    <n v="7"/>
    <n v="6"/>
    <x v="7"/>
    <x v="7"/>
    <s v="Neither easy nor difficult"/>
    <s v="Good Work/Life Balance"/>
    <s v="Male"/>
    <n v="24"/>
    <s v="Other"/>
    <s v="Bachelors"/>
    <s v="White or Caucasian"/>
  </r>
  <r>
    <s v="62a47ea87dc029e2d66d9b60"/>
    <s v="anonymous"/>
    <d v="2022-06-11T00:00:00"/>
    <d v="1899-12-30T07:38:00"/>
    <d v="1899-12-30T00:01:30"/>
    <m/>
    <m/>
    <m/>
    <m/>
    <m/>
    <x v="4"/>
    <s v="No"/>
    <s v="0-40k"/>
    <x v="2"/>
    <s v="Other"/>
    <s v="R"/>
    <n v="0"/>
    <n v="1"/>
    <n v="3"/>
    <n v="0"/>
    <x v="3"/>
    <x v="9"/>
    <s v="Neither easy nor difficult"/>
    <s v="Good Work/Life Balance"/>
    <s v="Male"/>
    <n v="41"/>
    <s v="Other"/>
    <s v="Bachelors"/>
    <s v="Hispanic or Latino"/>
  </r>
  <r>
    <s v="62a47f1e0a77c1a77f677174"/>
    <s v="anonymous"/>
    <d v="2022-06-11T00:00:00"/>
    <d v="1899-12-30T07:40:00"/>
    <d v="1899-12-30T00:02:12"/>
    <m/>
    <m/>
    <m/>
    <m/>
    <m/>
    <x v="0"/>
    <s v="Yes"/>
    <s v="86k-105k"/>
    <x v="5"/>
    <s v="Tech"/>
    <s v="R"/>
    <n v="8"/>
    <n v="8"/>
    <n v="8"/>
    <n v="8"/>
    <x v="6"/>
    <x v="8"/>
    <s v="Difficult"/>
    <s v="Better Salary"/>
    <s v="Male"/>
    <n v="41"/>
    <s v="United States"/>
    <s v="Bachelors"/>
    <s v="White or Caucasian"/>
  </r>
  <r>
    <s v="62a48566b4da29969c64995a"/>
    <s v="anonymous"/>
    <d v="2022-06-11T00:00:00"/>
    <d v="1899-12-30T08:07:00"/>
    <d v="1899-12-30T00:01:52"/>
    <m/>
    <m/>
    <m/>
    <m/>
    <m/>
    <x v="2"/>
    <s v="No"/>
    <s v="150k-225k"/>
    <x v="3"/>
    <s v="Other"/>
    <s v="Python"/>
    <n v="9"/>
    <n v="8"/>
    <n v="9"/>
    <n v="10"/>
    <x v="6"/>
    <x v="2"/>
    <s v="Neither easy nor difficult"/>
    <s v="Good Culture"/>
    <s v="Male"/>
    <n v="43"/>
    <s v="United States"/>
    <s v="Bachelors"/>
    <s v="White or Caucasian"/>
  </r>
  <r>
    <s v="62a48612d8c00e9f541b86b8"/>
    <s v="anonymous"/>
    <d v="2022-06-11T00:00:00"/>
    <d v="1899-12-30T08:09:00"/>
    <d v="1899-12-30T00:01:53"/>
    <m/>
    <m/>
    <m/>
    <m/>
    <m/>
    <x v="0"/>
    <s v="No"/>
    <s v="66k-85k"/>
    <x v="6"/>
    <s v="Healthcare"/>
    <s v="Python"/>
    <n v="7"/>
    <n v="7"/>
    <n v="8"/>
    <n v="4"/>
    <x v="5"/>
    <x v="6"/>
    <s v="Easy"/>
    <s v="Remote Work"/>
    <s v="Female"/>
    <n v="38"/>
    <s v="United States"/>
    <s v="Bachelors"/>
    <s v="White or Caucasian"/>
  </r>
  <r>
    <s v="62a487167dc029e2d66da73e"/>
    <s v="anonymous"/>
    <d v="2022-06-11T00:00:00"/>
    <d v="1899-12-30T08:14:00"/>
    <d v="1899-12-30T00:01:53"/>
    <m/>
    <m/>
    <m/>
    <m/>
    <m/>
    <x v="0"/>
    <s v="Yes"/>
    <s v="0-40k"/>
    <x v="2"/>
    <s v="Other"/>
    <s v="Python"/>
    <n v="5"/>
    <n v="5"/>
    <n v="5"/>
    <n v="5"/>
    <x v="0"/>
    <x v="10"/>
    <s v="Neither easy nor difficult"/>
    <s v="Better Salary"/>
    <s v="Female"/>
    <n v="28"/>
    <s v="Other"/>
    <s v="Bachelors"/>
    <s v="Asian or Asian American"/>
  </r>
  <r>
    <s v="62a488197dc029e2d66da8a1"/>
    <s v="anonymous"/>
    <d v="2022-06-11T00:00:00"/>
    <d v="1899-12-30T08:18:00"/>
    <d v="1899-12-30T00:01:30"/>
    <m/>
    <m/>
    <m/>
    <m/>
    <m/>
    <x v="0"/>
    <s v="Yes"/>
    <s v="86k-105k"/>
    <x v="5"/>
    <s v="Healthcare"/>
    <s v="Python"/>
    <n v="10"/>
    <n v="8"/>
    <n v="6"/>
    <n v="10"/>
    <x v="2"/>
    <x v="5"/>
    <s v="Neither easy nor difficult"/>
    <s v="Good Culture"/>
    <s v="Female"/>
    <n v="31"/>
    <s v="Other"/>
    <s v="Bachelors"/>
    <s v="Hispanic or Latino"/>
  </r>
  <r>
    <s v="62a48c4c24a262602739e141"/>
    <s v="anonymous"/>
    <d v="2022-06-11T00:00:00"/>
    <d v="1899-12-30T08:36:00"/>
    <d v="1899-12-30T00:01:31"/>
    <m/>
    <m/>
    <m/>
    <m/>
    <m/>
    <x v="0"/>
    <s v="Yes"/>
    <s v="86k-105k"/>
    <x v="5"/>
    <s v="Other"/>
    <s v="Other"/>
    <n v="8"/>
    <n v="7"/>
    <n v="8"/>
    <n v="6"/>
    <x v="2"/>
    <x v="8"/>
    <s v="Difficult"/>
    <s v="Good Work/Life Balance"/>
    <s v="Female"/>
    <n v="28"/>
    <s v="United States"/>
    <s v="Masters"/>
    <s v="White or Caucasian"/>
  </r>
  <r>
    <s v="62a48cbdf408bae018eeeccf"/>
    <s v="anonymous"/>
    <d v="2022-06-11T00:00:00"/>
    <d v="1899-12-30T08:38:00"/>
    <d v="1899-12-30T00:00:55"/>
    <m/>
    <m/>
    <m/>
    <m/>
    <m/>
    <x v="0"/>
    <s v="No"/>
    <s v="41k-65k"/>
    <x v="1"/>
    <s v="Healthcare"/>
    <s v="C/C++"/>
    <n v="7"/>
    <n v="8"/>
    <n v="9"/>
    <n v="9"/>
    <x v="7"/>
    <x v="6"/>
    <s v="Easy"/>
    <s v="Remote Work"/>
    <s v="Male"/>
    <n v="23"/>
    <s v="United States"/>
    <s v="Masters"/>
    <s v="Asian or Asian American"/>
  </r>
  <r>
    <s v="62a48d4df8d5efcc22f98308"/>
    <s v="anonymous"/>
    <d v="2022-06-11T00:00:00"/>
    <d v="1899-12-30T08:40:00"/>
    <d v="1899-12-30T00:01:47"/>
    <m/>
    <m/>
    <m/>
    <m/>
    <m/>
    <x v="0"/>
    <s v="No"/>
    <s v="41k-65k"/>
    <x v="1"/>
    <s v="Other"/>
    <s v="Python"/>
    <n v="5"/>
    <n v="5"/>
    <n v="4"/>
    <n v="5"/>
    <x v="5"/>
    <x v="10"/>
    <s v="Neither easy nor difficult"/>
    <s v="Better Salary"/>
    <s v="Male"/>
    <n v="25"/>
    <s v="United Kingdom"/>
    <s v="Bachelors"/>
    <s v="Black or African American"/>
  </r>
  <r>
    <s v="62a48d562e54c9003e54ea2b"/>
    <s v="anonymous"/>
    <d v="2022-06-11T00:00:00"/>
    <d v="1899-12-30T08:40:00"/>
    <d v="1899-12-30T00:01:22"/>
    <m/>
    <m/>
    <m/>
    <m/>
    <m/>
    <x v="2"/>
    <s v="No"/>
    <s v="0-40k"/>
    <x v="2"/>
    <s v="Tech"/>
    <s v="R"/>
    <n v="2"/>
    <n v="5"/>
    <n v="2"/>
    <n v="8"/>
    <x v="10"/>
    <x v="2"/>
    <s v="Difficult"/>
    <s v="Remote Work"/>
    <s v="Male"/>
    <n v="26"/>
    <s v="Other"/>
    <s v="Masters"/>
    <s v="White or Caucasian"/>
  </r>
  <r>
    <s v="62a48da6b4da29969c64a3a5"/>
    <s v="anonymous"/>
    <d v="2022-06-11T00:00:00"/>
    <d v="1899-12-30T08:42:00"/>
    <d v="1899-12-30T00:00:47"/>
    <m/>
    <m/>
    <m/>
    <m/>
    <m/>
    <x v="3"/>
    <s v="Yes"/>
    <s v="125k-150k"/>
    <x v="4"/>
    <s v="Finance"/>
    <s v="Python"/>
    <n v="9"/>
    <n v="4"/>
    <n v="8"/>
    <n v="7"/>
    <x v="0"/>
    <x v="10"/>
    <s v="Difficult"/>
    <s v="Good Work/Life Balance"/>
    <s v="Male"/>
    <n v="35"/>
    <s v="United States"/>
    <s v="Bachelors"/>
    <s v="White or Caucasian"/>
  </r>
  <r>
    <s v="62a49012f408bae018eef16d"/>
    <s v="anonymous"/>
    <d v="2022-06-11T00:00:00"/>
    <d v="1899-12-30T08:52:00"/>
    <d v="1899-12-30T00:01:43"/>
    <m/>
    <m/>
    <m/>
    <m/>
    <m/>
    <x v="0"/>
    <s v="Yes"/>
    <s v="106k-125k"/>
    <x v="0"/>
    <s v="Other"/>
    <s v="R"/>
    <n v="8"/>
    <n v="9"/>
    <n v="9"/>
    <n v="7"/>
    <x v="6"/>
    <x v="8"/>
    <s v="Neither easy nor difficult"/>
    <s v="Remote Work"/>
    <s v="Male"/>
    <n v="30"/>
    <s v="Other"/>
    <s v="Masters"/>
    <s v="White or Caucasian"/>
  </r>
  <r>
    <s v="62a491b3b4da29969c64a89e"/>
    <s v="anonymous"/>
    <d v="2022-06-11T00:00:00"/>
    <d v="1899-12-30T08:59:00"/>
    <d v="1899-12-30T00:01:38"/>
    <m/>
    <m/>
    <m/>
    <m/>
    <m/>
    <x v="0"/>
    <s v="Yes"/>
    <s v="86k-105k"/>
    <x v="5"/>
    <s v="Tech"/>
    <s v="R"/>
    <n v="3"/>
    <m/>
    <m/>
    <m/>
    <x v="11"/>
    <x v="11"/>
    <s v="Neither easy nor difficult"/>
    <s v="Better Salary"/>
    <s v="Male"/>
    <n v="35"/>
    <s v="United Kingdom"/>
    <s v="Bachelors"/>
    <s v="White or Caucasian"/>
  </r>
  <r>
    <s v="62a4926ef408bae018eef4ee"/>
    <s v="anonymous"/>
    <d v="2022-06-11T00:00:00"/>
    <d v="1899-12-30T09:02:00"/>
    <d v="1899-12-30T00:02:06"/>
    <m/>
    <m/>
    <m/>
    <m/>
    <m/>
    <x v="0"/>
    <s v="Yes"/>
    <s v="0-40k"/>
    <x v="2"/>
    <s v="Telecommunication"/>
    <s v="Python"/>
    <n v="0"/>
    <n v="8"/>
    <n v="5"/>
    <n v="5"/>
    <x v="8"/>
    <x v="4"/>
    <s v="Easy"/>
    <s v="Better Salary"/>
    <s v="Male"/>
    <n v="28"/>
    <s v="Other"/>
    <s v="Bachelors"/>
    <s v="Hispanic or Latino"/>
  </r>
  <r>
    <s v="62a495d724a262602739ee07"/>
    <s v="anonymous"/>
    <d v="2022-06-11T00:00:00"/>
    <d v="1899-12-30T09:17:00"/>
    <d v="1899-12-30T00:02:01"/>
    <m/>
    <m/>
    <m/>
    <m/>
    <m/>
    <x v="4"/>
    <s v="No"/>
    <s v="0-40k"/>
    <x v="2"/>
    <s v="Tech"/>
    <s v="Python"/>
    <n v="0"/>
    <n v="2"/>
    <n v="3"/>
    <n v="3"/>
    <x v="8"/>
    <x v="1"/>
    <s v="Easy"/>
    <s v="Good Work/Life Balance"/>
    <s v="Female"/>
    <n v="24"/>
    <s v="Other"/>
    <s v="Bachelors"/>
    <s v="Black or African American"/>
  </r>
  <r>
    <s v="62a49b3cb4da29969c64b5dc"/>
    <s v="anonymous"/>
    <d v="2022-06-11T00:00:00"/>
    <d v="1899-12-30T09:40:00"/>
    <d v="1899-12-30T00:04:32"/>
    <m/>
    <m/>
    <m/>
    <m/>
    <m/>
    <x v="0"/>
    <s v="Yes"/>
    <s v="41k-65k"/>
    <x v="1"/>
    <s v="Tech"/>
    <s v="Python"/>
    <n v="8"/>
    <n v="10"/>
    <n v="7"/>
    <n v="5"/>
    <x v="5"/>
    <x v="5"/>
    <s v="Neither easy nor difficult"/>
    <s v="Good Culture"/>
    <s v="Female"/>
    <n v="34"/>
    <s v="United States"/>
    <s v="Bachelors"/>
    <s v="White or Caucasian"/>
  </r>
  <r>
    <s v="62a49e087dc029e2d66dc57e"/>
    <s v="anonymous"/>
    <d v="2022-06-11T00:00:00"/>
    <d v="1899-12-30T09:52:00"/>
    <d v="1899-12-30T00:01:52"/>
    <m/>
    <m/>
    <m/>
    <m/>
    <m/>
    <x v="0"/>
    <s v="Yes"/>
    <s v="41k-65k"/>
    <x v="1"/>
    <s v="Tech"/>
    <s v="Python"/>
    <n v="3"/>
    <n v="5"/>
    <n v="4"/>
    <n v="5"/>
    <x v="4"/>
    <x v="10"/>
    <s v="Neither easy nor difficult"/>
    <s v="Good Work/Life Balance"/>
    <s v="Female"/>
    <n v="31"/>
    <s v="Other"/>
    <s v="Masters"/>
    <s v="White or Caucasian"/>
  </r>
  <r>
    <s v="62a49e47b4da29969c64b9f9"/>
    <s v="anonymous"/>
    <d v="2022-06-11T00:00:00"/>
    <d v="1899-12-30T09:53:00"/>
    <d v="1899-12-30T00:01:06"/>
    <m/>
    <m/>
    <m/>
    <m/>
    <m/>
    <x v="0"/>
    <s v="Yes"/>
    <s v="0-40k"/>
    <x v="2"/>
    <s v="Tech"/>
    <s v="Python"/>
    <n v="0"/>
    <n v="0"/>
    <n v="0"/>
    <n v="0"/>
    <x v="3"/>
    <x v="9"/>
    <s v="Difficult"/>
    <s v="Good Work/Life Balance"/>
    <s v="Male"/>
    <n v="30"/>
    <s v="United Kingdom"/>
    <s v="Masters"/>
    <s v="Asian or Asian American"/>
  </r>
  <r>
    <s v="62a49e5f24a262602739f9af"/>
    <s v="anonymous"/>
    <d v="2022-06-11T00:00:00"/>
    <d v="1899-12-30T09:53:00"/>
    <d v="1899-12-30T00:01:28"/>
    <m/>
    <m/>
    <m/>
    <m/>
    <m/>
    <x v="1"/>
    <s v="Yes"/>
    <s v="86k-105k"/>
    <x v="5"/>
    <s v="Other"/>
    <s v="JavaScript"/>
    <n v="4"/>
    <n v="4"/>
    <n v="1"/>
    <n v="6"/>
    <x v="1"/>
    <x v="5"/>
    <s v="Difficult"/>
    <s v="Better Salary"/>
    <s v="Male"/>
    <n v="40"/>
    <s v="United Kingdom"/>
    <s v="Bachelors"/>
    <s v="White or Caucasian"/>
  </r>
  <r>
    <s v="62a49fe7b4da29969c64bbe1"/>
    <s v="anonymous"/>
    <d v="2022-06-11T00:00:00"/>
    <d v="1899-12-30T10:00:00"/>
    <d v="1899-12-30T00:02:02"/>
    <m/>
    <m/>
    <m/>
    <m/>
    <m/>
    <x v="0"/>
    <s v="No"/>
    <s v="41k-65k"/>
    <x v="1"/>
    <s v="Other"/>
    <s v="R"/>
    <n v="4"/>
    <n v="10"/>
    <n v="10"/>
    <n v="10"/>
    <x v="6"/>
    <x v="10"/>
    <s v="Very Difficult"/>
    <s v="Better Salary"/>
    <s v="Male"/>
    <n v="26"/>
    <s v="United States"/>
    <s v="Bachelors"/>
    <s v="Hispanic or Latino"/>
  </r>
  <r>
    <s v="62a4a3d4f8d5efcc22f9a051"/>
    <s v="anonymous"/>
    <d v="2022-06-11T00:00:00"/>
    <d v="1899-12-30T10:16:00"/>
    <d v="1899-12-30T00:01:00"/>
    <m/>
    <m/>
    <m/>
    <m/>
    <m/>
    <x v="0"/>
    <s v="No"/>
    <s v="125k-150k"/>
    <x v="4"/>
    <s v="Healthcare"/>
    <s v="R"/>
    <n v="9"/>
    <n v="9"/>
    <n v="6"/>
    <n v="6"/>
    <x v="5"/>
    <x v="0"/>
    <s v="Neither easy nor difficult"/>
    <s v="Good Culture"/>
    <s v="Male"/>
    <n v="25"/>
    <s v="United States"/>
    <s v="Bachelors"/>
    <s v="White or Caucasian"/>
  </r>
  <r>
    <s v="62a4a8cb0a77c1a77f67a405"/>
    <s v="anonymous"/>
    <d v="2022-06-11T00:00:00"/>
    <d v="1899-12-30T10:38:00"/>
    <d v="1899-12-30T00:02:27"/>
    <m/>
    <m/>
    <m/>
    <m/>
    <m/>
    <x v="0"/>
    <s v="Yes"/>
    <s v="0-40k"/>
    <x v="2"/>
    <s v="Other"/>
    <s v="Other"/>
    <s v="null"/>
    <n v="5"/>
    <n v="8"/>
    <n v="4"/>
    <x v="6"/>
    <x v="7"/>
    <s v="Easy"/>
    <s v="Good Culture"/>
    <s v="Male"/>
    <n v="45"/>
    <s v="Other"/>
    <s v="Associates"/>
    <s v="White or Caucasian"/>
  </r>
  <r>
    <s v="62a4abb30f8c8599d5b0fc24"/>
    <s v="anonymous"/>
    <d v="2022-06-11T00:00:00"/>
    <d v="1899-12-30T10:50:00"/>
    <d v="1899-12-30T00:03:12"/>
    <m/>
    <m/>
    <m/>
    <m/>
    <m/>
    <x v="0"/>
    <s v="No"/>
    <s v="41k-65k"/>
    <x v="1"/>
    <s v="Finance"/>
    <s v="R"/>
    <n v="7"/>
    <n v="9"/>
    <n v="8"/>
    <n v="6"/>
    <x v="5"/>
    <x v="6"/>
    <s v="Neither easy nor difficult"/>
    <s v="Good Culture"/>
    <s v="Male"/>
    <n v="26"/>
    <s v="United States"/>
    <s v="Masters"/>
    <s v="Black or African American"/>
  </r>
  <r>
    <s v="62a4afd87dc029e2d66ddb24"/>
    <s v="anonymous"/>
    <d v="2022-06-11T00:00:00"/>
    <d v="1899-12-30T11:08:00"/>
    <d v="1899-12-30T00:01:43"/>
    <m/>
    <m/>
    <m/>
    <m/>
    <m/>
    <x v="3"/>
    <s v="No"/>
    <s v="0-40k"/>
    <x v="2"/>
    <s v="Finance"/>
    <s v="Python"/>
    <n v="7"/>
    <n v="7"/>
    <n v="8"/>
    <n v="6"/>
    <x v="5"/>
    <x v="7"/>
    <s v="Neither easy nor difficult"/>
    <s v="Good Work/Life Balance"/>
    <s v="Male"/>
    <n v="26"/>
    <s v="India"/>
    <s v="Masters"/>
    <s v="Other"/>
  </r>
  <r>
    <s v="62a4b085cec54911e9cc3afe"/>
    <s v="anonymous"/>
    <d v="2022-06-11T00:00:00"/>
    <d v="1899-12-30T11:11:00"/>
    <d v="1899-12-30T00:02:44"/>
    <m/>
    <m/>
    <m/>
    <m/>
    <m/>
    <x v="2"/>
    <s v="Yes"/>
    <s v="0-40k"/>
    <x v="2"/>
    <s v="Finance"/>
    <s v="Python"/>
    <n v="3"/>
    <n v="2"/>
    <n v="4"/>
    <n v="2"/>
    <x v="8"/>
    <x v="1"/>
    <s v="Difficult"/>
    <s v="Better Salary"/>
    <s v="Male"/>
    <n v="23"/>
    <s v="India"/>
    <s v="Masters"/>
    <s v="Asian or Asian American"/>
  </r>
  <r>
    <s v="62a4b23f5d257a28a30f6b8c"/>
    <s v="anonymous"/>
    <d v="2022-06-11T00:00:00"/>
    <d v="1899-12-30T11:18:00"/>
    <d v="1899-12-30T00:00:56"/>
    <m/>
    <m/>
    <m/>
    <m/>
    <m/>
    <x v="1"/>
    <s v="Yes"/>
    <s v="106k-125k"/>
    <x v="0"/>
    <s v="Tech"/>
    <s v="Python"/>
    <n v="4"/>
    <n v="4"/>
    <n v="4"/>
    <n v="4"/>
    <x v="0"/>
    <x v="10"/>
    <s v="Neither easy nor difficult"/>
    <s v="Good Work/Life Balance"/>
    <s v="Male"/>
    <n v="25"/>
    <s v="India"/>
    <s v="Masters"/>
    <s v="Asian or Asian American"/>
  </r>
  <r>
    <s v="62a4b29a5d257a28a30f6c63"/>
    <s v="anonymous"/>
    <d v="2022-06-11T00:00:00"/>
    <d v="1899-12-30T11:19:00"/>
    <d v="1899-12-30T00:01:11"/>
    <m/>
    <m/>
    <m/>
    <m/>
    <m/>
    <x v="0"/>
    <s v="Yes"/>
    <s v="41k-65k"/>
    <x v="1"/>
    <s v="Healthcare"/>
    <s v="R"/>
    <n v="4"/>
    <n v="5"/>
    <n v="6"/>
    <n v="6"/>
    <x v="0"/>
    <x v="10"/>
    <s v="Neither easy nor difficult"/>
    <s v="Better Salary"/>
    <s v="Female"/>
    <n v="33"/>
    <s v="United States"/>
    <s v="High School"/>
    <s v="White or Caucasian"/>
  </r>
  <r>
    <s v="62a4b2e5f8f75616458712af"/>
    <s v="anonymous"/>
    <d v="2022-06-11T00:00:00"/>
    <d v="1899-12-30T11:21:00"/>
    <d v="1899-12-30T00:02:02"/>
    <m/>
    <m/>
    <m/>
    <m/>
    <m/>
    <x v="2"/>
    <s v="No"/>
    <s v="0-40k"/>
    <x v="2"/>
    <s v="Other"/>
    <s v="Other"/>
    <n v="6"/>
    <n v="3"/>
    <n v="3"/>
    <n v="6"/>
    <x v="5"/>
    <x v="7"/>
    <s v="Very Easy"/>
    <s v="Other"/>
    <s v="Male"/>
    <n v="33"/>
    <s v="India"/>
    <s v="Bachelors"/>
    <s v="Asian or Asian American"/>
  </r>
  <r>
    <s v="62a4b6c30a77c1a77f67b54c"/>
    <s v="anonymous"/>
    <d v="2022-06-11T00:00:00"/>
    <d v="1899-12-30T11:37:00"/>
    <d v="1899-12-30T00:01:13"/>
    <m/>
    <m/>
    <m/>
    <m/>
    <m/>
    <x v="0"/>
    <s v="Yes"/>
    <s v="86k-105k"/>
    <x v="5"/>
    <s v="Healthcare"/>
    <s v="R"/>
    <n v="7"/>
    <n v="8"/>
    <n v="7"/>
    <n v="8"/>
    <x v="4"/>
    <x v="7"/>
    <s v="Easy"/>
    <s v="Good Culture"/>
    <s v="Male"/>
    <n v="27"/>
    <s v="United States"/>
    <s v="Bachelors"/>
    <s v="White or Caucasian"/>
  </r>
  <r>
    <s v="62a4bf07b4da29969c64e4f8"/>
    <s v="anonymous"/>
    <d v="2022-06-11T00:00:00"/>
    <d v="1899-12-30T12:12:00"/>
    <d v="1899-12-30T00:01:59"/>
    <m/>
    <m/>
    <m/>
    <m/>
    <m/>
    <x v="0"/>
    <s v="Yes"/>
    <s v="106k-125k"/>
    <x v="0"/>
    <s v="Tech"/>
    <s v="Python"/>
    <n v="9"/>
    <n v="9"/>
    <n v="9"/>
    <n v="8"/>
    <x v="6"/>
    <x v="6"/>
    <s v="Difficult"/>
    <s v="Remote Work"/>
    <s v="Female"/>
    <n v="28"/>
    <s v="United States"/>
    <s v="Masters"/>
    <s v="Hispanic or Latino"/>
  </r>
  <r>
    <s v="62a4bf3a0a77c1a77f67bef2"/>
    <s v="anonymous"/>
    <d v="2022-06-11T00:00:00"/>
    <d v="1899-12-30T12:13:00"/>
    <d v="1899-12-30T00:03:18"/>
    <m/>
    <m/>
    <m/>
    <m/>
    <m/>
    <x v="0"/>
    <s v="Yes"/>
    <s v="66k-85k"/>
    <x v="6"/>
    <s v="Tech"/>
    <s v="Python"/>
    <n v="5"/>
    <n v="6"/>
    <n v="7"/>
    <n v="6"/>
    <x v="5"/>
    <x v="0"/>
    <s v="Very Easy"/>
    <s v="Better Salary"/>
    <s v="Male"/>
    <n v="32"/>
    <s v="United States"/>
    <s v="Bachelors"/>
    <s v="Hispanic or Latino"/>
  </r>
  <r>
    <s v="62a4c49a575fa3a5ae8aadf4"/>
    <s v="anonymous"/>
    <d v="2022-06-11T00:00:00"/>
    <d v="1899-12-30T12:36:00"/>
    <d v="1899-12-30T00:01:24"/>
    <m/>
    <m/>
    <m/>
    <m/>
    <m/>
    <x v="0"/>
    <s v="Yes"/>
    <s v="0-40k"/>
    <x v="2"/>
    <s v="Tech"/>
    <s v="Python"/>
    <n v="2"/>
    <n v="6"/>
    <n v="3"/>
    <n v="6"/>
    <x v="5"/>
    <x v="0"/>
    <s v="Neither easy nor difficult"/>
    <s v="Better Salary"/>
    <s v="Male"/>
    <n v="35"/>
    <s v="India"/>
    <s v="Masters"/>
    <s v="Asian or Asian American"/>
  </r>
  <r>
    <s v="62a4c57af3072dd8926421ac"/>
    <s v="anonymous"/>
    <d v="2022-06-11T00:00:00"/>
    <d v="1899-12-30T12:40:00"/>
    <d v="1899-12-30T00:01:49"/>
    <m/>
    <m/>
    <m/>
    <m/>
    <m/>
    <x v="0"/>
    <s v="Yes"/>
    <s v="86k-105k"/>
    <x v="5"/>
    <s v="Real Estate"/>
    <s v="Python"/>
    <n v="8"/>
    <n v="9"/>
    <n v="10"/>
    <n v="10"/>
    <x v="10"/>
    <x v="2"/>
    <s v="Neither easy nor difficult"/>
    <s v="Good Culture"/>
    <s v="Male"/>
    <n v="34"/>
    <s v="United States"/>
    <s v="Masters"/>
    <s v="Hispanic or Latino"/>
  </r>
  <r>
    <s v="62a4c6060a77c1a77f67c772"/>
    <s v="anonymous"/>
    <d v="2022-06-11T00:00:00"/>
    <d v="1899-12-30T12:42:00"/>
    <d v="1899-12-30T00:01:39"/>
    <m/>
    <m/>
    <m/>
    <m/>
    <m/>
    <x v="0"/>
    <s v="No"/>
    <s v="41k-65k"/>
    <x v="1"/>
    <s v="Other"/>
    <s v="Python"/>
    <n v="9"/>
    <n v="8"/>
    <n v="3"/>
    <n v="5"/>
    <x v="8"/>
    <x v="7"/>
    <s v="Easy"/>
    <s v="Better Salary"/>
    <s v="Male"/>
    <n v="27"/>
    <s v="Other"/>
    <s v="Masters"/>
    <s v="White or Caucasian"/>
  </r>
  <r>
    <s v="62a4c7d0f8f7561645872912"/>
    <s v="anonymous"/>
    <d v="2022-06-11T00:00:00"/>
    <d v="1899-12-30T12:50:00"/>
    <d v="1899-12-30T00:02:30"/>
    <m/>
    <m/>
    <m/>
    <m/>
    <m/>
    <x v="2"/>
    <s v="Yes"/>
    <s v="66k-85k"/>
    <x v="6"/>
    <s v="Education"/>
    <s v="R"/>
    <n v="4"/>
    <n v="5"/>
    <n v="5"/>
    <n v="3"/>
    <x v="4"/>
    <x v="7"/>
    <s v="Easy"/>
    <s v="Good Culture"/>
    <s v="Female"/>
    <n v="30"/>
    <s v="United States"/>
    <s v="Masters"/>
    <s v="White or Caucasian"/>
  </r>
  <r>
    <s v="62a4cdfad8c00e9f541bdc6b"/>
    <s v="anonymous"/>
    <d v="2022-06-11T00:00:00"/>
    <d v="1899-12-30T13:16:00"/>
    <d v="1899-12-30T00:02:06"/>
    <m/>
    <m/>
    <m/>
    <m/>
    <m/>
    <x v="0"/>
    <s v="No"/>
    <s v="66k-85k"/>
    <x v="6"/>
    <s v="Other"/>
    <s v="Python"/>
    <n v="8"/>
    <n v="9"/>
    <n v="9"/>
    <n v="9"/>
    <x v="10"/>
    <x v="2"/>
    <s v="Neither easy nor difficult"/>
    <s v="Better Salary"/>
    <s v="Male"/>
    <n v="34"/>
    <s v="United States"/>
    <s v="Masters"/>
    <s v="White or Caucasian"/>
  </r>
  <r>
    <s v="62a4ce2bbae91e4b8b84f3db"/>
    <s v="anonymous"/>
    <d v="2022-06-11T00:00:00"/>
    <d v="1899-12-30T13:17:00"/>
    <d v="1899-12-30T00:02:20"/>
    <m/>
    <m/>
    <m/>
    <m/>
    <m/>
    <x v="2"/>
    <s v="No"/>
    <s v="41k-65k"/>
    <x v="1"/>
    <s v="Other"/>
    <s v="Python"/>
    <n v="3"/>
    <n v="10"/>
    <n v="6"/>
    <n v="5"/>
    <x v="2"/>
    <x v="8"/>
    <s v="Neither easy nor difficult"/>
    <s v="Remote Work"/>
    <s v="Female"/>
    <n v="22"/>
    <s v="United States"/>
    <s v="Bachelors"/>
    <s v="White or Caucasian"/>
  </r>
  <r>
    <s v="62a4cffeb4da29969c64f6a1"/>
    <s v="anonymous"/>
    <d v="2022-06-11T00:00:00"/>
    <d v="1899-12-30T13:25:00"/>
    <d v="1899-12-30T00:01:02"/>
    <m/>
    <m/>
    <m/>
    <m/>
    <m/>
    <x v="0"/>
    <s v="Yes"/>
    <s v="0-40k"/>
    <x v="2"/>
    <s v="Finance"/>
    <s v="Python"/>
    <n v="2"/>
    <n v="2"/>
    <n v="5"/>
    <n v="5"/>
    <x v="8"/>
    <x v="1"/>
    <s v="Very Difficult"/>
    <s v="Good Work/Life Balance"/>
    <s v="Female"/>
    <n v="33"/>
    <s v="India"/>
    <s v="Masters"/>
    <s v="Asian or Asian American"/>
  </r>
  <r>
    <s v="62a4d08bf3072dd892642d2c"/>
    <s v="anonymous"/>
    <d v="2022-06-11T00:00:00"/>
    <d v="1899-12-30T13:27:00"/>
    <d v="1899-12-30T00:01:53"/>
    <m/>
    <m/>
    <m/>
    <m/>
    <m/>
    <x v="0"/>
    <s v="No"/>
    <s v="0-40k"/>
    <x v="2"/>
    <s v="Finance"/>
    <s v="Python"/>
    <n v="8"/>
    <n v="9"/>
    <n v="9"/>
    <n v="9"/>
    <x v="10"/>
    <x v="6"/>
    <s v="Neither easy nor difficult"/>
    <s v="Better Salary"/>
    <s v="Female"/>
    <n v="26"/>
    <s v="India"/>
    <s v="Masters"/>
    <s v="Asian or Asian American"/>
  </r>
  <r>
    <s v="62a4d13bbae91e4b8b84f89b"/>
    <s v="anonymous"/>
    <d v="2022-06-11T00:00:00"/>
    <d v="1899-12-30T13:30:00"/>
    <d v="1899-12-30T00:01:36"/>
    <m/>
    <m/>
    <m/>
    <m/>
    <m/>
    <x v="1"/>
    <s v="Yes"/>
    <s v="0-40k"/>
    <x v="2"/>
    <s v="Tech"/>
    <s v="Python"/>
    <n v="0"/>
    <n v="5"/>
    <n v="8"/>
    <n v="6"/>
    <x v="0"/>
    <x v="0"/>
    <s v="Neither easy nor difficult"/>
    <s v="Better Salary"/>
    <s v="Male"/>
    <n v="28"/>
    <s v="Other"/>
    <s v="Bachelors"/>
    <s v="Hispanic or Latino"/>
  </r>
  <r>
    <s v="62a4d74c5d257a28a30f97fc"/>
    <s v="anonymous"/>
    <d v="2022-06-11T00:00:00"/>
    <d v="1899-12-30T13:56:00"/>
    <d v="1899-12-30T00:05:32"/>
    <m/>
    <m/>
    <m/>
    <m/>
    <m/>
    <x v="2"/>
    <s v="No"/>
    <s v="0-40k"/>
    <x v="2"/>
    <s v="Other"/>
    <s v="Python"/>
    <n v="2"/>
    <n v="2"/>
    <n v="7"/>
    <n v="4"/>
    <x v="6"/>
    <x v="3"/>
    <s v="Difficult"/>
    <s v="Remote Work"/>
    <s v="Male"/>
    <n v="42"/>
    <s v="United Kingdom"/>
    <s v="Bachelors"/>
    <s v="Other"/>
  </r>
  <r>
    <s v="62a4d7f6bae91e4b8b84ffed"/>
    <s v="anonymous"/>
    <d v="2022-06-11T00:00:00"/>
    <d v="1899-12-30T13:59:00"/>
    <d v="1899-12-30T00:02:06"/>
    <m/>
    <m/>
    <m/>
    <m/>
    <m/>
    <x v="0"/>
    <s v="No"/>
    <s v="0-40k"/>
    <x v="2"/>
    <s v="Other"/>
    <s v="R"/>
    <n v="4"/>
    <n v="10"/>
    <n v="2"/>
    <n v="3"/>
    <x v="8"/>
    <x v="1"/>
    <s v="Neither easy nor difficult"/>
    <s v="Better Salary"/>
    <s v="Male"/>
    <n v="30"/>
    <s v="Other"/>
    <s v="Masters"/>
    <s v="Other"/>
  </r>
  <r>
    <s v="62a4d9d4bae91e4b8b8501f1"/>
    <s v="anonymous"/>
    <d v="2022-06-11T00:00:00"/>
    <d v="1899-12-30T14:07:00"/>
    <d v="1899-12-30T00:01:22"/>
    <m/>
    <m/>
    <m/>
    <m/>
    <m/>
    <x v="3"/>
    <s v="Yes"/>
    <s v="106k-125k"/>
    <x v="0"/>
    <s v="Tech"/>
    <s v="Other"/>
    <n v="10"/>
    <n v="9"/>
    <n v="8"/>
    <n v="8"/>
    <x v="10"/>
    <x v="2"/>
    <s v="Difficult"/>
    <s v="Better Salary"/>
    <s v="Male"/>
    <n v="25"/>
    <s v="United States"/>
    <s v="Associates"/>
    <s v="White or Caucasian"/>
  </r>
  <r>
    <s v="62a4dd63f408bae018ef4e51"/>
    <s v="anonymous"/>
    <d v="2022-06-11T00:00:00"/>
    <d v="1899-12-30T14:22:00"/>
    <d v="1899-12-30T00:01:00"/>
    <m/>
    <m/>
    <m/>
    <m/>
    <m/>
    <x v="0"/>
    <s v="Yes"/>
    <s v="41k-65k"/>
    <x v="1"/>
    <s v="Construction"/>
    <s v="Python"/>
    <n v="4"/>
    <n v="6"/>
    <n v="6"/>
    <n v="6"/>
    <x v="0"/>
    <x v="0"/>
    <s v="Easy"/>
    <s v="Better Salary"/>
    <s v="Male"/>
    <n v="32"/>
    <s v="United States"/>
    <s v="Bachelors"/>
    <s v="Black or African American"/>
  </r>
  <r>
    <s v="62a4e34d7dc029e2d66e10b9"/>
    <s v="anonymous"/>
    <d v="2022-06-11T00:00:00"/>
    <d v="1899-12-30T14:47:00"/>
    <d v="1899-12-30T00:01:56"/>
    <m/>
    <m/>
    <m/>
    <m/>
    <m/>
    <x v="0"/>
    <s v="No"/>
    <s v="0-40k"/>
    <x v="2"/>
    <s v="Tech"/>
    <s v="Python"/>
    <n v="3"/>
    <n v="4"/>
    <n v="5"/>
    <n v="5"/>
    <x v="5"/>
    <x v="10"/>
    <s v="Neither easy nor difficult"/>
    <s v="Better Salary"/>
    <s v="Male"/>
    <n v="31"/>
    <s v="Other"/>
    <s v="Masters"/>
    <s v="Asian or Asian American"/>
  </r>
  <r>
    <s v="62a4e4c90f8c8599d5b13d8f"/>
    <s v="anonymous"/>
    <d v="2022-06-11T00:00:00"/>
    <d v="1899-12-30T14:54:00"/>
    <d v="1899-12-30T10:34:43"/>
    <m/>
    <m/>
    <m/>
    <m/>
    <m/>
    <x v="0"/>
    <s v="Yes"/>
    <s v="150k-225k"/>
    <x v="3"/>
    <s v="Education"/>
    <s v="Python"/>
    <n v="8"/>
    <n v="7"/>
    <n v="5"/>
    <n v="4"/>
    <x v="2"/>
    <x v="0"/>
    <s v="Easy"/>
    <s v="Remote Work"/>
    <s v="Male"/>
    <n v="30"/>
    <s v="Other"/>
    <s v="High School"/>
    <s v="White or Caucasian"/>
  </r>
  <r>
    <s v="62a4e5aed8c00e9f541bf48c"/>
    <s v="anonymous"/>
    <d v="2022-06-11T00:00:00"/>
    <d v="1899-12-30T14:57:00"/>
    <d v="1899-12-30T00:02:26"/>
    <m/>
    <m/>
    <m/>
    <m/>
    <m/>
    <x v="4"/>
    <s v="Yes"/>
    <s v="0-40k"/>
    <x v="2"/>
    <s v="Other"/>
    <s v="Python"/>
    <n v="0"/>
    <n v="6"/>
    <n v="6"/>
    <n v="2"/>
    <x v="3"/>
    <x v="1"/>
    <s v="Neither easy nor difficult"/>
    <s v="Better Salary"/>
    <s v="Male"/>
    <n v="23"/>
    <s v="Canada"/>
    <s v="Bachelors"/>
    <s v="Asian or Asian American"/>
  </r>
  <r>
    <s v="62a4f6eef3072dd892645775"/>
    <s v="anonymous"/>
    <d v="2022-06-11T00:00:00"/>
    <d v="1899-12-30T16:11:00"/>
    <d v="1899-12-30T00:02:17"/>
    <m/>
    <m/>
    <m/>
    <m/>
    <m/>
    <x v="2"/>
    <s v="No"/>
    <s v="66k-85k"/>
    <x v="6"/>
    <s v="Education"/>
    <s v="R"/>
    <n v="7"/>
    <n v="7"/>
    <n v="6"/>
    <n v="7"/>
    <x v="5"/>
    <x v="10"/>
    <s v="Easy"/>
    <s v="Remote Work"/>
    <s v="Female"/>
    <n v="31"/>
    <s v="United Kingdom"/>
    <s v="Bachelors"/>
    <s v="White or Caucasian"/>
  </r>
  <r>
    <s v="62a4fe370f8c8599d5b158c4"/>
    <s v="anonymous"/>
    <d v="2022-06-11T00:00:00"/>
    <d v="1899-12-30T16:42:00"/>
    <d v="1899-12-30T00:02:40"/>
    <m/>
    <m/>
    <m/>
    <m/>
    <m/>
    <x v="0"/>
    <s v="No"/>
    <s v="41k-65k"/>
    <x v="1"/>
    <s v="Other"/>
    <s v="Python"/>
    <n v="7"/>
    <n v="5"/>
    <n v="9"/>
    <n v="9"/>
    <x v="7"/>
    <x v="6"/>
    <s v="Neither easy nor difficult"/>
    <s v="Good Work/Life Balance"/>
    <s v="Female"/>
    <n v="29"/>
    <s v="Other"/>
    <s v="Masters"/>
    <s v="Black or African American"/>
  </r>
  <r>
    <s v="62a5008c5d257a28a30fbde5"/>
    <s v="anonymous"/>
    <d v="2022-06-11T00:00:00"/>
    <d v="1899-12-30T16:52:00"/>
    <d v="1899-12-30T00:02:38"/>
    <m/>
    <m/>
    <m/>
    <m/>
    <m/>
    <x v="0"/>
    <s v="Yes"/>
    <s v="0-40k"/>
    <x v="2"/>
    <s v="Tech"/>
    <s v="Python"/>
    <n v="5"/>
    <n v="4"/>
    <n v="4"/>
    <n v="5"/>
    <x v="2"/>
    <x v="2"/>
    <s v="Neither easy nor difficult"/>
    <s v="Remote Work"/>
    <s v="Male"/>
    <n v="24"/>
    <s v="Other"/>
    <s v="Bachelors"/>
    <s v="Other"/>
  </r>
  <r>
    <s v="62a5038acec54911e9cc9526"/>
    <s v="anonymous"/>
    <d v="2022-06-11T00:00:00"/>
    <d v="1899-12-30T17:05:00"/>
    <d v="1899-12-30T00:02:38"/>
    <m/>
    <m/>
    <m/>
    <m/>
    <m/>
    <x v="2"/>
    <s v="No"/>
    <s v="41k-65k"/>
    <x v="1"/>
    <s v="Other"/>
    <s v="Python"/>
    <n v="2"/>
    <n v="7"/>
    <n v="6"/>
    <n v="5"/>
    <x v="5"/>
    <x v="7"/>
    <s v="Neither easy nor difficult"/>
    <s v="Better Salary"/>
    <s v="Male"/>
    <n v="36"/>
    <s v="United States"/>
    <s v="Masters"/>
    <s v="Asian or Asian American"/>
  </r>
  <r>
    <s v="62a50775f8f756164587677b"/>
    <s v="anonymous"/>
    <d v="2022-06-11T00:00:00"/>
    <d v="1899-12-30T17:21:00"/>
    <d v="1899-12-30T00:02:29"/>
    <m/>
    <m/>
    <m/>
    <m/>
    <m/>
    <x v="0"/>
    <s v="Yes"/>
    <s v="41k-65k"/>
    <x v="1"/>
    <s v="Real Estate"/>
    <s v="R"/>
    <n v="4"/>
    <n v="6"/>
    <n v="6"/>
    <n v="6"/>
    <x v="5"/>
    <x v="10"/>
    <s v="Difficult"/>
    <s v="Remote Work"/>
    <s v="Female"/>
    <n v="32"/>
    <s v="United States"/>
    <s v="Masters"/>
    <s v="White or Caucasian"/>
  </r>
  <r>
    <s v="62a50eddf8d5efcc22fa1a4e"/>
    <s v="anonymous"/>
    <d v="2022-06-11T00:00:00"/>
    <d v="1899-12-30T17:53:00"/>
    <d v="1899-12-30T00:03:55"/>
    <m/>
    <m/>
    <m/>
    <m/>
    <m/>
    <x v="2"/>
    <s v="Yes"/>
    <s v="86k-105k"/>
    <x v="5"/>
    <s v="Healthcare"/>
    <s v="Python"/>
    <n v="8"/>
    <n v="9"/>
    <n v="7"/>
    <n v="7"/>
    <x v="2"/>
    <x v="6"/>
    <s v="Difficult"/>
    <s v="Remote Work"/>
    <s v="Female"/>
    <n v="36"/>
    <s v="United States"/>
    <s v="Bachelors"/>
    <s v="White or Caucasian"/>
  </r>
  <r>
    <s v="62a511acbc6861bf3179178a"/>
    <s v="anonymous"/>
    <d v="2022-06-11T00:00:00"/>
    <d v="1899-12-30T18:05:00"/>
    <d v="1899-12-30T00:01:53"/>
    <m/>
    <m/>
    <m/>
    <m/>
    <m/>
    <x v="1"/>
    <s v="No"/>
    <s v="106k-125k"/>
    <x v="0"/>
    <s v="Healthcare"/>
    <s v="Other"/>
    <n v="8"/>
    <n v="6"/>
    <n v="5"/>
    <n v="2"/>
    <x v="4"/>
    <x v="4"/>
    <s v="Easy"/>
    <s v="Better Salary"/>
    <s v="Male"/>
    <n v="30"/>
    <s v="United States"/>
    <s v="Bachelors"/>
    <s v="White or Caucasian"/>
  </r>
  <r>
    <s v="62a5177d18134ddc75d0e9d8"/>
    <s v="anonymous"/>
    <d v="2022-06-11T00:00:00"/>
    <d v="1899-12-30T18:30:00"/>
    <d v="1899-12-30T00:05:09"/>
    <m/>
    <m/>
    <m/>
    <m/>
    <m/>
    <x v="4"/>
    <s v="Yes"/>
    <s v="0-40k"/>
    <x v="2"/>
    <s v="Other"/>
    <s v="R"/>
    <n v="0"/>
    <n v="2"/>
    <n v="2"/>
    <n v="3"/>
    <x v="4"/>
    <x v="7"/>
    <s v="Neither easy nor difficult"/>
    <s v="Good Work/Life Balance"/>
    <s v="Male"/>
    <n v="42"/>
    <s v="Other"/>
    <s v="Masters"/>
    <s v="Black or African American"/>
  </r>
  <r>
    <s v="62a51aaacec54911e9cca93b"/>
    <s v="anonymous"/>
    <d v="2022-06-11T00:00:00"/>
    <d v="1899-12-30T18:43:00"/>
    <d v="1899-12-30T00:03:26"/>
    <m/>
    <m/>
    <m/>
    <m/>
    <m/>
    <x v="0"/>
    <s v="Yes"/>
    <s v="86k-105k"/>
    <x v="5"/>
    <s v="Healthcare"/>
    <s v="Other"/>
    <n v="6"/>
    <n v="6"/>
    <n v="6"/>
    <n v="5"/>
    <x v="7"/>
    <x v="7"/>
    <s v="Easy"/>
    <s v="Remote Work"/>
    <s v="Male"/>
    <n v="53"/>
    <s v="Other"/>
    <s v="PhD"/>
    <s v="White or Caucasian"/>
  </r>
  <r>
    <s v="62a51dc6575fa3a5ae8b09f3"/>
    <s v="anonymous"/>
    <d v="2022-06-11T00:00:00"/>
    <d v="1899-12-30T18:57:00"/>
    <d v="1899-12-30T00:03:17"/>
    <m/>
    <m/>
    <m/>
    <m/>
    <m/>
    <x v="0"/>
    <s v="No"/>
    <s v="0-40k"/>
    <x v="2"/>
    <s v="Finance"/>
    <s v="Python"/>
    <n v="1"/>
    <n v="7"/>
    <n v="4"/>
    <n v="10"/>
    <x v="9"/>
    <x v="2"/>
    <s v="Neither easy nor difficult"/>
    <s v="Better Salary"/>
    <s v="Male"/>
    <n v="25"/>
    <s v="Other"/>
    <s v="High School"/>
    <s v="Other"/>
  </r>
  <r>
    <s v="62a51fe0575fa3a5ae8b0c06"/>
    <s v="anonymous"/>
    <d v="2022-06-11T00:00:00"/>
    <d v="1899-12-30T19:06:00"/>
    <d v="1899-12-30T00:02:21"/>
    <m/>
    <m/>
    <m/>
    <m/>
    <m/>
    <x v="0"/>
    <s v="No"/>
    <s v="0-40k"/>
    <x v="2"/>
    <s v="Healthcare"/>
    <s v="Python"/>
    <n v="1"/>
    <n v="5"/>
    <n v="4"/>
    <n v="6"/>
    <x v="0"/>
    <x v="10"/>
    <s v="Neither easy nor difficult"/>
    <s v="Better Salary"/>
    <s v="Male"/>
    <n v="23"/>
    <s v="Other"/>
    <s v="Bachelors"/>
    <s v="White or Caucasian"/>
  </r>
  <r>
    <s v="62a525aff8f75616458784dd"/>
    <s v="anonymous"/>
    <d v="2022-06-11T00:00:00"/>
    <d v="1899-12-30T19:30:00"/>
    <d v="1899-12-30T00:03:25"/>
    <m/>
    <m/>
    <m/>
    <m/>
    <m/>
    <x v="0"/>
    <s v="Yes"/>
    <s v="0-40k"/>
    <x v="2"/>
    <s v="Agriculture"/>
    <s v="Python"/>
    <n v="2"/>
    <n v="1"/>
    <n v="3"/>
    <n v="3"/>
    <x v="4"/>
    <x v="7"/>
    <s v="Difficult"/>
    <s v="Better Salary"/>
    <s v="Male"/>
    <n v="36"/>
    <s v="Other"/>
    <s v="Bachelors"/>
    <s v="Other"/>
  </r>
  <r>
    <s v="62a52629b4da29969c654a94"/>
    <s v="anonymous"/>
    <d v="2022-06-11T00:00:00"/>
    <d v="1899-12-30T19:32:00"/>
    <d v="1899-12-30T00:09:42"/>
    <m/>
    <m/>
    <m/>
    <m/>
    <m/>
    <x v="0"/>
    <s v="Yes"/>
    <s v="41k-65k"/>
    <x v="1"/>
    <s v="Healthcare"/>
    <s v="Other"/>
    <s v="null"/>
    <m/>
    <m/>
    <m/>
    <x v="11"/>
    <x v="10"/>
    <s v="Easy"/>
    <s v="Good Work/Life Balance"/>
    <s v="Male"/>
    <n v="32"/>
    <s v="Other"/>
    <s v="Bachelors"/>
    <s v="Other"/>
  </r>
  <r>
    <s v="62a52725d8c00e9f541c3b4a"/>
    <s v="anonymous"/>
    <d v="2022-06-11T00:00:00"/>
    <d v="1899-12-30T19:37:00"/>
    <d v="1899-12-30T00:01:23"/>
    <m/>
    <m/>
    <m/>
    <m/>
    <m/>
    <x v="0"/>
    <s v="No"/>
    <s v="86k-105k"/>
    <x v="5"/>
    <s v="Finance"/>
    <s v="Python"/>
    <n v="3"/>
    <n v="6"/>
    <n v="4"/>
    <n v="2"/>
    <x v="8"/>
    <x v="1"/>
    <s v="Difficult"/>
    <s v="Other"/>
    <s v="Male"/>
    <n v="25"/>
    <s v="United States"/>
    <s v="Masters"/>
    <s v="Hispanic or Latino"/>
  </r>
  <r>
    <s v="62a5390cb4da29969c655ccc"/>
    <s v="anonymous"/>
    <d v="2022-06-11T00:00:00"/>
    <d v="1899-12-30T20:53:00"/>
    <d v="1899-12-30T00:03:19"/>
    <m/>
    <m/>
    <m/>
    <m/>
    <m/>
    <x v="1"/>
    <s v="Yes"/>
    <s v="41k-65k"/>
    <x v="1"/>
    <s v="Tech"/>
    <s v="Python"/>
    <n v="4"/>
    <n v="4"/>
    <n v="3"/>
    <n v="4"/>
    <x v="7"/>
    <x v="5"/>
    <s v="Neither easy nor difficult"/>
    <s v="Remote Work"/>
    <s v="Female"/>
    <n v="35"/>
    <s v="United Kingdom"/>
    <s v="Masters"/>
    <s v="Asian or Asian American"/>
  </r>
  <r>
    <s v="62a53bc0bc6861bf31793947"/>
    <s v="anonymous"/>
    <d v="2022-06-11T00:00:00"/>
    <d v="1899-12-30T21:05:00"/>
    <d v="1899-12-30T00:01:19"/>
    <m/>
    <m/>
    <m/>
    <m/>
    <m/>
    <x v="0"/>
    <s v="Yes"/>
    <s v="66k-85k"/>
    <x v="6"/>
    <s v="Other"/>
    <s v="R"/>
    <n v="3"/>
    <n v="4"/>
    <n v="4"/>
    <n v="5"/>
    <x v="7"/>
    <x v="7"/>
    <s v="Very Easy"/>
    <s v="Better Salary"/>
    <s v="Male"/>
    <n v="26"/>
    <s v="United States"/>
    <s v="Bachelors"/>
    <s v="White or Caucasian"/>
  </r>
  <r>
    <s v="62a53c84f3072dd8926495c9"/>
    <s v="anonymous"/>
    <d v="2022-06-11T00:00:00"/>
    <d v="1899-12-30T21:08:00"/>
    <d v="1899-12-30T00:01:07"/>
    <m/>
    <m/>
    <m/>
    <m/>
    <m/>
    <x v="4"/>
    <s v="No"/>
    <s v="0-40k"/>
    <x v="2"/>
    <s v="Tech"/>
    <s v="Python"/>
    <n v="2"/>
    <n v="7"/>
    <n v="9"/>
    <n v="7"/>
    <x v="4"/>
    <x v="1"/>
    <s v="Difficult"/>
    <s v="Remote Work"/>
    <s v="Male"/>
    <n v="22"/>
    <s v="United States"/>
    <s v="Bachelors"/>
    <s v="White or Caucasian"/>
  </r>
  <r>
    <s v="62a54bccf3072dd89264a13b"/>
    <s v="anonymous"/>
    <d v="2022-06-11T00:00:00"/>
    <d v="1899-12-30T22:13:00"/>
    <d v="1899-12-30T00:01:43"/>
    <m/>
    <m/>
    <m/>
    <m/>
    <m/>
    <x v="3"/>
    <s v="Yes"/>
    <s v="86k-105k"/>
    <x v="5"/>
    <s v="Other"/>
    <s v="Python"/>
    <n v="6"/>
    <n v="8"/>
    <n v="10"/>
    <n v="9"/>
    <x v="5"/>
    <x v="8"/>
    <s v="Neither easy nor difficult"/>
    <s v="Better Salary"/>
    <s v="Male"/>
    <n v="30"/>
    <s v="Canada"/>
    <s v="Masters"/>
    <s v="Asian or Asian American"/>
  </r>
  <r>
    <s v="62a54f20d8c00e9f541c5cfa"/>
    <s v="anonymous"/>
    <d v="2022-06-11T00:00:00"/>
    <d v="1899-12-30T22:27:00"/>
    <d v="1899-12-30T00:02:37"/>
    <m/>
    <m/>
    <m/>
    <m/>
    <m/>
    <x v="0"/>
    <s v="Yes"/>
    <s v="66k-85k"/>
    <x v="6"/>
    <s v="Other"/>
    <s v="Python"/>
    <n v="2"/>
    <n v="8"/>
    <n v="6"/>
    <n v="1"/>
    <x v="6"/>
    <x v="2"/>
    <s v="Neither easy nor difficult"/>
    <s v="Better Salary"/>
    <s v="Male"/>
    <n v="36"/>
    <s v="United States"/>
    <s v="Masters"/>
    <s v="White or Caucasian"/>
  </r>
  <r>
    <s v="62a552e1cf2555431732922d"/>
    <s v="anonymous"/>
    <d v="2022-06-11T00:00:00"/>
    <d v="1899-12-30T22:43:00"/>
    <d v="1899-12-30T00:02:25"/>
    <m/>
    <m/>
    <m/>
    <m/>
    <m/>
    <x v="0"/>
    <s v="Yes"/>
    <s v="66k-85k"/>
    <x v="6"/>
    <s v="Healthcare"/>
    <s v="R"/>
    <n v="4"/>
    <n v="4"/>
    <n v="5"/>
    <n v="5"/>
    <x v="7"/>
    <x v="10"/>
    <s v="Neither easy nor difficult"/>
    <s v="Other"/>
    <s v="Female"/>
    <n v="30"/>
    <s v="United States"/>
    <s v="Masters"/>
    <s v="White or Caucasian"/>
  </r>
  <r>
    <s v="62a557d10f8c8599d5b1a81c"/>
    <s v="anonymous"/>
    <d v="2022-06-11T00:00:00"/>
    <d v="1899-12-30T23:04:00"/>
    <d v="1899-12-30T00:01:35"/>
    <m/>
    <m/>
    <m/>
    <m/>
    <m/>
    <x v="3"/>
    <s v="Yes"/>
    <s v="106k-125k"/>
    <x v="0"/>
    <s v="Finance"/>
    <s v="Python"/>
    <n v="9"/>
    <n v="8"/>
    <n v="10"/>
    <n v="10"/>
    <x v="9"/>
    <x v="2"/>
    <s v="Difficult"/>
    <s v="Remote Work"/>
    <s v="Male"/>
    <n v="29"/>
    <s v="United States"/>
    <s v="Bachelors"/>
    <s v="Asian or Asian American"/>
  </r>
  <r>
    <s v="62a55b05f8d5efcc22fa5b65"/>
    <s v="anonymous"/>
    <d v="2022-06-11T00:00:00"/>
    <d v="1899-12-30T23:18:00"/>
    <d v="1899-12-30T00:04:47"/>
    <m/>
    <m/>
    <m/>
    <m/>
    <m/>
    <x v="2"/>
    <s v="Yes"/>
    <s v="66k-85k"/>
    <x v="6"/>
    <s v="Other"/>
    <s v="R"/>
    <n v="8"/>
    <n v="10"/>
    <n v="10"/>
    <n v="7"/>
    <x v="6"/>
    <x v="5"/>
    <s v="Difficult"/>
    <s v="Other"/>
    <s v="Male"/>
    <n v="30"/>
    <s v="United States"/>
    <s v="Masters"/>
    <s v="White or Caucasian"/>
  </r>
  <r>
    <s v="62a55fe1f8d5efcc22fa5fe4"/>
    <s v="anonymous"/>
    <d v="2022-06-11T00:00:00"/>
    <d v="1899-12-30T23:39:00"/>
    <d v="1899-12-30T00:01:03"/>
    <m/>
    <m/>
    <m/>
    <m/>
    <m/>
    <x v="1"/>
    <s v="No"/>
    <s v="41k-65k"/>
    <x v="1"/>
    <s v="Finance"/>
    <s v="Python"/>
    <n v="0"/>
    <n v="6"/>
    <n v="6"/>
    <n v="6"/>
    <x v="5"/>
    <x v="10"/>
    <s v="Very Easy"/>
    <s v="Better Salary"/>
    <s v="Male"/>
    <n v="24"/>
    <s v="United States"/>
    <s v="Bachelors"/>
    <s v="Black or African American"/>
  </r>
  <r>
    <s v="62a56bc67dc029e2d66e86c0"/>
    <s v="anonymous"/>
    <d v="2022-06-12T00:00:00"/>
    <d v="1899-12-30T00:29:00"/>
    <d v="1899-12-30T00:01:37"/>
    <m/>
    <m/>
    <m/>
    <m/>
    <m/>
    <x v="1"/>
    <s v="Yes"/>
    <s v="225k+"/>
    <x v="7"/>
    <s v="Tech"/>
    <s v="Other"/>
    <n v="3"/>
    <n v="3"/>
    <n v="4"/>
    <n v="4"/>
    <x v="4"/>
    <x v="5"/>
    <s v="Neither easy nor difficult"/>
    <s v="Better Salary"/>
    <s v="Male"/>
    <n v="33"/>
    <s v="United States"/>
    <s v="Bachelors"/>
    <s v="Asian or Asian American"/>
  </r>
  <r>
    <s v="62a57116f408bae018efd56a"/>
    <s v="anonymous"/>
    <d v="2022-06-12T00:00:00"/>
    <d v="1899-12-30T00:52:00"/>
    <d v="1899-12-30T00:01:37"/>
    <m/>
    <m/>
    <m/>
    <m/>
    <m/>
    <x v="0"/>
    <s v="No"/>
    <s v="106k-125k"/>
    <x v="0"/>
    <s v="Other"/>
    <s v="Python"/>
    <n v="10"/>
    <n v="10"/>
    <n v="10"/>
    <n v="10"/>
    <x v="9"/>
    <x v="10"/>
    <s v="Easy"/>
    <s v="Better Salary"/>
    <s v="Female"/>
    <n v="42"/>
    <s v="United States"/>
    <s v="Bachelors"/>
    <s v="White or Caucasian"/>
  </r>
  <r>
    <s v="62a57263cec54911e9ccf648"/>
    <s v="anonymous"/>
    <d v="2022-06-12T00:00:00"/>
    <d v="1899-12-30T00:58:00"/>
    <d v="1899-12-30T00:01:54"/>
    <m/>
    <m/>
    <m/>
    <m/>
    <m/>
    <x v="0"/>
    <s v="Yes"/>
    <s v="41k-65k"/>
    <x v="1"/>
    <s v="Healthcare"/>
    <s v="Python"/>
    <n v="1"/>
    <n v="10"/>
    <n v="10"/>
    <n v="8"/>
    <x v="9"/>
    <x v="1"/>
    <s v="Neither easy nor difficult"/>
    <s v="Better Salary"/>
    <s v="Female"/>
    <n v="36"/>
    <s v="United States"/>
    <s v="Bachelors"/>
    <s v="White or Caucasian"/>
  </r>
  <r>
    <s v="62a574b3b4da29969c658eb4"/>
    <s v="anonymous"/>
    <d v="2022-06-12T00:00:00"/>
    <d v="1899-12-30T01:08:00"/>
    <d v="1899-12-30T00:01:43"/>
    <m/>
    <m/>
    <m/>
    <m/>
    <m/>
    <x v="0"/>
    <s v="Yes"/>
    <s v="41k-65k"/>
    <x v="1"/>
    <s v="Other"/>
    <s v="Python"/>
    <n v="2"/>
    <n v="3"/>
    <n v="7"/>
    <n v="6"/>
    <x v="0"/>
    <x v="10"/>
    <s v="Neither easy nor difficult"/>
    <s v="Better Salary"/>
    <s v="Male"/>
    <n v="27"/>
    <s v="United States"/>
    <s v="Bachelors"/>
    <s v="White or Caucasian"/>
  </r>
  <r>
    <s v="62a58b267dc029e2d66ea3f8"/>
    <s v="anonymous"/>
    <d v="2022-06-12T00:00:00"/>
    <d v="1899-12-30T02:43:00"/>
    <d v="1899-12-30T00:01:35"/>
    <m/>
    <m/>
    <m/>
    <m/>
    <m/>
    <x v="0"/>
    <s v="No"/>
    <s v="0-40k"/>
    <x v="2"/>
    <s v="Tech"/>
    <s v="Python"/>
    <n v="8"/>
    <n v="7"/>
    <n v="8"/>
    <n v="7"/>
    <x v="2"/>
    <x v="6"/>
    <s v="Easy"/>
    <s v="Other"/>
    <s v="Female"/>
    <n v="21"/>
    <s v="India"/>
    <s v="Bachelors"/>
    <s v="Asian or Asian American"/>
  </r>
  <r>
    <s v="62a58d20575fa3a5ae8b6969"/>
    <s v="anonymous"/>
    <d v="2022-06-12T00:00:00"/>
    <d v="1899-12-30T02:52:00"/>
    <d v="1899-12-30T00:01:31"/>
    <m/>
    <m/>
    <m/>
    <m/>
    <m/>
    <x v="0"/>
    <s v="Yes"/>
    <s v="41k-65k"/>
    <x v="1"/>
    <s v="Healthcare"/>
    <s v="Python"/>
    <n v="8"/>
    <n v="5"/>
    <n v="8"/>
    <n v="8"/>
    <x v="0"/>
    <x v="2"/>
    <s v="Difficult"/>
    <s v="Remote Work"/>
    <s v="Female"/>
    <n v="34"/>
    <s v="Other"/>
    <s v="Masters"/>
    <s v="White or Caucasian"/>
  </r>
  <r>
    <s v="62a58faf2e54c9003e55ef2e"/>
    <s v="anonymous"/>
    <d v="2022-06-12T00:00:00"/>
    <d v="1899-12-30T03:03:00"/>
    <d v="1899-12-30T00:01:20"/>
    <m/>
    <m/>
    <m/>
    <m/>
    <m/>
    <x v="4"/>
    <s v="No"/>
    <s v="0-40k"/>
    <x v="2"/>
    <s v="Education"/>
    <s v="Python"/>
    <n v="2"/>
    <n v="5"/>
    <n v="5"/>
    <n v="5"/>
    <x v="8"/>
    <x v="7"/>
    <s v="Difficult"/>
    <s v="Better Salary"/>
    <s v="Male"/>
    <n v="27"/>
    <s v="Other"/>
    <s v="Bachelors"/>
    <s v="White or Caucasian"/>
  </r>
  <r>
    <s v="62a5998fbc6861bf31798ef0"/>
    <s v="anonymous"/>
    <d v="2022-06-12T00:00:00"/>
    <d v="1899-12-30T03:45:00"/>
    <d v="1899-12-30T00:01:58"/>
    <m/>
    <m/>
    <m/>
    <m/>
    <m/>
    <x v="2"/>
    <s v="Yes"/>
    <s v="0-40k"/>
    <x v="2"/>
    <s v="Tech"/>
    <s v="Python"/>
    <n v="7"/>
    <n v="8"/>
    <n v="8"/>
    <n v="8"/>
    <x v="6"/>
    <x v="0"/>
    <s v="Neither easy nor difficult"/>
    <s v="Good Culture"/>
    <s v="Male"/>
    <n v="27"/>
    <s v="Other"/>
    <s v="Masters"/>
    <s v="White or Caucasian"/>
  </r>
  <r>
    <s v="62a59cd2cec54911e9cd251a"/>
    <s v="anonymous"/>
    <d v="2022-06-12T00:00:00"/>
    <d v="1899-12-30T03:59:00"/>
    <d v="1899-12-30T00:03:34"/>
    <m/>
    <m/>
    <m/>
    <m/>
    <m/>
    <x v="4"/>
    <s v="No"/>
    <s v="0-40k"/>
    <x v="2"/>
    <s v="Education"/>
    <s v="R"/>
    <n v="1"/>
    <n v="1"/>
    <n v="2"/>
    <n v="1"/>
    <x v="3"/>
    <x v="1"/>
    <s v="Neither easy nor difficult"/>
    <s v="Good Work/Life Balance"/>
    <s v="Male"/>
    <n v="30"/>
    <s v="Other"/>
    <s v="Associates"/>
    <s v="Other"/>
  </r>
  <r>
    <s v="62a59d007dc029e2d66eb8f9"/>
    <s v="anonymous"/>
    <d v="2022-06-12T00:00:00"/>
    <d v="1899-12-30T04:00:00"/>
    <d v="1899-12-30T00:01:29"/>
    <m/>
    <m/>
    <m/>
    <m/>
    <m/>
    <x v="0"/>
    <s v="Yes"/>
    <s v="66k-85k"/>
    <x v="6"/>
    <s v="Other"/>
    <s v="Other"/>
    <n v="2"/>
    <n v="0"/>
    <n v="0"/>
    <n v="0"/>
    <x v="3"/>
    <x v="4"/>
    <s v="Difficult"/>
    <s v="Better Salary"/>
    <s v="Female"/>
    <n v="33"/>
    <s v="United States"/>
    <s v="Bachelors"/>
    <s v="White or Caucasian"/>
  </r>
  <r>
    <s v="62a5a124cec54911e9cd29f5"/>
    <s v="anonymous"/>
    <d v="2022-06-12T00:00:00"/>
    <d v="1899-12-30T04:17:00"/>
    <d v="1899-12-30T00:01:57"/>
    <m/>
    <m/>
    <m/>
    <m/>
    <m/>
    <x v="0"/>
    <s v="Yes"/>
    <s v="86k-105k"/>
    <x v="5"/>
    <s v="Finance"/>
    <s v="Python"/>
    <n v="3"/>
    <n v="3"/>
    <n v="4"/>
    <n v="4"/>
    <x v="7"/>
    <x v="7"/>
    <s v="Difficult"/>
    <s v="Good Culture"/>
    <s v="Male"/>
    <n v="47"/>
    <s v="India"/>
    <s v="Masters"/>
    <s v="American Indian or Alaska Native"/>
  </r>
  <r>
    <s v="62a5a44b24a26260273af0fc"/>
    <s v="anonymous"/>
    <d v="2022-06-12T00:00:00"/>
    <d v="1899-12-30T04:31:00"/>
    <d v="1899-12-30T00:01:34"/>
    <m/>
    <m/>
    <m/>
    <m/>
    <m/>
    <x v="0"/>
    <s v="Yes"/>
    <s v="66k-85k"/>
    <x v="6"/>
    <s v="Other"/>
    <s v="Other"/>
    <n v="4"/>
    <n v="5"/>
    <n v="4"/>
    <n v="5"/>
    <x v="7"/>
    <x v="7"/>
    <s v="Difficult"/>
    <s v="Other"/>
    <s v="Male"/>
    <n v="27"/>
    <s v="United States"/>
    <s v="Masters"/>
    <s v="Asian or Asian American"/>
  </r>
  <r>
    <s v="62a5a931cec54911e9cd3333"/>
    <s v="anonymous"/>
    <d v="2022-06-12T00:00:00"/>
    <d v="1899-12-30T04:52:00"/>
    <d v="1899-12-30T00:03:19"/>
    <m/>
    <m/>
    <m/>
    <m/>
    <m/>
    <x v="0"/>
    <s v="No"/>
    <s v="0-40k"/>
    <x v="2"/>
    <s v="Healthcare"/>
    <s v="Python"/>
    <n v="6"/>
    <n v="7"/>
    <n v="8"/>
    <n v="7"/>
    <x v="5"/>
    <x v="0"/>
    <s v="Neither easy nor difficult"/>
    <s v="Better Salary"/>
    <s v="Male"/>
    <n v="26"/>
    <s v="India"/>
    <s v="Bachelors"/>
    <s v="Asian or Asian American"/>
  </r>
  <r>
    <s v="62a5bea05d257a28a3106f7e"/>
    <s v="anonymous"/>
    <d v="2022-06-12T00:00:00"/>
    <d v="1899-12-30T06:23:00"/>
    <d v="1899-12-30T00:01:41"/>
    <m/>
    <m/>
    <m/>
    <m/>
    <m/>
    <x v="0"/>
    <s v="No"/>
    <s v="0-40k"/>
    <x v="2"/>
    <s v="Finance"/>
    <s v="Python"/>
    <n v="2"/>
    <n v="3"/>
    <n v="2"/>
    <n v="5"/>
    <x v="0"/>
    <x v="10"/>
    <s v="Neither easy nor difficult"/>
    <s v="Remote Work"/>
    <s v="Female"/>
    <n v="35"/>
    <s v="India"/>
    <s v="Masters"/>
    <s v="Asian or Asian American"/>
  </r>
  <r>
    <s v="62a5c571575fa3a5ae8baaa1"/>
    <s v="anonymous"/>
    <d v="2022-06-12T00:00:00"/>
    <d v="1899-12-30T06:52:00"/>
    <d v="1899-12-30T00:01:11"/>
    <m/>
    <m/>
    <m/>
    <m/>
    <m/>
    <x v="0"/>
    <s v="Yes"/>
    <s v="86k-105k"/>
    <x v="5"/>
    <s v="Education"/>
    <s v="Python"/>
    <n v="0"/>
    <n v="1"/>
    <n v="1"/>
    <n v="0"/>
    <x v="3"/>
    <x v="9"/>
    <s v="Neither easy nor difficult"/>
    <s v="Good Culture"/>
    <s v="Male"/>
    <n v="31"/>
    <s v="United States"/>
    <s v="Masters"/>
    <s v="Hispanic or Latino"/>
  </r>
  <r>
    <s v="62a5cb12cf25554317330d69"/>
    <s v="anonymous"/>
    <d v="2022-06-12T00:00:00"/>
    <d v="1899-12-30T07:16:00"/>
    <d v="1899-12-30T00:03:44"/>
    <m/>
    <m/>
    <m/>
    <m/>
    <m/>
    <x v="0"/>
    <s v="Yes"/>
    <s v="0-40k"/>
    <x v="2"/>
    <s v="Education"/>
    <s v="Python"/>
    <n v="2"/>
    <n v="1"/>
    <n v="2"/>
    <n v="3"/>
    <x v="7"/>
    <x v="1"/>
    <s v="Difficult"/>
    <s v="Remote Work"/>
    <s v="Male"/>
    <n v="25"/>
    <s v="Other"/>
    <s v="Bachelors"/>
    <s v="Black or African American"/>
  </r>
  <r>
    <s v="62a5cba2575fa3a5ae8bb122"/>
    <s v="anonymous"/>
    <d v="2022-06-12T00:00:00"/>
    <d v="1899-12-30T07:18:00"/>
    <d v="1899-12-30T00:02:11"/>
    <m/>
    <m/>
    <m/>
    <m/>
    <m/>
    <x v="1"/>
    <s v="Yes"/>
    <s v="66k-85k"/>
    <x v="6"/>
    <s v="Real Estate"/>
    <s v="Python"/>
    <n v="3"/>
    <n v="10"/>
    <n v="8"/>
    <n v="8"/>
    <x v="9"/>
    <x v="2"/>
    <s v="Easy"/>
    <s v="Remote Work"/>
    <s v="Male"/>
    <n v="27"/>
    <s v="United States"/>
    <s v="Bachelors"/>
    <s v="White or Caucasian"/>
  </r>
  <r>
    <s v="62a5d350f3072dd892652c70"/>
    <s v="anonymous"/>
    <d v="2022-06-12T00:00:00"/>
    <d v="1899-12-30T07:51:00"/>
    <d v="1899-12-30T00:01:57"/>
    <m/>
    <m/>
    <m/>
    <m/>
    <m/>
    <x v="0"/>
    <s v="Yes"/>
    <s v="41k-65k"/>
    <x v="1"/>
    <s v="Tech"/>
    <s v="Python"/>
    <n v="5"/>
    <n v="8"/>
    <n v="3"/>
    <n v="2"/>
    <x v="7"/>
    <x v="8"/>
    <s v="Neither easy nor difficult"/>
    <s v="Good Culture"/>
    <s v="Male"/>
    <n v="32"/>
    <s v="Other"/>
    <s v="Bachelors"/>
    <s v="White or Caucasian"/>
  </r>
  <r>
    <s v="62a5db29cf2555431733248f"/>
    <s v="anonymous"/>
    <d v="2022-06-12T00:00:00"/>
    <d v="1899-12-30T08:25:00"/>
    <d v="1899-12-30T00:02:42"/>
    <m/>
    <m/>
    <m/>
    <m/>
    <m/>
    <x v="4"/>
    <s v="Yes"/>
    <s v="0-40k"/>
    <x v="2"/>
    <s v="Real Estate"/>
    <s v="Python"/>
    <n v="0"/>
    <n v="3"/>
    <n v="3"/>
    <n v="3"/>
    <x v="4"/>
    <x v="10"/>
    <s v="Difficult"/>
    <s v="Good Work/Life Balance"/>
    <s v="Male"/>
    <n v="47"/>
    <s v="Other"/>
    <s v="Bachelors"/>
    <s v="White or Caucasian"/>
  </r>
  <r>
    <s v="62a5e69f24a26260273b42bf"/>
    <s v="anonymous"/>
    <d v="2022-06-12T00:00:00"/>
    <d v="1899-12-30T09:14:00"/>
    <d v="1899-12-30T00:01:31"/>
    <m/>
    <m/>
    <m/>
    <m/>
    <m/>
    <x v="2"/>
    <s v="No"/>
    <s v="66k-85k"/>
    <x v="6"/>
    <s v="Finance"/>
    <s v="Python"/>
    <n v="0"/>
    <n v="10"/>
    <n v="10"/>
    <n v="5"/>
    <x v="3"/>
    <x v="9"/>
    <s v="Neither easy nor difficult"/>
    <s v="Good Work/Life Balance"/>
    <s v="Female"/>
    <n v="30"/>
    <s v="United States"/>
    <s v="Masters"/>
    <s v="Asian or Asian American"/>
  </r>
  <r>
    <s v="62a5ea667dc029e2d66f153d"/>
    <s v="anonymous"/>
    <d v="2022-06-12T00:00:00"/>
    <d v="1899-12-30T09:30:00"/>
    <d v="1899-12-30T00:01:52"/>
    <m/>
    <m/>
    <m/>
    <m/>
    <m/>
    <x v="0"/>
    <s v="Yes"/>
    <s v="106k-125k"/>
    <x v="0"/>
    <s v="Other"/>
    <s v="Python"/>
    <n v="8"/>
    <n v="6"/>
    <n v="6"/>
    <n v="7"/>
    <x v="10"/>
    <x v="2"/>
    <s v="Easy"/>
    <s v="Better Salary"/>
    <s v="Female"/>
    <n v="35"/>
    <s v="United States"/>
    <s v="Masters"/>
    <s v="Black or African American"/>
  </r>
  <r>
    <s v="62a5ebe05d257a28a310ac53"/>
    <s v="anonymous"/>
    <d v="2022-06-12T00:00:00"/>
    <d v="1899-12-30T09:36:00"/>
    <d v="1899-12-30T00:02:16"/>
    <m/>
    <m/>
    <m/>
    <m/>
    <m/>
    <x v="0"/>
    <s v="Yes"/>
    <s v="41k-65k"/>
    <x v="1"/>
    <s v="Finance"/>
    <s v="Python"/>
    <n v="6"/>
    <n v="9"/>
    <n v="5"/>
    <n v="7"/>
    <x v="6"/>
    <x v="6"/>
    <s v="Difficult"/>
    <s v="Remote Work"/>
    <s v="Male"/>
    <n v="25"/>
    <s v="United States"/>
    <s v="High School"/>
    <s v="Hispanic or Latino"/>
  </r>
  <r>
    <s v="62a5edb2575fa3a5ae8bdba5"/>
    <s v="anonymous"/>
    <d v="2022-06-12T00:00:00"/>
    <d v="1899-12-30T09:44:00"/>
    <d v="1899-12-30T00:03:02"/>
    <m/>
    <m/>
    <m/>
    <m/>
    <m/>
    <x v="2"/>
    <s v="No"/>
    <s v="66k-85k"/>
    <x v="6"/>
    <s v="Other"/>
    <s v="Python"/>
    <n v="3"/>
    <n v="6"/>
    <n v="6"/>
    <n v="6"/>
    <x v="5"/>
    <x v="10"/>
    <s v="Neither easy nor difficult"/>
    <s v="Better Salary"/>
    <s v="Male"/>
    <n v="27"/>
    <s v="United States"/>
    <s v="Bachelors"/>
    <s v="White or Caucasian"/>
  </r>
  <r>
    <s v="62a5edba0a77c1a77f68f1b5"/>
    <s v="anonymous"/>
    <d v="2022-06-12T00:00:00"/>
    <d v="1899-12-30T09:44:00"/>
    <d v="1899-12-30T00:01:20"/>
    <m/>
    <m/>
    <m/>
    <m/>
    <m/>
    <x v="0"/>
    <s v="Yes"/>
    <s v="41k-65k"/>
    <x v="1"/>
    <s v="Healthcare"/>
    <s v="R"/>
    <n v="1"/>
    <n v="5"/>
    <n v="3"/>
    <n v="3"/>
    <x v="5"/>
    <x v="5"/>
    <s v="Difficult"/>
    <s v="Remote Work"/>
    <s v="Female"/>
    <n v="27"/>
    <s v="United States"/>
    <s v="Masters"/>
    <s v="Black or African American"/>
  </r>
  <r>
    <s v="62a5f332bc6861bf3179f631"/>
    <s v="anonymous"/>
    <d v="2022-06-12T00:00:00"/>
    <d v="1899-12-30T10:07:00"/>
    <d v="1899-12-30T00:01:52"/>
    <m/>
    <m/>
    <m/>
    <m/>
    <m/>
    <x v="4"/>
    <s v="No"/>
    <s v="0-40k"/>
    <x v="2"/>
    <s v="Other"/>
    <s v="Python"/>
    <n v="1"/>
    <n v="8"/>
    <n v="8"/>
    <n v="1"/>
    <x v="4"/>
    <x v="0"/>
    <s v="Very Easy"/>
    <s v="Better Salary"/>
    <s v="Female"/>
    <n v="23"/>
    <s v="India"/>
    <s v="Masters"/>
    <s v="Asian or Asian American"/>
  </r>
  <r>
    <s v="62a5f872bae91e4b8b861e53"/>
    <s v="anonymous"/>
    <d v="2022-06-12T00:00:00"/>
    <d v="1899-12-30T10:30:00"/>
    <d v="1899-12-30T00:02:10"/>
    <m/>
    <m/>
    <m/>
    <m/>
    <m/>
    <x v="3"/>
    <s v="No"/>
    <s v="41k-65k"/>
    <x v="1"/>
    <s v="Other"/>
    <s v="Python"/>
    <n v="9"/>
    <n v="10"/>
    <n v="10"/>
    <n v="10"/>
    <x v="9"/>
    <x v="2"/>
    <s v="Neither easy nor difficult"/>
    <s v="Good Culture"/>
    <s v="Male"/>
    <n v="18"/>
    <s v="United States"/>
    <s v="Bachelors"/>
    <s v="White or Caucasian"/>
  </r>
  <r>
    <s v="62a609b8f8f75616458875b7"/>
    <s v="anonymous"/>
    <d v="2022-06-12T00:00:00"/>
    <d v="1899-12-30T11:43:00"/>
    <d v="1899-12-30T00:01:42"/>
    <m/>
    <m/>
    <m/>
    <m/>
    <m/>
    <x v="0"/>
    <s v="Yes"/>
    <s v="0-40k"/>
    <x v="2"/>
    <s v="Healthcare"/>
    <s v="Python"/>
    <n v="8"/>
    <n v="10"/>
    <n v="9"/>
    <n v="6"/>
    <x v="6"/>
    <x v="6"/>
    <s v="Easy"/>
    <s v="Remote Work"/>
    <s v="Female"/>
    <n v="28"/>
    <s v="Other"/>
    <s v="Masters"/>
    <s v="Hispanic or Latino"/>
  </r>
  <r>
    <s v="62a609c4bc6861bf317a10a3"/>
    <s v="anonymous"/>
    <d v="2022-06-12T00:00:00"/>
    <d v="1899-12-30T11:44:00"/>
    <d v="1899-12-30T00:01:20"/>
    <m/>
    <m/>
    <m/>
    <m/>
    <m/>
    <x v="2"/>
    <s v="Yes"/>
    <s v="125k-150k"/>
    <x v="4"/>
    <s v="Healthcare"/>
    <s v="Python"/>
    <n v="7"/>
    <n v="6"/>
    <n v="8"/>
    <n v="8"/>
    <x v="6"/>
    <x v="0"/>
    <s v="Easy"/>
    <s v="Remote Work"/>
    <s v="Male"/>
    <n v="28"/>
    <s v="United States"/>
    <s v="Bachelors"/>
    <s v="White or Caucasian"/>
  </r>
  <r>
    <s v="62a61076f8f7561645887ded"/>
    <s v="anonymous"/>
    <d v="2022-06-12T00:00:00"/>
    <d v="1899-12-30T12:12:00"/>
    <d v="1899-12-30T00:01:35"/>
    <m/>
    <m/>
    <m/>
    <m/>
    <m/>
    <x v="4"/>
    <s v="No"/>
    <s v="0-40k"/>
    <x v="2"/>
    <s v="Other"/>
    <s v="Python"/>
    <n v="0"/>
    <n v="0"/>
    <n v="0"/>
    <n v="0"/>
    <x v="3"/>
    <x v="9"/>
    <s v="Easy"/>
    <s v="Good Work/Life Balance"/>
    <s v="Female"/>
    <n v="26"/>
    <s v="United States"/>
    <s v="Bachelors"/>
    <s v="American Indian or Alaska Native"/>
  </r>
  <r>
    <s v="62a615fd18134ddc75d1f1fa"/>
    <s v="anonymous"/>
    <d v="2022-06-12T00:00:00"/>
    <d v="1899-12-30T12:36:00"/>
    <d v="1899-12-30T00:01:57"/>
    <m/>
    <m/>
    <m/>
    <m/>
    <m/>
    <x v="4"/>
    <s v="No"/>
    <s v="0-40k"/>
    <x v="2"/>
    <s v="Education"/>
    <s v="Python"/>
    <n v="0"/>
    <n v="0"/>
    <n v="3"/>
    <n v="0"/>
    <x v="3"/>
    <x v="8"/>
    <s v="Difficult"/>
    <s v="Better Salary"/>
    <s v="Male"/>
    <n v="27"/>
    <s v="Other"/>
    <s v="Bachelors"/>
    <s v="Black or African American"/>
  </r>
  <r>
    <s v="62a617c30a77c1a77f6925fc"/>
    <s v="anonymous"/>
    <d v="2022-06-12T00:00:00"/>
    <d v="1899-12-30T12:43:00"/>
    <d v="1899-12-30T00:02:48"/>
    <m/>
    <m/>
    <m/>
    <m/>
    <m/>
    <x v="0"/>
    <s v="No"/>
    <s v="41k-65k"/>
    <x v="1"/>
    <s v="Tech"/>
    <s v="Python"/>
    <n v="9"/>
    <n v="7"/>
    <n v="9"/>
    <n v="10"/>
    <x v="9"/>
    <x v="2"/>
    <s v="Neither easy nor difficult"/>
    <s v="Good Work/Life Balance"/>
    <s v="Female"/>
    <n v="22"/>
    <s v="India"/>
    <s v="Masters"/>
    <s v="Asian or Asian American"/>
  </r>
  <r>
    <s v="62a618a9d8c00e9f541d3537"/>
    <s v="anonymous"/>
    <d v="2022-06-12T00:00:00"/>
    <d v="1899-12-30T12:47:00"/>
    <d v="1899-12-30T00:01:56"/>
    <m/>
    <m/>
    <m/>
    <m/>
    <m/>
    <x v="0"/>
    <s v="Yes"/>
    <s v="0-40k"/>
    <x v="2"/>
    <s v="Tech"/>
    <s v="R"/>
    <n v="0"/>
    <n v="8"/>
    <n v="7"/>
    <n v="6"/>
    <x v="4"/>
    <x v="6"/>
    <s v="Very Difficult"/>
    <s v="Better Salary"/>
    <s v="Male"/>
    <n v="27"/>
    <s v="United States"/>
    <s v="High School"/>
    <s v="White or Caucasian"/>
  </r>
  <r>
    <s v="62a61eb02e54c9003e5697f7"/>
    <s v="anonymous"/>
    <d v="2022-06-12T00:00:00"/>
    <d v="1899-12-30T13:13:00"/>
    <d v="1899-12-30T00:01:43"/>
    <m/>
    <m/>
    <m/>
    <m/>
    <m/>
    <x v="1"/>
    <s v="Yes"/>
    <s v="0-40k"/>
    <x v="2"/>
    <s v="Other"/>
    <s v="Python"/>
    <n v="5"/>
    <n v="7"/>
    <n v="6"/>
    <n v="8"/>
    <x v="2"/>
    <x v="0"/>
    <s v="Neither easy nor difficult"/>
    <s v="Good Work/Life Balance"/>
    <s v="Male"/>
    <n v="28"/>
    <s v="India"/>
    <s v="Bachelors"/>
    <s v="Asian or Asian American"/>
  </r>
  <r>
    <s v="62a6246df3072dd892659218"/>
    <s v="anonymous"/>
    <d v="2022-06-12T00:00:00"/>
    <d v="1899-12-30T13:37:00"/>
    <d v="1899-12-30T00:01:46"/>
    <m/>
    <m/>
    <m/>
    <m/>
    <m/>
    <x v="0"/>
    <s v="Yes"/>
    <s v="0-40k"/>
    <x v="2"/>
    <s v="Tech"/>
    <s v="Python"/>
    <n v="3"/>
    <n v="2"/>
    <n v="4"/>
    <n v="3"/>
    <x v="4"/>
    <x v="1"/>
    <s v="Neither easy nor difficult"/>
    <s v="Better Salary"/>
    <s v="Male"/>
    <n v="25"/>
    <s v="Other"/>
    <s v="High School"/>
    <s v="Black or African American"/>
  </r>
  <r>
    <s v="62a62a7124a26260273b94fa"/>
    <s v="anonymous"/>
    <d v="2022-06-12T00:00:00"/>
    <d v="1899-12-30T14:03:00"/>
    <d v="1899-12-30T00:01:52"/>
    <m/>
    <m/>
    <m/>
    <m/>
    <m/>
    <x v="0"/>
    <s v="No"/>
    <s v="0-40k"/>
    <x v="2"/>
    <s v="Healthcare"/>
    <s v="Python"/>
    <n v="2"/>
    <n v="6"/>
    <n v="6"/>
    <n v="7"/>
    <x v="2"/>
    <x v="6"/>
    <s v="Difficult"/>
    <s v="Better Salary"/>
    <s v="Male"/>
    <n v="32"/>
    <s v="United Kingdom"/>
    <s v="Bachelors"/>
    <s v="Hispanic or Latino"/>
  </r>
  <r>
    <s v="62a631782e54c9003e56ac36"/>
    <s v="anonymous"/>
    <d v="2022-06-12T00:00:00"/>
    <d v="1899-12-30T14:33:00"/>
    <d v="1899-12-30T00:10:34"/>
    <m/>
    <m/>
    <m/>
    <m/>
    <m/>
    <x v="4"/>
    <s v="Yes"/>
    <s v="0-40k"/>
    <x v="2"/>
    <s v="Finance"/>
    <s v="Other"/>
    <n v="7"/>
    <n v="9"/>
    <n v="10"/>
    <n v="10"/>
    <x v="4"/>
    <x v="7"/>
    <s v="Easy"/>
    <s v="Remote Work"/>
    <s v="Male"/>
    <n v="33"/>
    <s v="Other"/>
    <s v="Bachelors"/>
    <s v="White or Caucasian"/>
  </r>
  <r>
    <s v="62a633b4d8c00e9f541d54a4"/>
    <s v="anonymous"/>
    <d v="2022-06-12T00:00:00"/>
    <d v="1899-12-30T14:43:00"/>
    <d v="1899-12-30T00:02:53"/>
    <m/>
    <m/>
    <m/>
    <m/>
    <m/>
    <x v="0"/>
    <s v="No"/>
    <s v="41k-65k"/>
    <x v="1"/>
    <s v="Other"/>
    <s v="Python"/>
    <n v="5"/>
    <n v="6"/>
    <n v="5"/>
    <n v="2"/>
    <x v="4"/>
    <x v="1"/>
    <s v="Easy"/>
    <s v="Remote Work"/>
    <s v="Male"/>
    <n v="23"/>
    <s v="Canada"/>
    <s v="Masters"/>
    <s v="Black or African American"/>
  </r>
  <r>
    <s v="62a639e05d257a28a3110ef5"/>
    <s v="anonymous"/>
    <d v="2022-06-12T00:00:00"/>
    <d v="1899-12-30T15:09:00"/>
    <d v="1899-12-30T00:01:49"/>
    <m/>
    <m/>
    <m/>
    <m/>
    <m/>
    <x v="4"/>
    <s v="Yes"/>
    <s v="0-40k"/>
    <x v="2"/>
    <s v="Finance"/>
    <s v="R"/>
    <n v="4"/>
    <n v="5"/>
    <n v="4"/>
    <n v="4"/>
    <x v="0"/>
    <x v="10"/>
    <s v="Neither easy nor difficult"/>
    <s v="Remote Work"/>
    <s v="Female"/>
    <n v="40"/>
    <s v="Other"/>
    <s v="Bachelors"/>
    <s v="Black or African American"/>
  </r>
  <r>
    <s v="62a642690f8c8599d5b2ab37"/>
    <s v="anonymous"/>
    <d v="2022-06-12T00:00:00"/>
    <d v="1899-12-30T15:45:00"/>
    <d v="1899-12-30T00:02:39"/>
    <m/>
    <m/>
    <m/>
    <m/>
    <m/>
    <x v="0"/>
    <s v="Yes"/>
    <s v="41k-65k"/>
    <x v="1"/>
    <s v="Other"/>
    <s v="Python"/>
    <n v="7"/>
    <n v="9"/>
    <n v="9"/>
    <n v="9"/>
    <x v="2"/>
    <x v="6"/>
    <s v="Easy"/>
    <s v="Better Salary"/>
    <s v="Female"/>
    <n v="28"/>
    <s v="United Kingdom"/>
    <s v="Bachelors"/>
    <s v="Asian or Asian American"/>
  </r>
  <r>
    <s v="62a64b4dd8c00e9f541d6d81"/>
    <s v="anonymous"/>
    <d v="2022-06-12T00:00:00"/>
    <d v="1899-12-30T16:23:00"/>
    <d v="1899-12-30T00:03:50"/>
    <m/>
    <m/>
    <m/>
    <m/>
    <m/>
    <x v="0"/>
    <s v="No"/>
    <s v="0-40k"/>
    <x v="2"/>
    <s v="Real Estate"/>
    <s v="R"/>
    <n v="3"/>
    <n v="7"/>
    <n v="8"/>
    <n v="6"/>
    <x v="5"/>
    <x v="6"/>
    <s v="Difficult"/>
    <s v="Remote Work"/>
    <s v="Male"/>
    <n v="26"/>
    <s v="Other"/>
    <s v="High School"/>
    <s v="Black or African American"/>
  </r>
  <r>
    <s v="62a64c6ecf2555431733a7a4"/>
    <s v="anonymous"/>
    <d v="2022-06-12T00:00:00"/>
    <d v="1899-12-30T16:28:00"/>
    <d v="1899-12-30T00:03:59"/>
    <m/>
    <m/>
    <m/>
    <m/>
    <m/>
    <x v="2"/>
    <s v="Yes"/>
    <s v="0-40k"/>
    <x v="2"/>
    <s v="Tech"/>
    <s v="Python"/>
    <n v="3"/>
    <n v="5"/>
    <n v="5"/>
    <n v="4"/>
    <x v="4"/>
    <x v="4"/>
    <s v="Difficult"/>
    <s v="Better Salary"/>
    <s v="Female"/>
    <n v="24"/>
    <s v="India"/>
    <s v="Bachelors"/>
    <s v="Asian or Asian American"/>
  </r>
  <r>
    <s v="62a654165d257a28a3112ac9"/>
    <s v="anonymous"/>
    <d v="2022-06-12T00:00:00"/>
    <d v="1899-12-30T17:01:00"/>
    <d v="1899-12-30T00:02:04"/>
    <m/>
    <m/>
    <m/>
    <m/>
    <m/>
    <x v="2"/>
    <s v="Yes"/>
    <s v="86k-105k"/>
    <x v="5"/>
    <s v="Finance"/>
    <s v="Python"/>
    <n v="7"/>
    <n v="5"/>
    <n v="5"/>
    <n v="8"/>
    <x v="6"/>
    <x v="8"/>
    <s v="Neither easy nor difficult"/>
    <s v="Remote Work"/>
    <s v="Female"/>
    <n v="40"/>
    <s v="United States"/>
    <s v="Associates"/>
    <s v="Other"/>
  </r>
  <r>
    <s v="62a65618d8c00e9f541d783a"/>
    <s v="anonymous"/>
    <d v="2022-06-12T00:00:00"/>
    <d v="1899-12-30T17:09:00"/>
    <d v="1899-12-30T00:01:46"/>
    <m/>
    <m/>
    <m/>
    <m/>
    <m/>
    <x v="0"/>
    <s v="Yes"/>
    <s v="66k-85k"/>
    <x v="6"/>
    <s v="Other"/>
    <s v="Python"/>
    <n v="8"/>
    <n v="10"/>
    <n v="10"/>
    <n v="10"/>
    <x v="2"/>
    <x v="6"/>
    <s v="Neither easy nor difficult"/>
    <s v="Better Salary"/>
    <s v="Male"/>
    <n v="26"/>
    <s v="United States"/>
    <s v="Bachelors"/>
    <s v="Black or African American"/>
  </r>
  <r>
    <s v="62a65db824a26260273bc9ff"/>
    <s v="anonymous"/>
    <d v="2022-06-12T00:00:00"/>
    <d v="1899-12-30T17:42:00"/>
    <d v="1899-12-30T00:02:29"/>
    <m/>
    <m/>
    <m/>
    <m/>
    <m/>
    <x v="3"/>
    <s v="Yes"/>
    <s v="41k-65k"/>
    <x v="1"/>
    <s v="Other"/>
    <s v="Python"/>
    <n v="8"/>
    <n v="8"/>
    <n v="10"/>
    <n v="10"/>
    <x v="9"/>
    <x v="2"/>
    <s v="Easy"/>
    <s v="Good Culture"/>
    <s v="Female"/>
    <n v="44"/>
    <s v="United Kingdom"/>
    <s v="Bachelors"/>
    <s v="White or Caucasian"/>
  </r>
  <r>
    <s v="62a66558cf2555431733c0f9"/>
    <s v="anonymous"/>
    <d v="2022-06-12T00:00:00"/>
    <d v="1899-12-30T18:14:00"/>
    <d v="1899-12-30T00:01:58"/>
    <m/>
    <m/>
    <m/>
    <m/>
    <m/>
    <x v="2"/>
    <s v="Yes"/>
    <s v="66k-85k"/>
    <x v="6"/>
    <s v="Other"/>
    <s v="Python"/>
    <n v="7"/>
    <n v="9"/>
    <n v="8"/>
    <n v="8"/>
    <x v="5"/>
    <x v="10"/>
    <s v="Neither easy nor difficult"/>
    <s v="Better Salary"/>
    <s v="Male"/>
    <n v="36"/>
    <s v="United States"/>
    <s v="Masters"/>
    <s v="White or Caucasian"/>
  </r>
  <r>
    <s v="62a6772c18134ddc75d25895"/>
    <s v="anonymous"/>
    <d v="2022-06-12T00:00:00"/>
    <d v="1899-12-30T19:30:00"/>
    <d v="1899-12-30T00:01:37"/>
    <m/>
    <m/>
    <m/>
    <m/>
    <m/>
    <x v="2"/>
    <s v="Yes"/>
    <s v="0-40k"/>
    <x v="2"/>
    <s v="Other"/>
    <s v="Python"/>
    <n v="1"/>
    <n v="5"/>
    <n v="10"/>
    <n v="10"/>
    <x v="6"/>
    <x v="2"/>
    <s v="Neither easy nor difficult"/>
    <s v="Better Salary"/>
    <s v="Male"/>
    <n v="30"/>
    <s v="Other"/>
    <s v="Bachelors"/>
    <s v="Hispanic or Latino"/>
  </r>
  <r>
    <s v="62a68f1e0a77c1a77f69a381"/>
    <s v="anonymous"/>
    <d v="2022-06-12T00:00:00"/>
    <d v="1899-12-30T21:13:00"/>
    <d v="1899-12-30T00:04:36"/>
    <m/>
    <m/>
    <m/>
    <m/>
    <m/>
    <x v="2"/>
    <s v="Yes"/>
    <s v="0-40k"/>
    <x v="2"/>
    <s v="Other"/>
    <s v="Python"/>
    <n v="3"/>
    <n v="3"/>
    <n v="3"/>
    <n v="2"/>
    <x v="8"/>
    <x v="4"/>
    <s v="Very Easy"/>
    <s v="Good Work/Life Balance"/>
    <s v="Male"/>
    <n v="48"/>
    <s v="Other"/>
    <s v="Masters"/>
    <s v="Other"/>
  </r>
  <r>
    <s v="62a6a11a0a77c1a77f69b7cb"/>
    <s v="anonymous"/>
    <d v="2022-06-12T00:00:00"/>
    <d v="1899-12-30T22:29:00"/>
    <d v="1899-12-30T00:03:16"/>
    <m/>
    <m/>
    <m/>
    <m/>
    <m/>
    <x v="0"/>
    <s v="Yes"/>
    <s v="41k-65k"/>
    <x v="1"/>
    <s v="Construction"/>
    <s v="Other"/>
    <n v="1"/>
    <n v="4"/>
    <n v="1"/>
    <n v="2"/>
    <x v="8"/>
    <x v="1"/>
    <s v="Easy"/>
    <s v="Better Salary"/>
    <s v="Female"/>
    <n v="30"/>
    <s v="Canada"/>
    <s v="Masters"/>
    <s v="Asian or Asian American"/>
  </r>
  <r>
    <s v="62a6ac1524a26260273c1cd0"/>
    <s v="anonymous"/>
    <d v="2022-06-12T00:00:00"/>
    <d v="1899-12-30T23:16:00"/>
    <d v="1899-12-30T00:04:53"/>
    <m/>
    <m/>
    <m/>
    <m/>
    <m/>
    <x v="2"/>
    <s v="No"/>
    <s v="0-40k"/>
    <x v="2"/>
    <s v="Telecommunication"/>
    <s v="Python"/>
    <n v="3"/>
    <n v="8"/>
    <n v="8"/>
    <n v="5"/>
    <x v="4"/>
    <x v="5"/>
    <s v="Difficult"/>
    <s v="Better Salary"/>
    <s v="Male"/>
    <n v="28"/>
    <s v="India"/>
    <s v="Bachelors"/>
    <s v="Other"/>
  </r>
  <r>
    <s v="62a6b0790a77c1a77f69cb15"/>
    <s v="anonymous"/>
    <d v="2022-06-12T00:00:00"/>
    <d v="1899-12-30T23:35:00"/>
    <d v="1899-12-30T00:01:58"/>
    <m/>
    <m/>
    <m/>
    <m/>
    <m/>
    <x v="2"/>
    <s v="No"/>
    <s v="0-40k"/>
    <x v="2"/>
    <s v="Tech"/>
    <s v="Python"/>
    <n v="5"/>
    <n v="8"/>
    <n v="7"/>
    <n v="7"/>
    <x v="4"/>
    <x v="4"/>
    <s v="Difficult"/>
    <s v="Better Salary"/>
    <s v="Male"/>
    <n v="25"/>
    <s v="India"/>
    <s v="Bachelors"/>
    <s v="Other"/>
  </r>
  <r>
    <s v="62a6bc6a18134ddc75d2a726"/>
    <s v="anonymous"/>
    <d v="2022-06-13T00:00:00"/>
    <d v="1899-12-30T00:26:00"/>
    <d v="1899-12-30T00:01:30"/>
    <m/>
    <m/>
    <m/>
    <m/>
    <m/>
    <x v="2"/>
    <s v="No"/>
    <s v="106k-125k"/>
    <x v="0"/>
    <s v="Tech"/>
    <s v="Other"/>
    <n v="6"/>
    <n v="5"/>
    <n v="4"/>
    <n v="4"/>
    <x v="4"/>
    <x v="7"/>
    <s v="Easy"/>
    <s v="Better Salary"/>
    <s v="Male"/>
    <n v="24"/>
    <s v="United States"/>
    <s v="Masters"/>
    <s v="American Indian or Alaska Native"/>
  </r>
  <r>
    <s v="62a6c3d9cec54911e9ce7669"/>
    <s v="anonymous"/>
    <d v="2022-06-13T00:00:00"/>
    <d v="1899-12-30T00:58:00"/>
    <d v="1899-12-30T00:02:51"/>
    <m/>
    <m/>
    <m/>
    <m/>
    <m/>
    <x v="0"/>
    <s v="Yes"/>
    <s v="41k-65k"/>
    <x v="1"/>
    <s v="Other"/>
    <s v="Python"/>
    <n v="5"/>
    <n v="10"/>
    <n v="7"/>
    <n v="7"/>
    <x v="7"/>
    <x v="8"/>
    <s v="Easy"/>
    <s v="Better Salary"/>
    <s v="Male"/>
    <n v="31"/>
    <s v="United States"/>
    <s v="Bachelors"/>
    <s v="Black or African American"/>
  </r>
  <r>
    <s v="62a6d037cec54911e9ce862a"/>
    <s v="anonymous"/>
    <d v="2022-06-13T00:00:00"/>
    <d v="1899-12-30T01:50:00"/>
    <d v="1899-12-30T00:01:47"/>
    <m/>
    <m/>
    <m/>
    <m/>
    <m/>
    <x v="1"/>
    <s v="No"/>
    <s v="0-40k"/>
    <x v="2"/>
    <s v="Real Estate"/>
    <s v="Python"/>
    <n v="3"/>
    <n v="3"/>
    <n v="8"/>
    <n v="9"/>
    <x v="0"/>
    <x v="1"/>
    <s v="Easy"/>
    <s v="Better Salary"/>
    <s v="Male"/>
    <n v="23"/>
    <s v="United Kingdom"/>
    <s v="Bachelors"/>
    <s v="Other"/>
  </r>
  <r>
    <s v="62a6d2532e54c9003e575d9c"/>
    <s v="anonymous"/>
    <d v="2022-06-13T00:00:00"/>
    <d v="1899-12-30T01:59:00"/>
    <d v="1899-12-30T00:03:06"/>
    <m/>
    <m/>
    <m/>
    <m/>
    <m/>
    <x v="0"/>
    <s v="No"/>
    <s v="41k-65k"/>
    <x v="1"/>
    <s v="Other"/>
    <s v="Other"/>
    <n v="1"/>
    <n v="4"/>
    <n v="4"/>
    <n v="1"/>
    <x v="1"/>
    <x v="7"/>
    <s v="Easy"/>
    <s v="Good Culture"/>
    <s v="Female"/>
    <n v="48"/>
    <s v="United Kingdom"/>
    <s v="Masters"/>
    <s v="White or Caucasian"/>
  </r>
  <r>
    <s v="62a6dbcad8c00e9f541e1050"/>
    <s v="anonymous"/>
    <d v="2022-06-13T00:00:00"/>
    <d v="1899-12-30T02:40:00"/>
    <d v="1899-12-30T00:01:00"/>
    <m/>
    <m/>
    <m/>
    <m/>
    <m/>
    <x v="0"/>
    <s v="Yes"/>
    <s v="66k-85k"/>
    <x v="6"/>
    <s v="Healthcare"/>
    <s v="Python"/>
    <n v="6"/>
    <n v="9"/>
    <n v="8"/>
    <n v="8"/>
    <x v="6"/>
    <x v="0"/>
    <s v="Neither easy nor difficult"/>
    <s v="Better Salary"/>
    <s v="Male"/>
    <n v="28"/>
    <s v="United States"/>
    <s v="Bachelors"/>
    <s v="Black or African American"/>
  </r>
  <r>
    <s v="62a6e2815d257a28a311c8f9"/>
    <s v="anonymous"/>
    <d v="2022-06-13T00:00:00"/>
    <d v="1899-12-30T03:08:00"/>
    <d v="1899-12-30T00:02:04"/>
    <m/>
    <m/>
    <m/>
    <m/>
    <m/>
    <x v="0"/>
    <s v="Yes"/>
    <s v="41k-65k"/>
    <x v="1"/>
    <s v="Other"/>
    <s v="Python"/>
    <n v="5"/>
    <n v="7"/>
    <n v="7"/>
    <n v="7"/>
    <x v="2"/>
    <x v="0"/>
    <s v="Difficult"/>
    <s v="Better Salary"/>
    <s v="Male"/>
    <n v="32"/>
    <s v="United Kingdom"/>
    <s v="Masters"/>
    <s v="Hispanic or Latino"/>
  </r>
  <r>
    <s v="62a6ea03d8c00e9f541e3594"/>
    <s v="anonymous"/>
    <d v="2022-06-13T00:00:00"/>
    <d v="1899-12-30T03:40:00"/>
    <d v="1899-12-30T00:04:45"/>
    <m/>
    <m/>
    <m/>
    <m/>
    <m/>
    <x v="3"/>
    <s v="Yes"/>
    <s v="41k-65k"/>
    <x v="1"/>
    <s v="Finance"/>
    <s v="Python"/>
    <n v="5"/>
    <n v="7"/>
    <n v="7"/>
    <n v="4"/>
    <x v="0"/>
    <x v="0"/>
    <s v="Neither easy nor difficult"/>
    <s v="Better Salary"/>
    <s v="Male"/>
    <n v="30"/>
    <s v="Other"/>
    <s v="Bachelors"/>
    <s v="Asian or Asian American"/>
  </r>
  <r>
    <s v="62a7029ff8f7561645899bae"/>
    <s v="anonymous"/>
    <d v="2022-06-13T00:00:00"/>
    <d v="1899-12-30T05:25:00"/>
    <d v="1899-12-30T00:03:29"/>
    <m/>
    <m/>
    <m/>
    <m/>
    <m/>
    <x v="0"/>
    <s v="Yes"/>
    <s v="0-40k"/>
    <x v="2"/>
    <s v="Other"/>
    <s v="Python"/>
    <n v="5"/>
    <n v="5"/>
    <n v="7"/>
    <n v="7"/>
    <x v="2"/>
    <x v="8"/>
    <s v="Neither easy nor difficult"/>
    <s v="Good Work/Life Balance"/>
    <s v="Male"/>
    <n v="32"/>
    <s v="Other"/>
    <s v="Masters"/>
    <s v="White or Caucasian"/>
  </r>
  <r>
    <s v="62a7047c24a26260273c9646"/>
    <s v="anonymous"/>
    <d v="2022-06-13T00:00:00"/>
    <d v="1899-12-30T05:33:00"/>
    <d v="1899-12-30T00:01:50"/>
    <m/>
    <m/>
    <m/>
    <m/>
    <m/>
    <x v="0"/>
    <s v="Yes"/>
    <s v="0-40k"/>
    <x v="2"/>
    <s v="Tech"/>
    <s v="Python"/>
    <n v="0"/>
    <n v="3"/>
    <n v="0"/>
    <n v="1"/>
    <x v="3"/>
    <x v="9"/>
    <s v="Easy"/>
    <s v="Good Culture"/>
    <s v="Female"/>
    <n v="30"/>
    <s v="Other"/>
    <s v="Masters"/>
    <s v="Other"/>
  </r>
  <r>
    <s v="62a70b55cec54911e9cedd98"/>
    <s v="anonymous"/>
    <d v="2022-06-13T00:00:00"/>
    <d v="1899-12-30T06:03:00"/>
    <d v="1899-12-30T00:02:49"/>
    <m/>
    <m/>
    <m/>
    <m/>
    <m/>
    <x v="0"/>
    <s v="Yes"/>
    <s v="0-40k"/>
    <x v="2"/>
    <s v="Other"/>
    <s v="Python"/>
    <n v="4"/>
    <n v="2"/>
    <n v="5"/>
    <n v="2"/>
    <x v="7"/>
    <x v="7"/>
    <s v="Neither easy nor difficult"/>
    <s v="Good Work/Life Balance"/>
    <s v="Female"/>
    <n v="35"/>
    <s v="Other"/>
    <s v="Masters"/>
    <s v="White or Caucasian"/>
  </r>
  <r>
    <s v="62a71930bae91e4b8b878b2b"/>
    <s v="anonymous"/>
    <d v="2022-06-13T00:00:00"/>
    <d v="1899-12-30T07:02:00"/>
    <d v="1899-12-30T00:03:13"/>
    <m/>
    <m/>
    <m/>
    <m/>
    <m/>
    <x v="4"/>
    <s v="Yes"/>
    <s v="0-40k"/>
    <x v="2"/>
    <s v="Tech"/>
    <s v="R"/>
    <s v="null"/>
    <m/>
    <m/>
    <m/>
    <x v="11"/>
    <x v="2"/>
    <s v="Easy"/>
    <s v="Remote Work"/>
    <s v="Female"/>
    <n v="38"/>
    <s v="United Kingdom"/>
    <s v="Masters"/>
    <s v="Black or African American"/>
  </r>
  <r>
    <s v="62a73a37f8d5efcc22fcb724"/>
    <s v="anonymous"/>
    <d v="2022-06-13T00:00:00"/>
    <d v="1899-12-30T09:23:00"/>
    <d v="1899-12-30T00:01:09"/>
    <m/>
    <m/>
    <m/>
    <m/>
    <m/>
    <x v="2"/>
    <s v="Yes"/>
    <s v="66k-85k"/>
    <x v="6"/>
    <s v="Other"/>
    <s v="Python"/>
    <n v="6"/>
    <n v="6"/>
    <n v="7"/>
    <n v="7"/>
    <x v="5"/>
    <x v="0"/>
    <s v="Easy"/>
    <s v="Good Culture"/>
    <s v="Female"/>
    <n v="30"/>
    <s v="United States"/>
    <s v="Masters"/>
    <s v="Asian or Asian American"/>
  </r>
  <r>
    <s v="62a73aa824a26260273d0172"/>
    <s v="anonymous"/>
    <d v="2022-06-13T00:00:00"/>
    <d v="1899-12-30T09:24:00"/>
    <d v="1899-12-30T00:01:26"/>
    <m/>
    <m/>
    <m/>
    <m/>
    <m/>
    <x v="0"/>
    <s v="Yes"/>
    <s v="41k-65k"/>
    <x v="1"/>
    <s v="Tech"/>
    <s v="Python"/>
    <n v="3"/>
    <n v="3"/>
    <n v="5"/>
    <n v="4"/>
    <x v="7"/>
    <x v="7"/>
    <s v="Neither easy nor difficult"/>
    <s v="Better Salary"/>
    <s v="Male"/>
    <n v="48"/>
    <s v="United States"/>
    <s v="Bachelors"/>
    <s v="White or Caucasian"/>
  </r>
  <r>
    <s v="62a73c5b0a77c1a77f6aba65"/>
    <s v="anonymous"/>
    <d v="2022-06-13T00:00:00"/>
    <d v="1899-12-30T09:32:00"/>
    <d v="1899-12-30T00:01:26"/>
    <m/>
    <m/>
    <m/>
    <m/>
    <m/>
    <x v="0"/>
    <s v="Yes"/>
    <s v="66k-85k"/>
    <x v="6"/>
    <s v="Finance"/>
    <s v="Other"/>
    <n v="5"/>
    <n v="8"/>
    <n v="5"/>
    <n v="5"/>
    <x v="0"/>
    <x v="7"/>
    <s v="Easy"/>
    <s v="Remote Work"/>
    <s v="Male"/>
    <n v="32"/>
    <s v="Canada"/>
    <s v="Masters"/>
    <s v="Asian or Asian American"/>
  </r>
  <r>
    <s v="62a749ebd8c00e9f541efa36"/>
    <s v="anonymous"/>
    <d v="2022-06-13T00:00:00"/>
    <d v="1899-12-30T10:30:00"/>
    <d v="1899-12-30T00:01:12"/>
    <m/>
    <m/>
    <m/>
    <m/>
    <m/>
    <x v="2"/>
    <s v="Yes"/>
    <s v="41k-65k"/>
    <x v="1"/>
    <s v="Telecommunication"/>
    <s v="Python"/>
    <n v="4"/>
    <n v="5"/>
    <n v="4"/>
    <n v="5"/>
    <x v="0"/>
    <x v="10"/>
    <s v="Difficult"/>
    <s v="Good Work/Life Balance"/>
    <s v="Male"/>
    <n v="27"/>
    <s v="India"/>
    <s v="Bachelors"/>
    <s v="American Indian or Alaska Native"/>
  </r>
  <r>
    <s v="62a74e28b4da29969c681108"/>
    <s v="anonymous"/>
    <d v="2022-06-13T00:00:00"/>
    <d v="1899-12-30T10:48:00"/>
    <d v="1899-12-30T00:01:34"/>
    <m/>
    <m/>
    <m/>
    <m/>
    <m/>
    <x v="2"/>
    <s v="No"/>
    <s v="41k-65k"/>
    <x v="1"/>
    <s v="Tech"/>
    <s v="Python"/>
    <n v="7"/>
    <n v="9"/>
    <n v="5"/>
    <n v="6"/>
    <x v="5"/>
    <x v="0"/>
    <s v="Easy"/>
    <s v="Other"/>
    <s v="Male"/>
    <n v="27"/>
    <s v="United Kingdom"/>
    <s v="Masters"/>
    <s v="White or Caucasian"/>
  </r>
  <r>
    <s v="62a758185d257a28a312bc94"/>
    <s v="anonymous"/>
    <d v="2022-06-13T00:00:00"/>
    <d v="1899-12-30T11:30:00"/>
    <d v="1899-12-30T00:02:45"/>
    <m/>
    <m/>
    <m/>
    <m/>
    <m/>
    <x v="4"/>
    <s v="No"/>
    <s v="0-40k"/>
    <x v="2"/>
    <s v="Finance"/>
    <s v="Python"/>
    <n v="8"/>
    <n v="7"/>
    <n v="6"/>
    <n v="7"/>
    <x v="6"/>
    <x v="2"/>
    <s v="Neither easy nor difficult"/>
    <s v="Remote Work"/>
    <s v="Male"/>
    <n v="24"/>
    <s v="Other"/>
    <s v="Bachelors"/>
    <s v="Other"/>
  </r>
  <r>
    <s v="62a75a5418134ddc75d3d2f1"/>
    <s v="anonymous"/>
    <d v="2022-06-13T00:00:00"/>
    <d v="1899-12-30T11:40:00"/>
    <d v="1899-12-30T00:00:43"/>
    <m/>
    <m/>
    <m/>
    <m/>
    <m/>
    <x v="3"/>
    <s v="Yes"/>
    <s v="150k-225k"/>
    <x v="3"/>
    <s v="Finance"/>
    <s v="R"/>
    <n v="9"/>
    <n v="9"/>
    <n v="9"/>
    <n v="9"/>
    <x v="6"/>
    <x v="8"/>
    <s v="Difficult"/>
    <s v="Better Salary"/>
    <s v="Male"/>
    <n v="42"/>
    <s v="United States"/>
    <s v="PhD"/>
    <s v="Asian or Asian American"/>
  </r>
  <r>
    <s v="62a75ed0f8f75616458a5d1a"/>
    <s v="anonymous"/>
    <d v="2022-06-13T00:00:00"/>
    <d v="1899-12-30T11:59:00"/>
    <d v="1899-12-30T00:02:58"/>
    <m/>
    <m/>
    <m/>
    <m/>
    <m/>
    <x v="2"/>
    <s v="No"/>
    <s v="41k-65k"/>
    <x v="1"/>
    <s v="Tech"/>
    <s v="Python"/>
    <n v="8"/>
    <n v="6"/>
    <n v="6"/>
    <n v="8"/>
    <x v="2"/>
    <x v="8"/>
    <s v="Neither easy nor difficult"/>
    <s v="Better Salary"/>
    <s v="Male"/>
    <n v="24"/>
    <s v="United States"/>
    <s v="Bachelors"/>
    <s v="Hispanic or Latino"/>
  </r>
  <r>
    <s v="62a75f1b575fa3a5ae8e0010"/>
    <s v="anonymous"/>
    <d v="2022-06-13T00:00:00"/>
    <d v="1899-12-30T12:00:00"/>
    <d v="1899-12-30T00:01:08"/>
    <m/>
    <m/>
    <m/>
    <m/>
    <m/>
    <x v="6"/>
    <s v="Yes"/>
    <s v="0-40k"/>
    <x v="2"/>
    <s v="Tech"/>
    <s v="Python"/>
    <n v="5"/>
    <n v="9"/>
    <n v="7"/>
    <n v="7"/>
    <x v="5"/>
    <x v="6"/>
    <s v="Easy"/>
    <s v="Better Salary"/>
    <s v="Male"/>
    <n v="23"/>
    <s v="India"/>
    <s v="Bachelors"/>
    <s v="Asian or Asian American"/>
  </r>
  <r>
    <s v="62a764ffd8c00e9f541f3cc3"/>
    <s v="anonymous"/>
    <d v="2022-06-13T00:00:00"/>
    <d v="1899-12-30T12:25:00"/>
    <d v="1899-12-30T00:01:21"/>
    <m/>
    <m/>
    <m/>
    <m/>
    <m/>
    <x v="0"/>
    <s v="No"/>
    <s v="0-40k"/>
    <x v="2"/>
    <s v="Tech"/>
    <s v="Python"/>
    <n v="7"/>
    <n v="9"/>
    <n v="8"/>
    <n v="8"/>
    <x v="7"/>
    <x v="4"/>
    <s v="Neither easy nor difficult"/>
    <s v="Better Salary"/>
    <s v="Male"/>
    <n v="26"/>
    <s v="India"/>
    <s v="Bachelors"/>
    <s v="Asian or Asian American"/>
  </r>
  <r>
    <s v="62a76c962e54c9003e588661"/>
    <s v="anonymous"/>
    <d v="2022-06-13T00:00:00"/>
    <d v="1899-12-30T12:57:00"/>
    <d v="1899-12-30T00:02:01"/>
    <m/>
    <m/>
    <m/>
    <m/>
    <m/>
    <x v="0"/>
    <s v="No"/>
    <s v="41k-65k"/>
    <x v="1"/>
    <s v="Other"/>
    <s v="Other"/>
    <n v="5"/>
    <n v="6"/>
    <n v="6"/>
    <n v="2"/>
    <x v="8"/>
    <x v="1"/>
    <s v="Neither easy nor difficult"/>
    <s v="Better Salary"/>
    <s v="Male"/>
    <n v="32"/>
    <s v="Other"/>
    <s v="Bachelors"/>
    <s v="Black or African American"/>
  </r>
  <r>
    <s v="62a772da575fa3a5ae8e2a4a"/>
    <s v="anonymous"/>
    <d v="2022-06-13T00:00:00"/>
    <d v="1899-12-30T13:24:00"/>
    <d v="1899-12-30T00:02:52"/>
    <m/>
    <m/>
    <m/>
    <m/>
    <m/>
    <x v="2"/>
    <s v="No"/>
    <s v="0-40k"/>
    <x v="2"/>
    <s v="Telecommunication"/>
    <s v="Python"/>
    <n v="4"/>
    <n v="3"/>
    <n v="2"/>
    <n v="0"/>
    <x v="3"/>
    <x v="9"/>
    <s v="Neither easy nor difficult"/>
    <s v="Good Work/Life Balance"/>
    <s v="Male"/>
    <n v="35"/>
    <s v="Other"/>
    <s v="Bachelors"/>
    <s v="White or Caucasian"/>
  </r>
  <r>
    <s v="62a7738a2e54c9003e589598"/>
    <s v="anonymous"/>
    <d v="2022-06-13T00:00:00"/>
    <d v="1899-12-30T13:27:00"/>
    <d v="1899-12-30T00:01:18"/>
    <m/>
    <m/>
    <m/>
    <m/>
    <m/>
    <x v="0"/>
    <s v="Yes"/>
    <s v="106k-125k"/>
    <x v="0"/>
    <s v="Healthcare"/>
    <s v="Python"/>
    <n v="4"/>
    <n v="3"/>
    <n v="4"/>
    <n v="2"/>
    <x v="8"/>
    <x v="4"/>
    <s v="Easy"/>
    <s v="Good Work/Life Balance"/>
    <s v="Male"/>
    <n v="41"/>
    <s v="United States"/>
    <s v="High School"/>
    <s v="White or Caucasian"/>
  </r>
  <r>
    <s v="62a77967f8d5efcc22fd4c81"/>
    <s v="anonymous"/>
    <d v="2022-06-13T00:00:00"/>
    <d v="1899-12-30T13:52:00"/>
    <d v="1899-12-30T00:00:59"/>
    <m/>
    <m/>
    <m/>
    <m/>
    <m/>
    <x v="2"/>
    <s v="No"/>
    <s v="41k-65k"/>
    <x v="1"/>
    <s v="Education"/>
    <s v="Python"/>
    <n v="4"/>
    <n v="9"/>
    <n v="8"/>
    <n v="8"/>
    <x v="5"/>
    <x v="0"/>
    <s v="Neither easy nor difficult"/>
    <s v="Better Salary"/>
    <s v="Male"/>
    <n v="25"/>
    <s v="United States"/>
    <s v="Masters"/>
    <s v="White or Caucasian"/>
  </r>
  <r>
    <s v="62a77a37f8d5efcc22fd4e47"/>
    <s v="anonymous"/>
    <d v="2022-06-13T00:00:00"/>
    <d v="1899-12-30T13:56:00"/>
    <d v="1899-12-30T00:01:04"/>
    <m/>
    <m/>
    <m/>
    <m/>
    <m/>
    <x v="0"/>
    <s v="Yes"/>
    <s v="0-40k"/>
    <x v="2"/>
    <s v="Construction"/>
    <s v="Python"/>
    <n v="0"/>
    <n v="0"/>
    <n v="0"/>
    <n v="0"/>
    <x v="3"/>
    <x v="9"/>
    <s v="Very Difficult"/>
    <s v="Better Salary"/>
    <s v="Female"/>
    <n v="28"/>
    <s v="United States"/>
    <s v="Masters"/>
    <s v="Asian or Asian American"/>
  </r>
  <r>
    <s v="62a77cb7b4da29969c68743a"/>
    <s v="anonymous"/>
    <d v="2022-06-13T00:00:00"/>
    <d v="1899-12-30T14:06:00"/>
    <d v="1899-12-30T00:00:50"/>
    <m/>
    <m/>
    <m/>
    <m/>
    <m/>
    <x v="0"/>
    <s v="Yes"/>
    <s v="41k-65k"/>
    <x v="1"/>
    <s v="Agriculture"/>
    <s v="Python"/>
    <n v="3"/>
    <n v="6"/>
    <n v="5"/>
    <n v="5"/>
    <x v="0"/>
    <x v="10"/>
    <s v="Neither easy nor difficult"/>
    <s v="Better Salary"/>
    <s v="Male"/>
    <n v="29"/>
    <s v="United States"/>
    <s v="Bachelors"/>
    <s v="White or Caucasian"/>
  </r>
  <r>
    <s v="62a78743f8f75616458ab6bb"/>
    <s v="anonymous"/>
    <d v="2022-06-13T00:00:00"/>
    <d v="1899-12-30T14:51:00"/>
    <d v="1899-12-30T00:01:30"/>
    <m/>
    <m/>
    <m/>
    <m/>
    <m/>
    <x v="4"/>
    <s v="No"/>
    <s v="0-40k"/>
    <x v="2"/>
    <s v="Telecommunication"/>
    <s v="Python"/>
    <n v="8"/>
    <n v="10"/>
    <n v="6"/>
    <n v="7"/>
    <x v="6"/>
    <x v="8"/>
    <s v="Neither easy nor difficult"/>
    <s v="Better Salary"/>
    <s v="Male"/>
    <n v="19"/>
    <s v="United States"/>
    <s v="High School"/>
    <s v="White or Caucasian"/>
  </r>
  <r>
    <s v="62a789015d257a28a3132977"/>
    <s v="anonymous"/>
    <d v="2022-06-13T00:00:00"/>
    <d v="1899-12-30T14:59:00"/>
    <d v="1899-12-30T00:01:25"/>
    <m/>
    <m/>
    <m/>
    <m/>
    <m/>
    <x v="0"/>
    <s v="Yes"/>
    <s v="41k-65k"/>
    <x v="1"/>
    <s v="Other"/>
    <s v="Python"/>
    <n v="5"/>
    <n v="6"/>
    <n v="9"/>
    <n v="6"/>
    <x v="2"/>
    <x v="2"/>
    <s v="Neither easy nor difficult"/>
    <s v="Better Salary"/>
    <s v="Male"/>
    <n v="27"/>
    <s v="India"/>
    <s v="Bachelors"/>
    <s v="Asian or Asian American"/>
  </r>
  <r>
    <s v="62a78f3bf408bae018f2ef51"/>
    <s v="anonymous"/>
    <d v="2022-06-13T00:00:00"/>
    <d v="1899-12-30T15:25:00"/>
    <d v="1899-12-30T00:01:33"/>
    <m/>
    <m/>
    <m/>
    <m/>
    <m/>
    <x v="4"/>
    <s v="Yes"/>
    <s v="0-40k"/>
    <x v="2"/>
    <s v="Finance"/>
    <s v="Python"/>
    <n v="8"/>
    <n v="9"/>
    <n v="9"/>
    <n v="7"/>
    <x v="6"/>
    <x v="8"/>
    <s v="Neither easy nor difficult"/>
    <s v="Better Salary"/>
    <s v="Male"/>
    <n v="25"/>
    <s v="Other"/>
    <s v="Bachelors"/>
    <s v="White or Caucasian"/>
  </r>
  <r>
    <s v="62a7988bbae91e4b8b88b8ee"/>
    <s v="anonymous"/>
    <d v="2022-06-13T00:00:00"/>
    <d v="1899-12-30T16:05:00"/>
    <d v="1899-12-30T00:01:46"/>
    <m/>
    <m/>
    <m/>
    <m/>
    <m/>
    <x v="0"/>
    <s v="Yes"/>
    <s v="41k-65k"/>
    <x v="1"/>
    <s v="Other"/>
    <s v="Python"/>
    <n v="6"/>
    <n v="10"/>
    <n v="10"/>
    <n v="10"/>
    <x v="9"/>
    <x v="8"/>
    <s v="Difficult"/>
    <s v="Better Salary"/>
    <s v="Female"/>
    <n v="26"/>
    <s v="Canada"/>
    <s v="Masters"/>
    <s v="Asian or Asian American"/>
  </r>
  <r>
    <s v="62a79c9c2e54c9003e58f0d5"/>
    <s v="anonymous"/>
    <d v="2022-06-13T00:00:00"/>
    <d v="1899-12-30T16:22:00"/>
    <d v="1899-12-30T00:02:42"/>
    <m/>
    <m/>
    <m/>
    <m/>
    <m/>
    <x v="0"/>
    <s v="Yes"/>
    <s v="0-40k"/>
    <x v="2"/>
    <s v="Healthcare"/>
    <s v="Python"/>
    <n v="3"/>
    <n v="4"/>
    <n v="5"/>
    <n v="5"/>
    <x v="7"/>
    <x v="5"/>
    <s v="Difficult"/>
    <s v="Good Work/Life Balance"/>
    <s v="Male"/>
    <n v="25"/>
    <s v="Other"/>
    <s v="Bachelors"/>
    <s v="White or Caucasian"/>
  </r>
  <r>
    <s v="62a7b0ae0f8c8599d5b51cd0"/>
    <s v="anonymous"/>
    <d v="2022-06-13T00:00:00"/>
    <d v="1899-12-30T17:48:00"/>
    <d v="1899-12-30T00:00:50"/>
    <m/>
    <m/>
    <m/>
    <m/>
    <m/>
    <x v="0"/>
    <s v="Yes"/>
    <s v="0-40k"/>
    <x v="2"/>
    <s v="Other"/>
    <s v="Python"/>
    <n v="6"/>
    <n v="6"/>
    <n v="9"/>
    <n v="9"/>
    <x v="9"/>
    <x v="2"/>
    <s v="Neither easy nor difficult"/>
    <s v="Remote Work"/>
    <s v="Male"/>
    <n v="25"/>
    <s v="Other"/>
    <s v="Bachelors"/>
    <s v="White or Caucasian"/>
  </r>
  <r>
    <s v="62a7b283f8d5efcc22fdc189"/>
    <s v="anonymous"/>
    <d v="2022-06-13T00:00:00"/>
    <d v="1899-12-30T17:56:00"/>
    <d v="1899-12-30T00:01:57"/>
    <m/>
    <m/>
    <m/>
    <m/>
    <m/>
    <x v="0"/>
    <s v="Yes"/>
    <s v="0-40k"/>
    <x v="2"/>
    <s v="Healthcare"/>
    <s v="R"/>
    <n v="2"/>
    <n v="3"/>
    <n v="4"/>
    <n v="3"/>
    <x v="4"/>
    <x v="5"/>
    <s v="Neither easy nor difficult"/>
    <s v="Good Work/Life Balance"/>
    <s v="Male"/>
    <n v="26"/>
    <s v="Other"/>
    <s v="Bachelors"/>
    <s v="Black or African American"/>
  </r>
  <r>
    <s v="62a7b296f8d5efcc22fdc1ef"/>
    <s v="anonymous"/>
    <d v="2022-06-13T00:00:00"/>
    <d v="1899-12-30T17:56:00"/>
    <d v="1899-12-30T00:01:07"/>
    <m/>
    <m/>
    <m/>
    <m/>
    <m/>
    <x v="0"/>
    <s v="Yes"/>
    <s v="125k-150k"/>
    <x v="4"/>
    <s v="Education"/>
    <s v="Python"/>
    <n v="8"/>
    <n v="8"/>
    <n v="7"/>
    <n v="6"/>
    <x v="2"/>
    <x v="6"/>
    <s v="Neither easy nor difficult"/>
    <s v="Good Culture"/>
    <s v="Male"/>
    <n v="35"/>
    <s v="United States"/>
    <s v="Bachelors"/>
    <s v="White or Caucasian"/>
  </r>
  <r>
    <s v="62a7bd0e5d257a28a313855c"/>
    <s v="anonymous"/>
    <d v="2022-06-13T00:00:00"/>
    <d v="1899-12-30T18:41:00"/>
    <d v="1899-12-30T00:01:23"/>
    <m/>
    <m/>
    <m/>
    <m/>
    <m/>
    <x v="0"/>
    <s v="Yes"/>
    <s v="86k-105k"/>
    <x v="5"/>
    <s v="Other"/>
    <s v="Python"/>
    <n v="6"/>
    <n v="7"/>
    <n v="7"/>
    <n v="6"/>
    <x v="2"/>
    <x v="10"/>
    <s v="Difficult"/>
    <s v="Remote Work"/>
    <s v="Male"/>
    <n v="29"/>
    <s v="United States"/>
    <s v="Masters"/>
    <s v="Black or African American"/>
  </r>
  <r>
    <s v="62a7be5e5d257a28a313876a"/>
    <s v="anonymous"/>
    <d v="2022-06-13T00:00:00"/>
    <d v="1899-12-30T18:46:00"/>
    <d v="1899-12-30T00:01:45"/>
    <m/>
    <m/>
    <m/>
    <m/>
    <m/>
    <x v="0"/>
    <s v="Yes"/>
    <s v="86k-105k"/>
    <x v="5"/>
    <s v="Tech"/>
    <s v="Python"/>
    <n v="7"/>
    <n v="6"/>
    <n v="5"/>
    <n v="4"/>
    <x v="4"/>
    <x v="10"/>
    <s v="Neither easy nor difficult"/>
    <s v="Better Salary"/>
    <s v="Female"/>
    <n v="41"/>
    <s v="United States"/>
    <s v="Associates"/>
    <s v="Hispanic or Latino"/>
  </r>
  <r>
    <s v="62a7ce44575fa3a5ae8ece5f"/>
    <s v="anonymous"/>
    <d v="2022-06-13T00:00:00"/>
    <d v="1899-12-30T19:54:00"/>
    <d v="1899-12-30T00:01:15"/>
    <m/>
    <m/>
    <m/>
    <m/>
    <m/>
    <x v="4"/>
    <s v="No"/>
    <s v="0-40k"/>
    <x v="2"/>
    <s v="Education"/>
    <s v="Python"/>
    <n v="0"/>
    <n v="6"/>
    <n v="4"/>
    <n v="5"/>
    <x v="8"/>
    <x v="7"/>
    <s v="Very Difficult"/>
    <s v="Remote Work"/>
    <s v="Female"/>
    <n v="22"/>
    <s v="United States"/>
    <s v="Bachelors"/>
    <s v="Hispanic or Latino"/>
  </r>
  <r>
    <s v="62a7e1380f8c8599d5b55fcf"/>
    <s v="anonymous"/>
    <d v="2022-06-13T00:00:00"/>
    <d v="1899-12-30T21:15:00"/>
    <d v="1899-12-30T00:02:30"/>
    <m/>
    <m/>
    <m/>
    <m/>
    <m/>
    <x v="0"/>
    <s v="Yes"/>
    <s v="66k-85k"/>
    <x v="6"/>
    <s v="Healthcare"/>
    <s v="Other"/>
    <n v="2"/>
    <n v="6"/>
    <n v="6"/>
    <n v="4"/>
    <x v="4"/>
    <x v="1"/>
    <s v="Difficult"/>
    <s v="Better Salary"/>
    <s v="Male"/>
    <n v="35"/>
    <s v="United States"/>
    <s v="Bachelors"/>
    <s v="Hispanic or Latino"/>
  </r>
  <r>
    <s v="62a7e2d024a26260273e4448"/>
    <s v="anonymous"/>
    <d v="2022-06-13T00:00:00"/>
    <d v="1899-12-30T21:22:00"/>
    <d v="1899-12-30T00:02:04"/>
    <m/>
    <m/>
    <m/>
    <m/>
    <m/>
    <x v="0"/>
    <s v="Yes"/>
    <s v="66k-85k"/>
    <x v="6"/>
    <s v="Finance"/>
    <s v="Python"/>
    <n v="4"/>
    <n v="3"/>
    <n v="4"/>
    <n v="4"/>
    <x v="7"/>
    <x v="10"/>
    <s v="Very Difficult"/>
    <s v="Better Salary"/>
    <s v="Male"/>
    <n v="30"/>
    <s v="Other"/>
    <s v="Bachelors"/>
    <s v="Asian or Asian American"/>
  </r>
  <r>
    <s v="62a7ed9c0f8c8599d5b57132"/>
    <s v="anonymous"/>
    <d v="2022-06-13T00:00:00"/>
    <d v="1899-12-30T22:08:00"/>
    <d v="1899-12-30T00:01:13"/>
    <m/>
    <m/>
    <m/>
    <m/>
    <m/>
    <x v="1"/>
    <s v="No"/>
    <s v="150k-225k"/>
    <x v="3"/>
    <s v="Real Estate"/>
    <s v="Python"/>
    <n v="4"/>
    <n v="6"/>
    <n v="3"/>
    <n v="2"/>
    <x v="4"/>
    <x v="1"/>
    <s v="Neither easy nor difficult"/>
    <s v="Good Culture"/>
    <s v="Male"/>
    <n v="37"/>
    <s v="Canada"/>
    <s v="Bachelors"/>
    <s v="Asian or Asian American"/>
  </r>
  <r>
    <s v="62a7f09a0f8c8599d5b57526"/>
    <s v="anonymous"/>
    <d v="2022-06-13T00:00:00"/>
    <d v="1899-12-30T22:21:00"/>
    <d v="1899-12-30T00:03:15"/>
    <m/>
    <m/>
    <m/>
    <m/>
    <m/>
    <x v="0"/>
    <s v="Yes"/>
    <s v="66k-85k"/>
    <x v="6"/>
    <s v="Other"/>
    <s v="Python"/>
    <n v="6"/>
    <n v="7"/>
    <n v="7"/>
    <n v="5"/>
    <x v="0"/>
    <x v="6"/>
    <s v="Difficult"/>
    <s v="Better Salary"/>
    <s v="Female"/>
    <n v="28"/>
    <s v="United States"/>
    <s v="Masters"/>
    <s v="Black or African American"/>
  </r>
  <r>
    <s v="62a7fb02f8d5efcc22fe2486"/>
    <s v="anonymous"/>
    <d v="2022-06-13T00:00:00"/>
    <d v="1899-12-30T23:05:00"/>
    <d v="1899-12-30T00:00:58"/>
    <m/>
    <m/>
    <m/>
    <m/>
    <m/>
    <x v="0"/>
    <s v="No"/>
    <s v="86k-105k"/>
    <x v="5"/>
    <s v="Real Estate"/>
    <s v="Python"/>
    <n v="7"/>
    <n v="5"/>
    <n v="6"/>
    <n v="6"/>
    <x v="7"/>
    <x v="10"/>
    <s v="Neither easy nor difficult"/>
    <s v="Good Culture"/>
    <s v="Male"/>
    <n v="23"/>
    <s v="United States"/>
    <s v="High School"/>
    <s v="White or Caucasian"/>
  </r>
  <r>
    <s v="62a816907dc029e2d6725a33"/>
    <s v="anonymous"/>
    <d v="2022-06-14T00:00:00"/>
    <d v="1899-12-30T01:03:00"/>
    <d v="1899-12-30T00:01:54"/>
    <m/>
    <m/>
    <m/>
    <m/>
    <m/>
    <x v="4"/>
    <s v="No"/>
    <s v="0-40k"/>
    <x v="2"/>
    <s v="Finance"/>
    <s v="Python"/>
    <n v="3"/>
    <n v="4"/>
    <n v="8"/>
    <n v="5"/>
    <x v="0"/>
    <x v="1"/>
    <s v="Neither easy nor difficult"/>
    <s v="Better Salary"/>
    <s v="Male"/>
    <n v="26"/>
    <s v="United States"/>
    <s v="High School"/>
    <s v="Asian or Asian American"/>
  </r>
  <r>
    <s v="62a84764bc6861bf317d7b86"/>
    <s v="anonymous"/>
    <d v="2022-06-14T00:00:00"/>
    <d v="1899-12-30T04:31:00"/>
    <d v="1899-12-30T00:01:22"/>
    <m/>
    <m/>
    <m/>
    <m/>
    <m/>
    <x v="0"/>
    <s v="No"/>
    <s v="66k-85k"/>
    <x v="6"/>
    <s v="Other"/>
    <s v="Python"/>
    <n v="2"/>
    <n v="4"/>
    <n v="4"/>
    <n v="3"/>
    <x v="7"/>
    <x v="7"/>
    <s v="Neither easy nor difficult"/>
    <s v="Good Work/Life Balance"/>
    <s v="Male"/>
    <n v="25"/>
    <s v="Other"/>
    <s v="Bachelors"/>
    <s v="Native Hawaiian or other Pacific Islander"/>
  </r>
  <r>
    <s v="62a84f9af408bae018f41e34"/>
    <s v="anonymous"/>
    <d v="2022-06-14T00:00:00"/>
    <d v="1899-12-30T05:06:00"/>
    <d v="1899-12-30T00:01:27"/>
    <m/>
    <m/>
    <m/>
    <m/>
    <m/>
    <x v="0"/>
    <s v="No"/>
    <s v="0-40k"/>
    <x v="2"/>
    <s v="Tech"/>
    <s v="Python"/>
    <n v="0"/>
    <n v="1"/>
    <n v="2"/>
    <n v="1"/>
    <x v="1"/>
    <x v="3"/>
    <s v="Neither easy nor difficult"/>
    <s v="Remote Work"/>
    <s v="Male"/>
    <n v="23"/>
    <s v="India"/>
    <s v="Bachelors"/>
    <s v="Asian or Asian American"/>
  </r>
  <r>
    <s v="62a85803f8d5efcc22fea92f"/>
    <s v="anonymous"/>
    <d v="2022-06-14T00:00:00"/>
    <d v="1899-12-30T05:42:00"/>
    <d v="1899-12-30T00:02:53"/>
    <m/>
    <m/>
    <m/>
    <m/>
    <m/>
    <x v="4"/>
    <s v="Yes"/>
    <s v="0-40k"/>
    <x v="2"/>
    <s v="Other"/>
    <s v="Other"/>
    <n v="0"/>
    <n v="1"/>
    <n v="0"/>
    <n v="0"/>
    <x v="3"/>
    <x v="9"/>
    <s v="Neither easy nor difficult"/>
    <s v="Good Culture"/>
    <s v="Male"/>
    <n v="53"/>
    <s v="Other"/>
    <s v="Bachelors"/>
    <s v="Black or African American"/>
  </r>
  <r>
    <s v="62a8592f7dc029e2d672c0a8"/>
    <s v="anonymous"/>
    <d v="2022-06-14T00:00:00"/>
    <d v="1899-12-30T05:47:00"/>
    <d v="1899-12-30T00:01:37"/>
    <m/>
    <m/>
    <m/>
    <m/>
    <m/>
    <x v="1"/>
    <s v="Yes"/>
    <s v="0-40k"/>
    <x v="2"/>
    <s v="Tech"/>
    <s v="Python"/>
    <n v="4"/>
    <n v="6"/>
    <n v="6"/>
    <n v="3"/>
    <x v="2"/>
    <x v="6"/>
    <s v="Neither easy nor difficult"/>
    <s v="Better Salary"/>
    <s v="Female"/>
    <n v="33"/>
    <s v="Other"/>
    <s v="Bachelors"/>
    <s v="White or Caucasian"/>
  </r>
  <r>
    <s v="62a8643bcec54911e9d14297"/>
    <s v="anonymous"/>
    <d v="2022-06-14T00:00:00"/>
    <d v="1899-12-30T06:34:00"/>
    <d v="1899-12-30T00:04:29"/>
    <m/>
    <m/>
    <m/>
    <m/>
    <m/>
    <x v="4"/>
    <s v="Yes"/>
    <s v="0-40k"/>
    <x v="2"/>
    <s v="Finance"/>
    <s v="R"/>
    <n v="3"/>
    <n v="5"/>
    <n v="5"/>
    <n v="4"/>
    <x v="0"/>
    <x v="10"/>
    <s v="Difficult"/>
    <s v="Better Salary"/>
    <s v="Male"/>
    <n v="39"/>
    <s v="Other"/>
    <s v="High School"/>
    <s v="Black or African American"/>
  </r>
  <r>
    <s v="62a8665c5d257a28a31474f7"/>
    <s v="anonymous"/>
    <d v="2022-06-14T00:00:00"/>
    <d v="1899-12-30T06:43:00"/>
    <d v="1899-12-30T00:01:05"/>
    <m/>
    <m/>
    <m/>
    <m/>
    <m/>
    <x v="0"/>
    <s v="Yes"/>
    <s v="0-40k"/>
    <x v="2"/>
    <s v="Healthcare"/>
    <s v="Other"/>
    <n v="6"/>
    <n v="7"/>
    <n v="5"/>
    <n v="7"/>
    <x v="2"/>
    <x v="6"/>
    <s v="Difficult"/>
    <s v="Better Salary"/>
    <s v="Female"/>
    <n v="22"/>
    <s v="United Kingdom"/>
    <s v="Bachelors"/>
    <s v="White or Caucasian"/>
  </r>
  <r>
    <s v="62a868c5cf2555431737094b"/>
    <s v="anonymous"/>
    <d v="2022-06-14T00:00:00"/>
    <d v="1899-12-30T06:53:00"/>
    <d v="1899-12-30T00:01:34"/>
    <m/>
    <m/>
    <m/>
    <m/>
    <m/>
    <x v="0"/>
    <s v="No"/>
    <s v="41k-65k"/>
    <x v="1"/>
    <s v="Finance"/>
    <s v="Python"/>
    <n v="4"/>
    <n v="7"/>
    <n v="7"/>
    <n v="7"/>
    <x v="0"/>
    <x v="5"/>
    <s v="Easy"/>
    <s v="Better Salary"/>
    <s v="Male"/>
    <n v="24"/>
    <s v="Other"/>
    <s v="Bachelors"/>
    <s v="White or Caucasian"/>
  </r>
  <r>
    <s v="62a88e9ff8d5efcc22ff1eb6"/>
    <s v="anonymous"/>
    <d v="2022-06-14T00:00:00"/>
    <d v="1899-12-30T09:35:00"/>
    <d v="1899-12-30T00:01:36"/>
    <m/>
    <m/>
    <m/>
    <m/>
    <m/>
    <x v="5"/>
    <s v="No"/>
    <s v="86k-105k"/>
    <x v="5"/>
    <s v="Other"/>
    <s v="Python"/>
    <n v="5"/>
    <n v="1"/>
    <n v="3"/>
    <n v="1"/>
    <x v="7"/>
    <x v="5"/>
    <s v="Difficult"/>
    <s v="Good Work/Life Balance"/>
    <s v="Male"/>
    <n v="31"/>
    <s v="Canada"/>
    <s v="High School"/>
    <s v="White or Caucasian"/>
  </r>
  <r>
    <s v="62a89e365d257a28a314fd36"/>
    <s v="anonymous"/>
    <d v="2022-06-14T00:00:00"/>
    <d v="1899-12-30T10:41:00"/>
    <d v="1899-12-30T00:00:53"/>
    <m/>
    <m/>
    <m/>
    <m/>
    <m/>
    <x v="0"/>
    <s v="Yes"/>
    <s v="0-40k"/>
    <x v="2"/>
    <s v="Other"/>
    <s v="Python"/>
    <n v="0"/>
    <n v="0"/>
    <n v="0"/>
    <n v="0"/>
    <x v="3"/>
    <x v="9"/>
    <s v="Very Difficult"/>
    <s v="Better Salary"/>
    <s v="Male"/>
    <n v="25"/>
    <s v="Other"/>
    <s v="Bachelors"/>
    <s v="Asian or Asian American"/>
  </r>
  <r>
    <s v="62a8b6ffbae91e4b8b8aa5c2"/>
    <s v="anonymous"/>
    <d v="2022-06-14T00:00:00"/>
    <d v="1899-12-30T12:27:00"/>
    <d v="1899-12-30T00:02:07"/>
    <m/>
    <m/>
    <m/>
    <m/>
    <m/>
    <x v="4"/>
    <s v="No"/>
    <s v="0-40k"/>
    <x v="2"/>
    <s v="Tech"/>
    <s v="R"/>
    <n v="4"/>
    <n v="7"/>
    <n v="7"/>
    <n v="6"/>
    <x v="5"/>
    <x v="10"/>
    <s v="Neither easy nor difficult"/>
    <s v="Better Salary"/>
    <s v="Male"/>
    <n v="25"/>
    <s v="India"/>
    <s v="Bachelors"/>
    <s v="Asian or Asian American"/>
  </r>
  <r>
    <s v="62a8bf9e575fa3a5ae907617"/>
    <s v="anonymous"/>
    <d v="2022-06-14T00:00:00"/>
    <d v="1899-12-30T13:04:00"/>
    <d v="1899-12-30T00:02:07"/>
    <m/>
    <m/>
    <m/>
    <m/>
    <m/>
    <x v="0"/>
    <s v="No"/>
    <s v="0-40k"/>
    <x v="2"/>
    <s v="Tech"/>
    <s v="Python"/>
    <n v="3"/>
    <n v="4"/>
    <n v="4"/>
    <n v="4"/>
    <x v="8"/>
    <x v="9"/>
    <s v="Neither easy nor difficult"/>
    <s v="Good Work/Life Balance"/>
    <s v="Male"/>
    <n v="23"/>
    <s v="India"/>
    <s v="Bachelors"/>
    <s v="Asian or Asian American"/>
  </r>
  <r>
    <s v="62a8cd29bc6861bf317ea9a2"/>
    <s v="anonymous"/>
    <d v="2022-06-14T00:00:00"/>
    <d v="1899-12-30T14:02:00"/>
    <d v="1899-12-30T00:01:56"/>
    <m/>
    <m/>
    <m/>
    <m/>
    <m/>
    <x v="2"/>
    <s v="Yes"/>
    <s v="41k-65k"/>
    <x v="1"/>
    <s v="Other"/>
    <s v="Other"/>
    <n v="6"/>
    <n v="7"/>
    <n v="7"/>
    <n v="7"/>
    <x v="2"/>
    <x v="10"/>
    <s v="Neither easy nor difficult"/>
    <s v="Other"/>
    <s v="Male"/>
    <n v="23"/>
    <s v="India"/>
    <s v="Bachelors"/>
    <s v="Asian or Asian American"/>
  </r>
  <r>
    <s v="62a8f477f408bae018f5869d"/>
    <s v="anonymous"/>
    <d v="2022-06-14T00:00:00"/>
    <d v="1899-12-30T16:49:00"/>
    <d v="1899-12-30T00:01:35"/>
    <m/>
    <m/>
    <m/>
    <m/>
    <m/>
    <x v="0"/>
    <s v="No"/>
    <s v="86k-105k"/>
    <x v="5"/>
    <s v="Healthcare"/>
    <s v="Python"/>
    <n v="8"/>
    <n v="9"/>
    <n v="8"/>
    <n v="8"/>
    <x v="6"/>
    <x v="6"/>
    <s v="Difficult"/>
    <s v="Better Salary"/>
    <s v="Male"/>
    <n v="40"/>
    <s v="United States"/>
    <s v="High School"/>
    <s v="White or Caucasian"/>
  </r>
  <r>
    <s v="62a8fcf5cf25554317384604"/>
    <s v="anonymous"/>
    <d v="2022-06-14T00:00:00"/>
    <d v="1899-12-30T17:26:00"/>
    <d v="1899-12-30T00:02:02"/>
    <m/>
    <m/>
    <m/>
    <m/>
    <m/>
    <x v="0"/>
    <s v="No"/>
    <s v="41k-65k"/>
    <x v="1"/>
    <s v="Other"/>
    <s v="C/C++"/>
    <n v="5"/>
    <n v="6"/>
    <n v="6"/>
    <n v="2"/>
    <x v="3"/>
    <x v="7"/>
    <s v="Neither easy nor difficult"/>
    <s v="Better Salary"/>
    <s v="Male"/>
    <n v="29"/>
    <s v="United States"/>
    <s v="Bachelors"/>
    <s v="Hispanic or Latino"/>
  </r>
  <r>
    <s v="62a8fe9abc6861bf317f0c01"/>
    <s v="anonymous"/>
    <d v="2022-06-14T00:00:00"/>
    <d v="1899-12-30T17:33:00"/>
    <d v="1899-12-30T00:03:16"/>
    <m/>
    <m/>
    <m/>
    <m/>
    <m/>
    <x v="0"/>
    <s v="Yes"/>
    <s v="0-40k"/>
    <x v="2"/>
    <s v="Tech"/>
    <s v="Python"/>
    <n v="1"/>
    <n v="7"/>
    <n v="5"/>
    <n v="5"/>
    <x v="7"/>
    <x v="7"/>
    <s v="Difficult"/>
    <s v="Better Salary"/>
    <s v="Male"/>
    <n v="28"/>
    <s v="India"/>
    <s v="Bachelors"/>
    <s v="Other"/>
  </r>
  <r>
    <s v="62a9024d18134ddc75d6e76d"/>
    <s v="anonymous"/>
    <d v="2022-06-14T00:00:00"/>
    <d v="1899-12-30T17:49:00"/>
    <d v="1899-12-30T00:01:44"/>
    <m/>
    <m/>
    <m/>
    <m/>
    <m/>
    <x v="0"/>
    <s v="Yes"/>
    <s v="0-40k"/>
    <x v="2"/>
    <s v="Healthcare"/>
    <s v="R"/>
    <n v="3"/>
    <n v="6"/>
    <n v="6"/>
    <n v="4"/>
    <x v="5"/>
    <x v="1"/>
    <s v="Very Easy"/>
    <s v="Better Salary"/>
    <s v="Female"/>
    <n v="28"/>
    <s v="United Kingdom"/>
    <s v="Masters"/>
    <s v="Black or African American"/>
  </r>
  <r>
    <s v="62a95253bae91e4b8b8b91d9"/>
    <s v="anonymous"/>
    <d v="2022-06-14T00:00:00"/>
    <d v="1899-12-30T23:30:00"/>
    <d v="1899-12-30T00:01:02"/>
    <m/>
    <m/>
    <m/>
    <m/>
    <m/>
    <x v="4"/>
    <s v="Yes"/>
    <s v="0-40k"/>
    <x v="2"/>
    <s v="Telecommunication"/>
    <s v="Python"/>
    <n v="0"/>
    <n v="3"/>
    <n v="3"/>
    <n v="4"/>
    <x v="0"/>
    <x v="5"/>
    <s v="Difficult"/>
    <s v="Good Work/Life Balance"/>
    <s v="Female"/>
    <n v="26"/>
    <s v="India"/>
    <s v="Masters"/>
    <s v="Asian or Asian American"/>
  </r>
  <r>
    <s v="62a960567dc029e2d6749dd8"/>
    <s v="anonymous"/>
    <d v="2022-06-15T00:00:00"/>
    <d v="1899-12-30T00:30:00"/>
    <d v="1899-12-30T00:02:43"/>
    <m/>
    <m/>
    <m/>
    <m/>
    <m/>
    <x v="1"/>
    <s v="No"/>
    <s v="41k-65k"/>
    <x v="1"/>
    <s v="Construction"/>
    <s v="Python"/>
    <n v="6"/>
    <n v="8"/>
    <n v="8"/>
    <n v="5"/>
    <x v="0"/>
    <x v="5"/>
    <s v="Neither easy nor difficult"/>
    <s v="Better Salary"/>
    <s v="Male"/>
    <n v="30"/>
    <s v="Other"/>
    <s v="Masters"/>
    <s v="White or Caucasian"/>
  </r>
  <r>
    <s v="62a9612bf8d5efcc22007c09"/>
    <s v="anonymous"/>
    <d v="2022-06-15T00:00:00"/>
    <d v="1899-12-30T00:33:00"/>
    <d v="1899-12-30T00:01:26"/>
    <m/>
    <m/>
    <m/>
    <m/>
    <m/>
    <x v="0"/>
    <s v="Yes"/>
    <s v="66k-85k"/>
    <x v="6"/>
    <s v="Education"/>
    <s v="Other"/>
    <n v="5"/>
    <n v="9"/>
    <n v="7"/>
    <n v="9"/>
    <x v="6"/>
    <x v="6"/>
    <s v="Neither easy nor difficult"/>
    <s v="Better Salary"/>
    <s v="Male"/>
    <n v="27"/>
    <s v="Other"/>
    <s v="Bachelors"/>
    <s v="Asian or Asian American"/>
  </r>
  <r>
    <s v="62a962380f8c8599d5b7e3fb"/>
    <s v="anonymous"/>
    <d v="2022-06-15T00:00:00"/>
    <d v="1899-12-30T00:38:00"/>
    <d v="1899-12-30T00:01:24"/>
    <m/>
    <m/>
    <m/>
    <m/>
    <m/>
    <x v="0"/>
    <s v="Yes"/>
    <s v="0-40k"/>
    <x v="2"/>
    <s v="Other"/>
    <s v="Other"/>
    <n v="2"/>
    <n v="0"/>
    <n v="5"/>
    <n v="3"/>
    <x v="3"/>
    <x v="1"/>
    <s v="Very Difficult"/>
    <s v="Remote Work"/>
    <s v="Male"/>
    <n v="28"/>
    <s v="Other"/>
    <s v="Bachelors"/>
    <s v="Black or African American"/>
  </r>
  <r>
    <s v="62a993537dc029e2d674e9b5"/>
    <s v="anonymous"/>
    <d v="2022-06-15T00:00:00"/>
    <d v="1899-12-30T04:07:00"/>
    <d v="1899-12-30T00:02:08"/>
    <m/>
    <m/>
    <m/>
    <m/>
    <m/>
    <x v="0"/>
    <s v="No"/>
    <s v="66k-85k"/>
    <x v="6"/>
    <s v="Education"/>
    <s v="Python"/>
    <n v="3"/>
    <n v="3"/>
    <n v="5"/>
    <n v="3"/>
    <x v="4"/>
    <x v="7"/>
    <s v="Neither easy nor difficult"/>
    <s v="Good Work/Life Balance"/>
    <s v="Female"/>
    <n v="38"/>
    <s v="Other"/>
    <s v="Masters"/>
    <s v="Black or African American"/>
  </r>
  <r>
    <s v="62a9bb81bc6861bf3180079c"/>
    <s v="anonymous"/>
    <d v="2022-06-15T00:00:00"/>
    <d v="1899-12-30T06:59:00"/>
    <d v="1899-12-30T00:01:56"/>
    <m/>
    <m/>
    <m/>
    <m/>
    <m/>
    <x v="0"/>
    <s v="No"/>
    <s v="0-40k"/>
    <x v="2"/>
    <s v="Finance"/>
    <s v="Python"/>
    <n v="2"/>
    <n v="6"/>
    <n v="5"/>
    <n v="5"/>
    <x v="5"/>
    <x v="10"/>
    <s v="Easy"/>
    <s v="Good Culture"/>
    <s v="Male"/>
    <n v="22"/>
    <s v="Other"/>
    <s v="Bachelors"/>
    <s v="White or Caucasian"/>
  </r>
  <r>
    <s v="62a9c880f408bae018f6aa1b"/>
    <s v="anonymous"/>
    <d v="2022-06-15T00:00:00"/>
    <d v="1899-12-30T07:54:00"/>
    <d v="1899-12-30T00:01:32"/>
    <m/>
    <m/>
    <m/>
    <m/>
    <m/>
    <x v="0"/>
    <s v="Yes"/>
    <s v="86k-105k"/>
    <x v="5"/>
    <s v="Other"/>
    <s v="Python"/>
    <n v="7"/>
    <n v="8"/>
    <n v="9"/>
    <n v="9"/>
    <x v="10"/>
    <x v="6"/>
    <s v="Difficult"/>
    <s v="Better Salary"/>
    <s v="Male"/>
    <n v="34"/>
    <s v="United States"/>
    <s v="Bachelors"/>
    <s v="Hispanic or Latino"/>
  </r>
  <r>
    <s v="62a9e206f3072dd8926bce70"/>
    <s v="anonymous"/>
    <d v="2022-06-15T00:00:00"/>
    <d v="1899-12-30T09:43:00"/>
    <d v="1899-12-30T00:02:07"/>
    <m/>
    <m/>
    <m/>
    <m/>
    <m/>
    <x v="0"/>
    <s v="No"/>
    <s v="0-40k"/>
    <x v="2"/>
    <s v="Tech"/>
    <s v="Python"/>
    <n v="3"/>
    <n v="8"/>
    <n v="8"/>
    <n v="5"/>
    <x v="2"/>
    <x v="6"/>
    <s v="Easy"/>
    <s v="Better Salary"/>
    <s v="Male"/>
    <n v="26"/>
    <s v="Other"/>
    <s v="Bachelors"/>
    <s v="Asian or Asian American"/>
  </r>
  <r>
    <s v="62a9f0172e54c9003e5cdc25"/>
    <s v="anonymous"/>
    <d v="2022-06-15T00:00:00"/>
    <d v="1899-12-30T10:43:00"/>
    <d v="1899-12-30T00:01:06"/>
    <m/>
    <m/>
    <m/>
    <m/>
    <m/>
    <x v="0"/>
    <s v="Yes"/>
    <s v="66k-85k"/>
    <x v="6"/>
    <s v="Tech"/>
    <s v="Python"/>
    <n v="5"/>
    <n v="9"/>
    <n v="7"/>
    <n v="7"/>
    <x v="6"/>
    <x v="6"/>
    <s v="Neither easy nor difficult"/>
    <s v="Better Salary"/>
    <s v="Female"/>
    <n v="26"/>
    <s v="Canada"/>
    <s v="Bachelors"/>
    <s v="Asian or Asian American"/>
  </r>
  <r>
    <s v="62a9f8a4cf2555431739d694"/>
    <s v="anonymous"/>
    <d v="2022-06-15T00:00:00"/>
    <d v="1899-12-30T11:20:00"/>
    <d v="1899-12-30T00:01:23"/>
    <m/>
    <m/>
    <m/>
    <m/>
    <m/>
    <x v="1"/>
    <s v="No"/>
    <s v="66k-85k"/>
    <x v="6"/>
    <s v="Education"/>
    <s v="Python"/>
    <n v="10"/>
    <n v="10"/>
    <n v="10"/>
    <n v="9"/>
    <x v="10"/>
    <x v="2"/>
    <s v="Difficult"/>
    <s v="Remote Work"/>
    <s v="Male"/>
    <n v="25"/>
    <s v="Other"/>
    <s v="Bachelors"/>
    <s v="Other"/>
  </r>
  <r>
    <s v="62aa121dcec54911e9d446cc"/>
    <s v="anonymous"/>
    <d v="2022-06-15T00:00:00"/>
    <d v="1899-12-30T13:08:00"/>
    <d v="1899-12-30T00:03:23"/>
    <m/>
    <m/>
    <m/>
    <m/>
    <m/>
    <x v="3"/>
    <s v="Yes"/>
    <s v="125k-150k"/>
    <x v="4"/>
    <s v="Tech"/>
    <s v="Python"/>
    <n v="5"/>
    <n v="3"/>
    <n v="7"/>
    <n v="4"/>
    <x v="0"/>
    <x v="1"/>
    <s v="Easy"/>
    <s v="Other"/>
    <s v="Male"/>
    <n v="34"/>
    <s v="United States"/>
    <s v="Bachelors"/>
    <s v="Black or African American"/>
  </r>
  <r>
    <s v="62aa1734f3072dd8926c4168"/>
    <s v="anonymous"/>
    <d v="2022-06-15T00:00:00"/>
    <d v="1899-12-30T13:30:00"/>
    <d v="1899-12-30T00:03:51"/>
    <m/>
    <m/>
    <m/>
    <m/>
    <m/>
    <x v="2"/>
    <s v="Yes"/>
    <s v="41k-65k"/>
    <x v="1"/>
    <s v="Finance"/>
    <s v="Other"/>
    <n v="7"/>
    <n v="10"/>
    <n v="10"/>
    <n v="10"/>
    <x v="7"/>
    <x v="5"/>
    <s v="Neither easy nor difficult"/>
    <s v="Good Work/Life Balance"/>
    <s v="Female"/>
    <n v="32"/>
    <s v="Other"/>
    <s v="Bachelors"/>
    <s v="Hispanic or Latino"/>
  </r>
  <r>
    <s v="62aa21e218134ddc75d8be11"/>
    <s v="anonymous"/>
    <d v="2022-06-15T00:00:00"/>
    <d v="1899-12-30T14:16:00"/>
    <d v="1899-12-30T00:01:15"/>
    <m/>
    <m/>
    <m/>
    <m/>
    <m/>
    <x v="4"/>
    <s v="No"/>
    <s v="0-40k"/>
    <x v="2"/>
    <s v="Construction"/>
    <s v="R"/>
    <n v="2"/>
    <n v="2"/>
    <n v="2"/>
    <n v="2"/>
    <x v="8"/>
    <x v="4"/>
    <s v="Difficult"/>
    <s v="Better Salary"/>
    <s v="Male"/>
    <n v="24"/>
    <s v="United States"/>
    <s v="Associates"/>
    <s v="Black or African American"/>
  </r>
  <r>
    <s v="62aa29852e54c9003e5d50b5"/>
    <s v="anonymous"/>
    <d v="2022-06-15T00:00:00"/>
    <d v="1899-12-30T14:48:00"/>
    <d v="1899-12-30T00:06:20"/>
    <m/>
    <m/>
    <m/>
    <m/>
    <m/>
    <x v="1"/>
    <s v="Yes"/>
    <s v="0-40k"/>
    <x v="2"/>
    <s v="Tech"/>
    <s v="Python"/>
    <n v="7"/>
    <n v="3"/>
    <n v="3"/>
    <n v="2"/>
    <x v="0"/>
    <x v="6"/>
    <s v="Difficult"/>
    <s v="Better Salary"/>
    <s v="Male"/>
    <n v="26"/>
    <s v="Other"/>
    <s v="Bachelors"/>
    <s v="Hispanic or Latino"/>
  </r>
  <r>
    <s v="62aa2f44bc6861bf3180fd06"/>
    <s v="anonymous"/>
    <d v="2022-06-15T00:00:00"/>
    <d v="1899-12-30T15:13:00"/>
    <d v="1899-12-30T00:02:00"/>
    <m/>
    <m/>
    <m/>
    <m/>
    <m/>
    <x v="0"/>
    <s v="Yes"/>
    <s v="41k-65k"/>
    <x v="1"/>
    <s v="Telecommunication"/>
    <s v="Other"/>
    <n v="4"/>
    <n v="7"/>
    <n v="5"/>
    <n v="6"/>
    <x v="7"/>
    <x v="10"/>
    <s v="Difficult"/>
    <s v="Better Salary"/>
    <s v="Female"/>
    <n v="32"/>
    <s v="Other"/>
    <s v="Masters"/>
    <s v="Black or African American"/>
  </r>
  <r>
    <s v="62aa3454bae91e4b8b8d3249"/>
    <s v="anonymous"/>
    <d v="2022-06-15T00:00:00"/>
    <d v="1899-12-30T15:34:00"/>
    <d v="1899-12-30T00:02:24"/>
    <m/>
    <m/>
    <m/>
    <m/>
    <m/>
    <x v="3"/>
    <s v="No"/>
    <s v="41k-65k"/>
    <x v="1"/>
    <s v="Tech"/>
    <s v="R"/>
    <n v="5"/>
    <n v="1"/>
    <n v="7"/>
    <n v="1"/>
    <x v="1"/>
    <x v="4"/>
    <s v="Neither easy nor difficult"/>
    <s v="Good Work/Life Balance"/>
    <s v="Male"/>
    <n v="40"/>
    <s v="Other"/>
    <s v="Masters"/>
    <s v="White or Caucasian"/>
  </r>
  <r>
    <s v="62aa34e8f3072dd8926c7d56"/>
    <s v="anonymous"/>
    <d v="2022-06-15T00:00:00"/>
    <d v="1899-12-30T15:37:00"/>
    <d v="1899-12-30T00:01:49"/>
    <m/>
    <m/>
    <m/>
    <m/>
    <m/>
    <x v="0"/>
    <s v="No"/>
    <s v="0-40k"/>
    <x v="2"/>
    <s v="Other"/>
    <s v="Python"/>
    <n v="0"/>
    <n v="7"/>
    <n v="1"/>
    <n v="6"/>
    <x v="3"/>
    <x v="9"/>
    <s v="Easy"/>
    <s v="Better Salary"/>
    <s v="Male"/>
    <n v="27"/>
    <s v="United States"/>
    <s v="Bachelors"/>
    <s v="Black or African American"/>
  </r>
  <r>
    <s v="62aa356ff8d5efcc22020832"/>
    <s v="anonymous"/>
    <d v="2022-06-15T00:00:00"/>
    <d v="1899-12-30T15:39:00"/>
    <d v="1899-12-30T00:01:03"/>
    <m/>
    <m/>
    <m/>
    <m/>
    <m/>
    <x v="0"/>
    <s v="Yes"/>
    <s v="66k-85k"/>
    <x v="6"/>
    <s v="Tech"/>
    <s v="R"/>
    <n v="4"/>
    <n v="3"/>
    <n v="6"/>
    <n v="7"/>
    <x v="7"/>
    <x v="0"/>
    <s v="Easy"/>
    <s v="Better Salary"/>
    <s v="Male"/>
    <n v="28"/>
    <s v="United States"/>
    <s v="Masters"/>
    <s v="Black or African American"/>
  </r>
  <r>
    <s v="62aa3e6824a26260274264da"/>
    <s v="anonymous"/>
    <d v="2022-06-15T00:00:00"/>
    <d v="1899-12-30T16:17:00"/>
    <d v="1899-12-30T00:02:13"/>
    <m/>
    <m/>
    <m/>
    <m/>
    <m/>
    <x v="0"/>
    <s v="Yes"/>
    <s v="0-40k"/>
    <x v="2"/>
    <s v="Other"/>
    <s v="Python"/>
    <n v="1"/>
    <n v="9"/>
    <n v="5"/>
    <n v="5"/>
    <x v="1"/>
    <x v="3"/>
    <s v="Difficult"/>
    <s v="Better Salary"/>
    <s v="Male"/>
    <n v="30"/>
    <s v="Other"/>
    <s v="Bachelors"/>
    <s v="Other"/>
  </r>
  <r>
    <s v="62aa4790f8d5efcc2202266e"/>
    <s v="anonymous"/>
    <d v="2022-06-15T00:00:00"/>
    <d v="1899-12-30T16:56:00"/>
    <d v="1899-12-30T00:01:10"/>
    <m/>
    <m/>
    <m/>
    <m/>
    <m/>
    <x v="0"/>
    <s v="Yes"/>
    <s v="0-40k"/>
    <x v="2"/>
    <s v="Other"/>
    <s v="Python"/>
    <n v="0"/>
    <n v="6"/>
    <n v="5"/>
    <n v="5"/>
    <x v="0"/>
    <x v="10"/>
    <s v="Difficult"/>
    <s v="Remote Work"/>
    <s v="Male"/>
    <n v="37"/>
    <s v="United States"/>
    <s v="Bachelors"/>
    <s v="White or Caucasian"/>
  </r>
  <r>
    <s v="62aa5761bc6861bf318141fc"/>
    <s v="anonymous"/>
    <d v="2022-06-15T00:00:00"/>
    <d v="1899-12-30T18:04:00"/>
    <d v="1899-12-30T00:02:35"/>
    <m/>
    <m/>
    <m/>
    <m/>
    <m/>
    <x v="2"/>
    <s v="No"/>
    <s v="41k-65k"/>
    <x v="1"/>
    <s v="Tech"/>
    <s v="JavaScript"/>
    <n v="7"/>
    <n v="7"/>
    <n v="5"/>
    <n v="5"/>
    <x v="3"/>
    <x v="9"/>
    <s v="Difficult"/>
    <s v="Good Culture"/>
    <s v="Male"/>
    <n v="32"/>
    <s v="Other"/>
    <s v="Bachelors"/>
    <s v="Asian or Asian American"/>
  </r>
  <r>
    <s v="62aa5c11f408bae018f7dec0"/>
    <s v="anonymous"/>
    <d v="2022-06-15T00:00:00"/>
    <d v="1899-12-30T18:24:00"/>
    <d v="1899-12-30T00:02:20"/>
    <m/>
    <m/>
    <m/>
    <m/>
    <m/>
    <x v="0"/>
    <s v="Yes"/>
    <s v="41k-65k"/>
    <x v="1"/>
    <s v="Tech"/>
    <s v="Python"/>
    <n v="9"/>
    <n v="7"/>
    <n v="10"/>
    <n v="10"/>
    <x v="0"/>
    <x v="8"/>
    <s v="Neither easy nor difficult"/>
    <s v="Better Salary"/>
    <s v="Male"/>
    <n v="24"/>
    <s v="Other"/>
    <s v="Bachelors"/>
    <s v="Other"/>
  </r>
  <r>
    <s v="62aa956ef8d5efcc22028e3d"/>
    <s v="anonymous"/>
    <d v="2022-06-15T00:00:00"/>
    <d v="1899-12-30T22:29:00"/>
    <d v="1899-12-30T00:02:50"/>
    <m/>
    <m/>
    <m/>
    <m/>
    <m/>
    <x v="0"/>
    <s v="Yes"/>
    <s v="0-40k"/>
    <x v="2"/>
    <s v="Tech"/>
    <s v="Python"/>
    <n v="6"/>
    <n v="7"/>
    <n v="7"/>
    <n v="7"/>
    <x v="0"/>
    <x v="10"/>
    <s v="Neither easy nor difficult"/>
    <s v="Better Salary"/>
    <s v="Male"/>
    <n v="39"/>
    <s v="Other"/>
    <s v="Associates"/>
    <s v="White or Caucasian"/>
  </r>
  <r>
    <s v="62aa95970a77c1a77f709268"/>
    <s v="anonymous"/>
    <d v="2022-06-15T00:00:00"/>
    <d v="1899-12-30T22:29:00"/>
    <d v="1899-12-30T00:06:15"/>
    <m/>
    <m/>
    <m/>
    <m/>
    <m/>
    <x v="0"/>
    <s v="Yes"/>
    <s v="125k-150k"/>
    <x v="4"/>
    <s v="Finance"/>
    <s v="Python"/>
    <n v="6"/>
    <n v="8"/>
    <n v="7"/>
    <n v="4"/>
    <x v="7"/>
    <x v="4"/>
    <s v="Easy"/>
    <s v="Other"/>
    <s v="Male"/>
    <n v="34"/>
    <s v="Other"/>
    <s v="Bachelors"/>
    <s v="Asian or Asian American"/>
  </r>
  <r>
    <s v="62aa98bfcf255543173adbdc"/>
    <s v="anonymous"/>
    <d v="2022-06-15T00:00:00"/>
    <d v="1899-12-30T22:43:00"/>
    <d v="1899-12-30T00:01:38"/>
    <m/>
    <m/>
    <m/>
    <m/>
    <m/>
    <x v="0"/>
    <s v="No"/>
    <s v="41k-65k"/>
    <x v="1"/>
    <s v="Other"/>
    <s v="Python"/>
    <n v="5"/>
    <n v="6"/>
    <n v="10"/>
    <n v="7"/>
    <x v="4"/>
    <x v="1"/>
    <s v="Neither easy nor difficult"/>
    <s v="Remote Work"/>
    <s v="Male"/>
    <n v="27"/>
    <s v="United States"/>
    <s v="Bachelors"/>
    <s v="Black or African American"/>
  </r>
  <r>
    <s v="62aaa387f8d5efcc22029fcb"/>
    <s v="anonymous"/>
    <d v="2022-06-15T00:00:00"/>
    <d v="1899-12-30T23:29:00"/>
    <d v="1899-12-30T00:01:17"/>
    <m/>
    <m/>
    <m/>
    <m/>
    <m/>
    <x v="0"/>
    <s v="Yes"/>
    <s v="66k-85k"/>
    <x v="6"/>
    <s v="Healthcare"/>
    <s v="Other"/>
    <n v="7"/>
    <n v="7"/>
    <n v="4"/>
    <n v="7"/>
    <x v="2"/>
    <x v="0"/>
    <s v="Difficult"/>
    <s v="Better Salary"/>
    <s v="Male"/>
    <n v="54"/>
    <s v="United States"/>
    <s v="High School"/>
    <s v="White or Caucasian"/>
  </r>
  <r>
    <s v="62aaa86bbae91e4b8b8dc832"/>
    <s v="anonymous"/>
    <d v="2022-06-15T00:00:00"/>
    <d v="1899-12-30T23:50:00"/>
    <d v="1899-12-30T00:01:50"/>
    <m/>
    <m/>
    <m/>
    <m/>
    <m/>
    <x v="4"/>
    <s v="No"/>
    <s v="0-40k"/>
    <x v="2"/>
    <s v="Tech"/>
    <s v="Python"/>
    <n v="0"/>
    <m/>
    <m/>
    <m/>
    <x v="11"/>
    <x v="11"/>
    <s v="Difficult"/>
    <s v="Remote Work"/>
    <s v="Female"/>
    <n v="20"/>
    <s v="India"/>
    <s v="Bachelors"/>
    <s v="Asian or Asian American"/>
  </r>
  <r>
    <s v="62aacd922e54c9003e5e33c2"/>
    <s v="anonymous"/>
    <d v="2022-06-16T00:00:00"/>
    <d v="1899-12-30T02:28:00"/>
    <d v="1899-12-30T00:01:22"/>
    <m/>
    <m/>
    <m/>
    <m/>
    <m/>
    <x v="4"/>
    <s v="Yes"/>
    <s v="0-40k"/>
    <x v="2"/>
    <s v="Finance"/>
    <s v="Other"/>
    <n v="3"/>
    <n v="3"/>
    <n v="3"/>
    <n v="3"/>
    <x v="4"/>
    <x v="1"/>
    <s v="Neither easy nor difficult"/>
    <s v="Good Work/Life Balance"/>
    <s v="Male"/>
    <n v="25"/>
    <s v="India"/>
    <s v="Masters"/>
    <s v="Asian or Asian American"/>
  </r>
  <r>
    <s v="62aaeecd0f8c8599d5ba6923"/>
    <s v="anonymous"/>
    <d v="2022-06-16T00:00:00"/>
    <d v="1899-12-30T04:50:00"/>
    <d v="1899-12-30T00:01:42"/>
    <m/>
    <m/>
    <m/>
    <m/>
    <m/>
    <x v="4"/>
    <s v="No"/>
    <s v="0-40k"/>
    <x v="2"/>
    <s v="Tech"/>
    <s v="Python"/>
    <n v="7"/>
    <n v="7"/>
    <n v="2"/>
    <n v="2"/>
    <x v="2"/>
    <x v="6"/>
    <s v="Easy"/>
    <s v="Good Work/Life Balance"/>
    <s v="Male"/>
    <n v="33"/>
    <s v="India"/>
    <s v="Bachelors"/>
    <s v="Asian or Asian American"/>
  </r>
  <r>
    <s v="62aaf8397dc029e2d6773cde"/>
    <s v="anonymous"/>
    <d v="2022-06-16T00:00:00"/>
    <d v="1899-12-30T05:30:00"/>
    <d v="1899-12-30T00:01:17"/>
    <m/>
    <m/>
    <m/>
    <m/>
    <m/>
    <x v="0"/>
    <s v="Yes"/>
    <s v="41k-65k"/>
    <x v="1"/>
    <s v="Tech"/>
    <s v="Python"/>
    <n v="4"/>
    <n v="8"/>
    <n v="8"/>
    <n v="8"/>
    <x v="9"/>
    <x v="2"/>
    <s v="Very Easy"/>
    <s v="Remote Work"/>
    <s v="Male"/>
    <n v="30"/>
    <s v="United Kingdom"/>
    <s v="Masters"/>
    <s v="White or Caucasian"/>
  </r>
  <r>
    <s v="62aaff342e54c9003e5e79b8"/>
    <s v="anonymous"/>
    <d v="2022-06-16T00:00:00"/>
    <d v="1899-12-30T06:00:00"/>
    <d v="1899-12-30T00:12:16"/>
    <m/>
    <m/>
    <m/>
    <m/>
    <m/>
    <x v="4"/>
    <s v="Yes"/>
    <s v="0-40k"/>
    <x v="2"/>
    <s v="Tech"/>
    <s v="Python"/>
    <n v="0"/>
    <n v="4"/>
    <n v="2"/>
    <n v="0"/>
    <x v="1"/>
    <x v="1"/>
    <s v="Neither easy nor difficult"/>
    <s v="Better Salary"/>
    <s v="Male"/>
    <n v="31"/>
    <s v="Other"/>
    <s v="High School"/>
    <s v="Black or African American"/>
  </r>
  <r>
    <s v="62ab0bdc575fa3a5ae9413e5"/>
    <s v="anonymous"/>
    <d v="2022-06-16T00:00:00"/>
    <d v="1899-12-30T06:54:00"/>
    <d v="1899-12-30T00:02:11"/>
    <m/>
    <m/>
    <m/>
    <m/>
    <m/>
    <x v="4"/>
    <s v="Yes"/>
    <s v="0-40k"/>
    <x v="2"/>
    <s v="Other"/>
    <s v="Python"/>
    <n v="5"/>
    <n v="6"/>
    <n v="5"/>
    <n v="6"/>
    <x v="8"/>
    <x v="3"/>
    <s v="Difficult"/>
    <s v="Remote Work"/>
    <s v="Male"/>
    <n v="22"/>
    <s v="Other"/>
    <s v="Masters"/>
    <s v="Other"/>
  </r>
  <r>
    <s v="62ab1cb0cec54911e9d5d187"/>
    <s v="anonymous"/>
    <d v="2022-06-16T00:00:00"/>
    <d v="1899-12-30T08:06:00"/>
    <d v="1899-12-30T00:01:29"/>
    <m/>
    <m/>
    <m/>
    <m/>
    <m/>
    <x v="0"/>
    <s v="Yes"/>
    <s v="66k-85k"/>
    <x v="6"/>
    <s v="Tech"/>
    <s v="R"/>
    <n v="8"/>
    <n v="10"/>
    <n v="10"/>
    <n v="10"/>
    <x v="6"/>
    <x v="6"/>
    <s v="Neither easy nor difficult"/>
    <s v="Remote Work"/>
    <s v="Female"/>
    <n v="38"/>
    <s v="United States"/>
    <s v="Bachelors"/>
    <s v="Black or African American"/>
  </r>
  <r>
    <s v="62ab3e62bae91e4b8b8ebe14"/>
    <s v="anonymous"/>
    <d v="2022-06-16T00:00:00"/>
    <d v="1899-12-30T10:29:00"/>
    <d v="1899-12-30T00:02:41"/>
    <m/>
    <m/>
    <m/>
    <m/>
    <m/>
    <x v="0"/>
    <s v="No"/>
    <s v="0-40k"/>
    <x v="2"/>
    <s v="Other"/>
    <s v="Python"/>
    <n v="6"/>
    <n v="9"/>
    <n v="7"/>
    <n v="7"/>
    <x v="0"/>
    <x v="8"/>
    <s v="Neither easy nor difficult"/>
    <s v="Good Work/Life Balance"/>
    <s v="Male"/>
    <n v="22"/>
    <s v="Other"/>
    <s v="Bachelors"/>
    <s v="Other"/>
  </r>
  <r>
    <s v="62ab6ab318134ddc75dabb09"/>
    <s v="anonymous"/>
    <d v="2022-06-16T00:00:00"/>
    <d v="1899-12-30T13:38:00"/>
    <d v="1899-12-30T00:01:20"/>
    <m/>
    <m/>
    <m/>
    <m/>
    <m/>
    <x v="3"/>
    <s v="Yes"/>
    <s v="0-40k"/>
    <x v="2"/>
    <s v="Real Estate"/>
    <s v="Python"/>
    <n v="2"/>
    <n v="3"/>
    <n v="4"/>
    <n v="5"/>
    <x v="4"/>
    <x v="10"/>
    <s v="Very Easy"/>
    <s v="Better Salary"/>
    <s v="Male"/>
    <n v="33"/>
    <s v="India"/>
    <s v="Bachelors"/>
    <s v="Asian or Asian American"/>
  </r>
  <r>
    <s v="62ab83a7d8c00e9f54263d2e"/>
    <s v="anonymous"/>
    <d v="2022-06-16T00:00:00"/>
    <d v="1899-12-30T15:25:00"/>
    <d v="1899-12-30T00:01:11"/>
    <m/>
    <m/>
    <m/>
    <m/>
    <m/>
    <x v="0"/>
    <s v="Yes"/>
    <s v="41k-65k"/>
    <x v="1"/>
    <s v="Tech"/>
    <s v="Python"/>
    <n v="3"/>
    <n v="6"/>
    <n v="6"/>
    <n v="6"/>
    <x v="0"/>
    <x v="5"/>
    <s v="Neither easy nor difficult"/>
    <s v="Better Salary"/>
    <s v="Male"/>
    <n v="27"/>
    <s v="Canada"/>
    <s v="Bachelors"/>
    <s v="White or Caucasian"/>
  </r>
  <r>
    <s v="62ab8bf65d257a28a319e9cb"/>
    <s v="anonymous"/>
    <d v="2022-06-16T00:00:00"/>
    <d v="1899-12-30T16:00:00"/>
    <d v="1899-12-30T00:02:14"/>
    <m/>
    <m/>
    <m/>
    <m/>
    <m/>
    <x v="0"/>
    <s v="No"/>
    <s v="0-40k"/>
    <x v="2"/>
    <s v="Tech"/>
    <s v="R"/>
    <n v="0"/>
    <n v="6"/>
    <n v="3"/>
    <n v="0"/>
    <x v="3"/>
    <x v="2"/>
    <s v="Neither easy nor difficult"/>
    <s v="Remote Work"/>
    <s v="Male"/>
    <n v="19"/>
    <s v="Other"/>
    <s v="Bachelors"/>
    <s v="White or Caucasian"/>
  </r>
  <r>
    <s v="62abec6cf3072dd8926f2ad0"/>
    <s v="anonymous"/>
    <d v="2022-06-16T00:00:00"/>
    <d v="1899-12-30T22:52:00"/>
    <d v="1899-12-30T00:01:24"/>
    <m/>
    <m/>
    <m/>
    <m/>
    <m/>
    <x v="2"/>
    <s v="No"/>
    <s v="0-40k"/>
    <x v="2"/>
    <s v="Other"/>
    <s v="Python"/>
    <n v="1"/>
    <n v="6"/>
    <n v="2"/>
    <n v="5"/>
    <x v="1"/>
    <x v="9"/>
    <s v="Neither easy nor difficult"/>
    <s v="Better Salary"/>
    <s v="Male"/>
    <n v="24"/>
    <s v="India"/>
    <s v="Bachelors"/>
    <s v="Other"/>
  </r>
  <r>
    <s v="62abee280f8c8599d5bc246d"/>
    <s v="anonymous"/>
    <d v="2022-06-16T00:00:00"/>
    <d v="1899-12-30T22:59:00"/>
    <d v="1899-12-30T00:03:50"/>
    <m/>
    <m/>
    <m/>
    <m/>
    <m/>
    <x v="2"/>
    <s v="No"/>
    <s v="150k-225k"/>
    <x v="3"/>
    <s v="Finance"/>
    <s v="Other"/>
    <n v="8"/>
    <n v="10"/>
    <n v="9"/>
    <n v="10"/>
    <x v="6"/>
    <x v="2"/>
    <s v="Very Easy"/>
    <s v="Good Culture"/>
    <s v="Female"/>
    <n v="58"/>
    <s v="United States"/>
    <s v="Masters"/>
    <s v="White or Caucasian"/>
  </r>
  <r>
    <s v="62acc1f0cf255543173e59f7"/>
    <s v="anonymous"/>
    <d v="2022-06-17T00:00:00"/>
    <d v="1899-12-30T14:03:00"/>
    <d v="1899-12-30T00:01:38"/>
    <m/>
    <m/>
    <m/>
    <m/>
    <m/>
    <x v="0"/>
    <s v="No"/>
    <s v="0-40k"/>
    <x v="2"/>
    <s v="Tech"/>
    <s v="Python"/>
    <n v="2"/>
    <n v="2"/>
    <n v="5"/>
    <n v="6"/>
    <x v="5"/>
    <x v="1"/>
    <s v="Neither easy nor difficult"/>
    <s v="Good Work/Life Balance"/>
    <s v="Male"/>
    <n v="22"/>
    <s v="Other"/>
    <s v="Bachelors"/>
    <s v="Black or African American"/>
  </r>
  <r>
    <s v="62ace61d575fa3a5ae972d57"/>
    <s v="anonymous"/>
    <d v="2022-06-17T00:00:00"/>
    <d v="1899-12-30T16:37:00"/>
    <d v="1899-12-30T00:01:26"/>
    <m/>
    <m/>
    <m/>
    <m/>
    <m/>
    <x v="0"/>
    <s v="No"/>
    <s v="86k-105k"/>
    <x v="5"/>
    <s v="Tech"/>
    <s v="Python"/>
    <n v="4"/>
    <n v="4"/>
    <n v="4"/>
    <n v="4"/>
    <x v="4"/>
    <x v="7"/>
    <s v="Neither easy nor difficult"/>
    <s v="Better Salary"/>
    <s v="Male"/>
    <n v="26"/>
    <s v="Other"/>
    <s v="Masters"/>
    <s v="Asian or Asian American"/>
  </r>
  <r>
    <s v="62acf0890f8c8599d5bdce87"/>
    <s v="anonymous"/>
    <d v="2022-06-17T00:00:00"/>
    <d v="1899-12-30T17:22:00"/>
    <d v="1899-12-30T00:02:06"/>
    <m/>
    <m/>
    <m/>
    <m/>
    <m/>
    <x v="2"/>
    <s v="No"/>
    <s v="41k-65k"/>
    <x v="1"/>
    <s v="Tech"/>
    <s v="Other"/>
    <n v="4"/>
    <n v="5"/>
    <n v="4"/>
    <n v="5"/>
    <x v="0"/>
    <x v="1"/>
    <s v="Easy"/>
    <s v="Good Culture"/>
    <s v="Female"/>
    <n v="31"/>
    <s v="United Kingdom"/>
    <s v="Bachelors"/>
    <s v="White or Caucasian"/>
  </r>
  <r>
    <s v="62ad591424a2626027471080"/>
    <s v="anonymous"/>
    <d v="2022-06-18T00:00:00"/>
    <d v="1899-12-30T00:48:00"/>
    <d v="1899-12-30T00:01:32"/>
    <m/>
    <m/>
    <m/>
    <m/>
    <m/>
    <x v="0"/>
    <s v="No"/>
    <s v="41k-65k"/>
    <x v="1"/>
    <s v="Agriculture"/>
    <s v="Python"/>
    <n v="2"/>
    <n v="2"/>
    <n v="4"/>
    <n v="5"/>
    <x v="1"/>
    <x v="3"/>
    <s v="Neither easy nor difficult"/>
    <s v="Better Salary"/>
    <s v="Male"/>
    <n v="23"/>
    <s v="United States"/>
    <s v="High School"/>
    <s v="Hispanic or Latino"/>
  </r>
  <r>
    <s v="62ade22318134ddc75de385f"/>
    <s v="anonymous"/>
    <d v="2022-06-18T00:00:00"/>
    <d v="1899-12-30T10:33:00"/>
    <d v="1899-12-30T00:01:20"/>
    <m/>
    <m/>
    <m/>
    <m/>
    <m/>
    <x v="0"/>
    <s v="No"/>
    <s v="86k-105k"/>
    <x v="5"/>
    <s v="Healthcare"/>
    <s v="Python"/>
    <n v="7"/>
    <n v="10"/>
    <n v="10"/>
    <n v="10"/>
    <x v="2"/>
    <x v="8"/>
    <s v="Neither easy nor difficult"/>
    <s v="Remote Work"/>
    <s v="Female"/>
    <n v="31"/>
    <s v="United States"/>
    <s v="Masters"/>
    <s v="Asian or Asian American"/>
  </r>
  <r>
    <s v="62adf26f18134ddc75de4bb4"/>
    <s v="anonymous"/>
    <d v="2022-06-18T00:00:00"/>
    <d v="1899-12-30T11:42:00"/>
    <d v="1899-12-30T00:01:47"/>
    <m/>
    <m/>
    <m/>
    <m/>
    <m/>
    <x v="4"/>
    <s v="No"/>
    <s v="66k-85k"/>
    <x v="6"/>
    <s v="Construction"/>
    <s v="Other"/>
    <n v="5"/>
    <n v="5"/>
    <n v="7"/>
    <n v="7"/>
    <x v="10"/>
    <x v="2"/>
    <s v="Difficult"/>
    <s v="Better Salary"/>
    <s v="Female"/>
    <n v="24"/>
    <s v="United States"/>
    <s v="Bachelors"/>
    <s v="Asian or Asian American"/>
  </r>
  <r>
    <s v="62ae680024a2626027483ebc"/>
    <s v="anonymous"/>
    <d v="2022-06-18T00:00:00"/>
    <d v="1899-12-30T20:04:00"/>
    <d v="1899-12-30T00:02:05"/>
    <m/>
    <m/>
    <m/>
    <m/>
    <m/>
    <x v="2"/>
    <s v="Yes"/>
    <s v="41k-65k"/>
    <x v="1"/>
    <s v="Finance"/>
    <s v="Python"/>
    <n v="8"/>
    <n v="10"/>
    <n v="10"/>
    <n v="10"/>
    <x v="9"/>
    <x v="2"/>
    <s v="Neither easy nor difficult"/>
    <s v="Better Salary"/>
    <s v="Male"/>
    <n v="29"/>
    <s v="Other"/>
    <s v="Bachelors"/>
    <s v="Hispanic or Latino"/>
  </r>
  <r>
    <s v="62aee103f8f756164595adb8"/>
    <s v="anonymous"/>
    <d v="2022-06-19T00:00:00"/>
    <d v="1899-12-30T04:40:00"/>
    <d v="1899-12-30T00:01:20"/>
    <m/>
    <m/>
    <m/>
    <m/>
    <m/>
    <x v="4"/>
    <s v="Yes"/>
    <s v="0-40k"/>
    <x v="2"/>
    <s v="Education"/>
    <s v="Python"/>
    <n v="7"/>
    <n v="8"/>
    <n v="9"/>
    <n v="8"/>
    <x v="10"/>
    <x v="2"/>
    <s v="Difficult"/>
    <s v="Good Work/Life Balance"/>
    <s v="Male"/>
    <n v="26"/>
    <s v="Other"/>
    <s v="Bachelors"/>
    <s v="Asian or Asian American"/>
  </r>
  <r>
    <s v="62af07be7dc029e2d67cc3c8"/>
    <s v="anonymous"/>
    <d v="2022-06-19T00:00:00"/>
    <d v="1899-12-30T07:25:00"/>
    <d v="1899-12-30T00:01:52"/>
    <m/>
    <m/>
    <m/>
    <m/>
    <m/>
    <x v="4"/>
    <s v="Yes"/>
    <s v="0-40k"/>
    <x v="2"/>
    <s v="Other"/>
    <s v="Python"/>
    <n v="3"/>
    <n v="9"/>
    <n v="9"/>
    <n v="9"/>
    <x v="10"/>
    <x v="6"/>
    <s v="Neither easy nor difficult"/>
    <s v="Better Salary"/>
    <s v="Male"/>
    <n v="20"/>
    <s v="India"/>
    <s v="High School"/>
    <s v="Asian or Asian American"/>
  </r>
  <r>
    <s v="62af10295d257a28a31e6ff8"/>
    <s v="anonymous"/>
    <d v="2022-06-19T00:00:00"/>
    <d v="1899-12-30T08:01:00"/>
    <d v="1899-12-30T00:01:24"/>
    <m/>
    <m/>
    <m/>
    <m/>
    <m/>
    <x v="0"/>
    <s v="Yes"/>
    <s v="0-40k"/>
    <x v="2"/>
    <s v="Education"/>
    <s v="Python"/>
    <n v="0"/>
    <n v="2"/>
    <n v="3"/>
    <n v="2"/>
    <x v="7"/>
    <x v="4"/>
    <s v="Neither easy nor difficult"/>
    <s v="Better Salary"/>
    <s v="Male"/>
    <n v="23"/>
    <s v="India"/>
    <s v="Bachelors"/>
    <s v="Asian or Asian American"/>
  </r>
  <r>
    <s v="62af387018134ddc75df894e"/>
    <s v="anonymous"/>
    <d v="2022-06-19T00:00:00"/>
    <d v="1899-12-30T10:53:00"/>
    <d v="1899-12-30T00:01:47"/>
    <m/>
    <m/>
    <m/>
    <m/>
    <m/>
    <x v="0"/>
    <s v="No"/>
    <s v="106k-125k"/>
    <x v="0"/>
    <s v="Tech"/>
    <s v="Python"/>
    <n v="8"/>
    <n v="8"/>
    <n v="9"/>
    <n v="8"/>
    <x v="2"/>
    <x v="0"/>
    <s v="Neither easy nor difficult"/>
    <s v="Good Work/Life Balance"/>
    <s v="Male"/>
    <n v="33"/>
    <s v="United States"/>
    <s v="Masters"/>
    <s v="White or Caucasian"/>
  </r>
  <r>
    <s v="62af49025d257a28a31eb2f1"/>
    <s v="anonymous"/>
    <d v="2022-06-19T00:00:00"/>
    <d v="1899-12-30T12:04:00"/>
    <d v="1899-12-30T00:01:40"/>
    <m/>
    <m/>
    <m/>
    <m/>
    <m/>
    <x v="4"/>
    <s v="Yes"/>
    <s v="0-40k"/>
    <x v="2"/>
    <s v="Tech"/>
    <s v="Python"/>
    <n v="2"/>
    <n v="3"/>
    <n v="3"/>
    <n v="5"/>
    <x v="0"/>
    <x v="6"/>
    <s v="Easy"/>
    <s v="Remote Work"/>
    <s v="Male"/>
    <n v="26"/>
    <s v="Other"/>
    <s v="Bachelors"/>
    <s v="Black or African American"/>
  </r>
  <r>
    <s v="62af53ce0f8c8599d5c04934"/>
    <s v="anonymous"/>
    <d v="2022-06-19T00:00:00"/>
    <d v="1899-12-30T12:50:00"/>
    <d v="1899-12-30T00:03:57"/>
    <m/>
    <m/>
    <m/>
    <m/>
    <m/>
    <x v="0"/>
    <s v="Yes"/>
    <s v="0-40k"/>
    <x v="2"/>
    <s v="Other"/>
    <s v="R"/>
    <n v="3"/>
    <n v="9"/>
    <n v="8"/>
    <n v="8"/>
    <x v="5"/>
    <x v="10"/>
    <s v="Difficult"/>
    <s v="Better Salary"/>
    <s v="Male"/>
    <n v="27"/>
    <s v="India"/>
    <s v="Bachelors"/>
    <s v="Asian or Asian American"/>
  </r>
  <r>
    <s v="62af6371f8d5efcc2208e923"/>
    <s v="anonymous"/>
    <d v="2022-06-19T00:00:00"/>
    <d v="1899-12-30T13:57:00"/>
    <d v="1899-12-30T00:02:21"/>
    <m/>
    <m/>
    <m/>
    <m/>
    <m/>
    <x v="4"/>
    <s v="No"/>
    <s v="0-40k"/>
    <x v="2"/>
    <s v="Agriculture"/>
    <s v="Other"/>
    <n v="0"/>
    <n v="8"/>
    <n v="8"/>
    <n v="8"/>
    <x v="6"/>
    <x v="8"/>
    <s v="Neither easy nor difficult"/>
    <s v="Better Salary"/>
    <s v="Male"/>
    <n v="22"/>
    <s v="Other"/>
    <s v="Bachelors"/>
    <s v="Asian or Asian American"/>
  </r>
  <r>
    <s v="62af9ed7f3072dd892739279"/>
    <s v="anonymous"/>
    <d v="2022-06-19T00:00:00"/>
    <d v="1899-12-30T18:10:00"/>
    <d v="1899-12-30T00:02:06"/>
    <m/>
    <m/>
    <m/>
    <m/>
    <m/>
    <x v="0"/>
    <s v="Yes"/>
    <s v="0-40k"/>
    <x v="2"/>
    <s v="Tech"/>
    <s v="Python"/>
    <n v="3"/>
    <n v="9"/>
    <n v="9"/>
    <n v="6"/>
    <x v="10"/>
    <x v="7"/>
    <s v="Easy"/>
    <s v="Better Salary"/>
    <s v="Male"/>
    <n v="23"/>
    <s v="Other"/>
    <s v="Masters"/>
    <s v="White or Caucasian"/>
  </r>
  <r>
    <s v="62b152960f8c8599d5c31550"/>
    <s v="anonymous"/>
    <d v="2022-06-21T00:00:00"/>
    <d v="1899-12-30T01:09:00"/>
    <d v="1899-12-30T00:01:54"/>
    <m/>
    <m/>
    <m/>
    <m/>
    <m/>
    <x v="2"/>
    <s v="Yes"/>
    <s v="0-40k"/>
    <x v="2"/>
    <s v="Other"/>
    <s v="Python"/>
    <n v="3"/>
    <n v="6"/>
    <n v="7"/>
    <n v="5"/>
    <x v="7"/>
    <x v="7"/>
    <s v="Neither easy nor difficult"/>
    <s v="Better Salary"/>
    <s v="Male"/>
    <n v="28"/>
    <s v="Other"/>
    <s v="Bachelors"/>
    <s v="Hispanic or Latino"/>
  </r>
  <r>
    <s v="62b16a5c5d257a28a321a74c"/>
    <s v="anonymous"/>
    <d v="2022-06-21T00:00:00"/>
    <d v="1899-12-30T02:51:00"/>
    <d v="1899-12-30T00:02:28"/>
    <m/>
    <m/>
    <m/>
    <m/>
    <m/>
    <x v="0"/>
    <s v="No"/>
    <s v="41k-65k"/>
    <x v="1"/>
    <s v="Finance"/>
    <s v="Other"/>
    <n v="7"/>
    <n v="5"/>
    <n v="4"/>
    <n v="6"/>
    <x v="7"/>
    <x v="5"/>
    <s v="Easy"/>
    <s v="Good Work/Life Balance"/>
    <s v="Female"/>
    <n v="39"/>
    <s v="Other"/>
    <s v="Masters"/>
    <s v="White or Caucasian"/>
  </r>
  <r>
    <s v="62b21d40bae91e4b8b985154"/>
    <s v="anonymous"/>
    <d v="2022-06-21T00:00:00"/>
    <d v="1899-12-30T15:34:00"/>
    <d v="1899-12-30T00:03:25"/>
    <m/>
    <m/>
    <m/>
    <m/>
    <m/>
    <x v="2"/>
    <s v="No"/>
    <s v="106k-125k"/>
    <x v="0"/>
    <s v="Other"/>
    <s v="Python"/>
    <n v="3"/>
    <n v="2"/>
    <n v="5"/>
    <n v="3"/>
    <x v="4"/>
    <x v="7"/>
    <s v="Neither easy nor difficult"/>
    <s v="Better Salary"/>
    <s v="Male"/>
    <n v="37"/>
    <s v="United States"/>
    <s v="Masters"/>
    <s v="White or Caucasian"/>
  </r>
  <r>
    <s v="62b27004bc6861bf318c9038"/>
    <s v="anonymous"/>
    <d v="2022-06-21T00:00:00"/>
    <d v="1899-12-30T21:27:00"/>
    <d v="1899-12-30T00:01:33"/>
    <m/>
    <m/>
    <m/>
    <m/>
    <m/>
    <x v="6"/>
    <s v="Yes"/>
    <s v="41k-65k"/>
    <x v="1"/>
    <s v="Education"/>
    <s v="Other"/>
    <n v="4"/>
    <n v="7"/>
    <n v="7"/>
    <n v="7"/>
    <x v="2"/>
    <x v="0"/>
    <s v="Difficult"/>
    <s v="Better Salary"/>
    <s v="Female"/>
    <n v="29"/>
    <s v="United States"/>
    <s v="Masters"/>
    <s v="White or Caucasian"/>
  </r>
  <r>
    <s v="62b2ea87f8d5efcc220e3e21"/>
    <s v="anonymous"/>
    <d v="2022-06-22T00:00:00"/>
    <d v="1899-12-30T06:10:00"/>
    <d v="1899-12-30T00:01:24"/>
    <m/>
    <m/>
    <m/>
    <m/>
    <m/>
    <x v="0"/>
    <s v="Yes"/>
    <s v="106k-125k"/>
    <x v="0"/>
    <s v="Finance"/>
    <s v="Python"/>
    <n v="5"/>
    <n v="6"/>
    <n v="6"/>
    <n v="5"/>
    <x v="7"/>
    <x v="1"/>
    <s v="Easy"/>
    <s v="Good Work/Life Balance"/>
    <s v="Male"/>
    <n v="42"/>
    <s v="United States"/>
    <s v="Masters"/>
    <s v="White or Caucasian"/>
  </r>
  <r>
    <s v="62b35284cec54911e9e1818c"/>
    <s v="anonymous"/>
    <d v="2022-06-22T00:00:00"/>
    <d v="1899-12-30T13:33:00"/>
    <d v="1899-12-30T00:01:11"/>
    <m/>
    <m/>
    <m/>
    <m/>
    <m/>
    <x v="4"/>
    <s v="No"/>
    <s v="0-40k"/>
    <x v="2"/>
    <s v="Tech"/>
    <s v="R"/>
    <n v="0"/>
    <n v="0"/>
    <n v="0"/>
    <n v="0"/>
    <x v="3"/>
    <x v="9"/>
    <s v="Neither easy nor difficult"/>
    <s v="Good Culture"/>
    <s v="Female"/>
    <n v="25"/>
    <s v="Canada"/>
    <s v="Bachelors"/>
    <s v="Asian or Asian American"/>
  </r>
  <r>
    <s v="62b4404df31287f32e14d1c1"/>
    <s v="anonymous"/>
    <d v="2022-06-23T00:00:00"/>
    <d v="1899-12-30T06:28:00"/>
    <d v="1899-12-30T00:01:20"/>
    <m/>
    <m/>
    <m/>
    <m/>
    <m/>
    <x v="6"/>
    <s v="Yes"/>
    <n v="0"/>
    <x v="2"/>
    <s v="Telecommunication"/>
    <s v="Python"/>
    <n v="5"/>
    <n v="5"/>
    <n v="5"/>
    <n v="5"/>
    <x v="7"/>
    <x v="5"/>
    <s v="Easy"/>
    <s v="Better Salary"/>
    <s v="Male"/>
    <n v="66"/>
    <s v="Other"/>
    <s v="High School"/>
    <s v="Black or African American"/>
  </r>
  <r>
    <s v="62b525563f28f20328aeee5c"/>
    <s v="anonymous"/>
    <d v="2022-06-23T00:00:00"/>
    <d v="1899-12-30T22:45:00"/>
    <d v="1899-12-30T00:00:50"/>
    <m/>
    <m/>
    <m/>
    <m/>
    <m/>
    <x v="0"/>
    <s v="Yes"/>
    <s v="125k-150k"/>
    <x v="4"/>
    <s v="Other"/>
    <s v="R"/>
    <n v="8"/>
    <n v="5"/>
    <n v="6"/>
    <n v="6"/>
    <x v="0"/>
    <x v="0"/>
    <s v="Easy"/>
    <s v="Better Salary"/>
    <s v="Male"/>
    <n v="26"/>
    <s v="United States"/>
    <s v="Bachelors"/>
    <s v="White or Caucasian"/>
  </r>
  <r>
    <s v="62b5a3e29bc428d5345f6e89"/>
    <s v="anonymous"/>
    <d v="2022-06-24T00:00:00"/>
    <d v="1899-12-30T07:45:00"/>
    <d v="1899-12-30T00:03:12"/>
    <m/>
    <m/>
    <m/>
    <m/>
    <m/>
    <x v="2"/>
    <s v="No"/>
    <s v="0-40k"/>
    <x v="2"/>
    <s v="Other"/>
    <s v="R"/>
    <n v="4"/>
    <n v="6"/>
    <n v="7"/>
    <n v="7"/>
    <x v="7"/>
    <x v="10"/>
    <s v="Difficult"/>
    <s v="Better Salary"/>
    <s v="Male"/>
    <n v="21"/>
    <s v="United States"/>
    <s v="Bachelors"/>
    <s v="White or Caucasian"/>
  </r>
  <r>
    <s v="62b71083f31287f32e189026"/>
    <s v="anonymous"/>
    <d v="2022-06-25T00:00:00"/>
    <d v="1899-12-30T09:41:00"/>
    <d v="1899-12-30T00:04:43"/>
    <m/>
    <m/>
    <m/>
    <m/>
    <m/>
    <x v="4"/>
    <s v="Yes"/>
    <s v="0-40k"/>
    <x v="2"/>
    <s v="Tech"/>
    <s v="Python"/>
    <n v="1"/>
    <n v="2"/>
    <n v="1"/>
    <n v="2"/>
    <x v="1"/>
    <x v="4"/>
    <s v="Difficult"/>
    <s v="Better Salary"/>
    <s v="Male"/>
    <n v="26"/>
    <s v="Other"/>
    <s v="Bachelors"/>
    <s v="Asian or Asian American"/>
  </r>
  <r>
    <s v="62b795033b026e423f287ecd"/>
    <s v="anonymous"/>
    <d v="2022-06-25T00:00:00"/>
    <d v="1899-12-30T19:06:00"/>
    <d v="1899-12-30T00:02:17"/>
    <m/>
    <m/>
    <m/>
    <m/>
    <m/>
    <x v="1"/>
    <s v="No"/>
    <s v="0-40k"/>
    <x v="2"/>
    <s v="Tech"/>
    <s v="Python"/>
    <n v="6"/>
    <n v="6"/>
    <n v="6"/>
    <n v="6"/>
    <x v="7"/>
    <x v="1"/>
    <s v="Easy"/>
    <s v="Other"/>
    <s v="Male"/>
    <n v="24"/>
    <s v="Other"/>
    <s v="Bachelors"/>
    <s v="Hispanic or Latino"/>
  </r>
  <r>
    <s v="62b89039377223ff07b80fb5"/>
    <s v="anonymous"/>
    <d v="2022-06-26T00:00:00"/>
    <d v="1899-12-30T12:58:00"/>
    <d v="1899-12-30T00:01:19"/>
    <m/>
    <m/>
    <m/>
    <m/>
    <m/>
    <x v="0"/>
    <s v="No"/>
    <s v="41k-65k"/>
    <x v="1"/>
    <s v="Other"/>
    <s v="Python"/>
    <n v="8"/>
    <n v="7"/>
    <n v="6"/>
    <n v="7"/>
    <x v="5"/>
    <x v="8"/>
    <s v="Easy"/>
    <s v="Remote Work"/>
    <s v="Male"/>
    <n v="22"/>
    <s v="United States"/>
    <s v="Bachelors"/>
    <s v="Asian or Asian American"/>
  </r>
  <r>
    <m/>
    <m/>
    <m/>
    <m/>
    <m/>
    <m/>
    <m/>
    <m/>
    <m/>
    <m/>
    <x v="7"/>
    <m/>
    <m/>
    <x v="8"/>
    <m/>
    <m/>
    <m/>
    <m/>
    <m/>
    <m/>
    <x v="11"/>
    <x v="11"/>
    <m/>
    <m/>
    <m/>
    <m/>
    <m/>
    <m/>
    <m/>
  </r>
  <r>
    <m/>
    <m/>
    <m/>
    <m/>
    <m/>
    <m/>
    <m/>
    <m/>
    <m/>
    <m/>
    <x v="7"/>
    <m/>
    <m/>
    <x v="9"/>
    <m/>
    <m/>
    <m/>
    <m/>
    <m/>
    <m/>
    <x v="11"/>
    <x v="11"/>
    <m/>
    <m/>
    <m/>
    <m/>
    <m/>
    <m/>
    <m/>
  </r>
  <r>
    <m/>
    <m/>
    <m/>
    <m/>
    <m/>
    <m/>
    <m/>
    <m/>
    <m/>
    <m/>
    <x v="7"/>
    <m/>
    <n v="0"/>
    <x v="10"/>
    <m/>
    <m/>
    <m/>
    <m/>
    <m/>
    <m/>
    <x v="11"/>
    <x v="11"/>
    <m/>
    <m/>
    <m/>
    <m/>
    <m/>
    <m/>
    <m/>
  </r>
  <r>
    <m/>
    <m/>
    <m/>
    <m/>
    <m/>
    <m/>
    <m/>
    <m/>
    <m/>
    <m/>
    <x v="7"/>
    <m/>
    <m/>
    <x v="8"/>
    <m/>
    <m/>
    <m/>
    <m/>
    <m/>
    <m/>
    <x v="11"/>
    <x v="11"/>
    <m/>
    <m/>
    <m/>
    <m/>
    <m/>
    <m/>
    <m/>
  </r>
  <r>
    <m/>
    <m/>
    <m/>
    <m/>
    <m/>
    <m/>
    <m/>
    <m/>
    <m/>
    <m/>
    <x v="7"/>
    <m/>
    <m/>
    <x v="11"/>
    <m/>
    <m/>
    <m/>
    <m/>
    <m/>
    <m/>
    <x v="11"/>
    <x v="11"/>
    <m/>
    <m/>
    <m/>
    <m/>
    <m/>
    <m/>
    <m/>
  </r>
  <r>
    <m/>
    <m/>
    <m/>
    <m/>
    <m/>
    <m/>
    <m/>
    <m/>
    <m/>
    <m/>
    <x v="7"/>
    <m/>
    <m/>
    <x v="1"/>
    <m/>
    <m/>
    <m/>
    <m/>
    <m/>
    <m/>
    <x v="11"/>
    <x v="11"/>
    <m/>
    <m/>
    <m/>
    <m/>
    <m/>
    <m/>
    <m/>
  </r>
  <r>
    <m/>
    <m/>
    <m/>
    <m/>
    <m/>
    <m/>
    <m/>
    <m/>
    <m/>
    <m/>
    <x v="7"/>
    <m/>
    <m/>
    <x v="8"/>
    <m/>
    <m/>
    <m/>
    <m/>
    <m/>
    <m/>
    <x v="11"/>
    <x v="11"/>
    <m/>
    <m/>
    <m/>
    <m/>
    <m/>
    <m/>
    <m/>
  </r>
  <r>
    <m/>
    <m/>
    <m/>
    <m/>
    <m/>
    <m/>
    <m/>
    <m/>
    <m/>
    <m/>
    <x v="7"/>
    <m/>
    <m/>
    <x v="12"/>
    <m/>
    <m/>
    <m/>
    <m/>
    <m/>
    <m/>
    <x v="11"/>
    <x v="11"/>
    <m/>
    <m/>
    <m/>
    <m/>
    <m/>
    <m/>
    <m/>
  </r>
  <r>
    <m/>
    <m/>
    <m/>
    <m/>
    <m/>
    <m/>
    <m/>
    <m/>
    <m/>
    <m/>
    <x v="7"/>
    <m/>
    <m/>
    <x v="13"/>
    <m/>
    <m/>
    <m/>
    <m/>
    <m/>
    <m/>
    <x v="11"/>
    <x v="11"/>
    <m/>
    <m/>
    <m/>
    <m/>
    <m/>
    <m/>
    <m/>
  </r>
  <r>
    <m/>
    <m/>
    <m/>
    <m/>
    <m/>
    <m/>
    <m/>
    <m/>
    <m/>
    <m/>
    <x v="7"/>
    <m/>
    <m/>
    <x v="8"/>
    <m/>
    <m/>
    <m/>
    <m/>
    <m/>
    <m/>
    <x v="11"/>
    <x v="11"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630">
  <r>
    <s v="62a33b3db4da29969c62df3d"/>
    <s v="anonymous"/>
    <d v="2022-06-10T00:00:00"/>
    <d v="1899-12-30T08:38:00"/>
    <d v="1899-12-30T00:00:44"/>
    <m/>
    <m/>
    <m/>
    <m/>
    <m/>
    <s v="Data Analyst"/>
    <x v="0"/>
    <s v="106k-125k"/>
    <n v="116"/>
    <s v="Healthcare"/>
    <s v="Python"/>
    <x v="0"/>
    <n v="9"/>
    <n v="7"/>
    <n v="5"/>
    <n v="5"/>
    <n v="7"/>
    <s v="Very Difficult"/>
    <s v="Remote Work"/>
    <s v="Male"/>
    <n v="26"/>
    <s v="United States"/>
    <m/>
    <s v="White or Caucasian"/>
  </r>
  <r>
    <s v="62a33ba1bae91e4b8b82e35c"/>
    <s v="anonymous"/>
    <d v="2022-06-10T00:00:00"/>
    <d v="1899-12-30T08:40:00"/>
    <d v="1899-12-30T00:01:30"/>
    <m/>
    <m/>
    <m/>
    <m/>
    <m/>
    <s v="Data Analyst"/>
    <x v="1"/>
    <s v="41k-65k"/>
    <n v="53"/>
    <s v="Finance"/>
    <s v="R"/>
    <x v="1"/>
    <n v="2"/>
    <n v="5"/>
    <n v="2"/>
    <n v="1"/>
    <n v="3"/>
    <s v="Very Difficult"/>
    <s v="Remote Work"/>
    <s v="Male"/>
    <n v="36"/>
    <s v="Canada"/>
    <m/>
    <s v="Asian or Asian American"/>
  </r>
  <r>
    <s v="62a33c2cbc6861bf3176bec1"/>
    <s v="anonymous"/>
    <d v="2022-06-10T00:00:00"/>
    <d v="1899-12-30T08:42:00"/>
    <d v="1899-12-30T00:02:18"/>
    <m/>
    <m/>
    <m/>
    <m/>
    <m/>
    <s v="Data Engineer"/>
    <x v="1"/>
    <s v="0-40k"/>
    <n v="20"/>
    <s v="Other"/>
    <s v="Python"/>
    <x v="2"/>
    <n v="8"/>
    <n v="7"/>
    <n v="5"/>
    <n v="7"/>
    <n v="7"/>
    <s v="Easy"/>
    <s v="Good Work/Life Balance"/>
    <s v="Male"/>
    <n v="23"/>
    <s v="Other"/>
    <m/>
    <s v="Black or African American"/>
  </r>
  <r>
    <s v="62a33c8624a26260273822f9"/>
    <s v="anonymous"/>
    <d v="2022-06-10T00:00:00"/>
    <d v="1899-12-30T08:43:00"/>
    <d v="1899-12-30T00:02:10"/>
    <m/>
    <m/>
    <m/>
    <m/>
    <m/>
    <s v="Other"/>
    <x v="0"/>
    <s v="150k-225k"/>
    <n v="188"/>
    <s v="Finance"/>
    <s v="R"/>
    <x v="3"/>
    <n v="6"/>
    <n v="7"/>
    <n v="10"/>
    <n v="7"/>
    <n v="10"/>
    <s v="Very Easy"/>
    <s v="Remote Work"/>
    <s v="Female"/>
    <n v="35"/>
    <s v="Canada"/>
    <m/>
    <s v="White or Caucasian"/>
  </r>
  <r>
    <s v="62a33c91f3072dd892621e03"/>
    <s v="anonymous"/>
    <d v="2022-06-10T00:00:00"/>
    <d v="1899-12-30T08:44:00"/>
    <d v="1899-12-30T00:01:51"/>
    <m/>
    <m/>
    <m/>
    <m/>
    <m/>
    <s v="Data Analyst"/>
    <x v="0"/>
    <s v="41k-65k"/>
    <n v="53"/>
    <s v="Healthcare"/>
    <s v="R"/>
    <x v="1"/>
    <n v="4"/>
    <n v="4"/>
    <n v="4"/>
    <n v="0"/>
    <n v="1"/>
    <s v="Difficult"/>
    <s v="Better Salary"/>
    <s v="Male"/>
    <n v="44"/>
    <s v="United States"/>
    <m/>
    <s v="Black or African American"/>
  </r>
  <r>
    <s v="62a33cb6cf25554317300177"/>
    <s v="anonymous"/>
    <d v="2022-06-10T00:00:00"/>
    <d v="1899-12-30T08:44:00"/>
    <d v="1899-12-30T00:02:34"/>
    <m/>
    <m/>
    <m/>
    <m/>
    <m/>
    <s v="Data Analyst"/>
    <x v="0"/>
    <s v="0-40k"/>
    <n v="20"/>
    <s v="Other"/>
    <s v="Python"/>
    <x v="4"/>
    <n v="3"/>
    <n v="3"/>
    <n v="3"/>
    <n v="3"/>
    <n v="2"/>
    <s v="Difficult"/>
    <s v="Good Work/Life Balance"/>
    <s v="Male"/>
    <n v="33"/>
    <s v="Other"/>
    <m/>
    <s v="Black or African American"/>
  </r>
  <r>
    <s v="62a33cb72e54c9003e531c65"/>
    <s v="anonymous"/>
    <d v="2022-06-10T00:00:00"/>
    <d v="1899-12-30T08:44:00"/>
    <d v="1899-12-30T00:01:15"/>
    <m/>
    <m/>
    <m/>
    <m/>
    <m/>
    <s v="Data Scientist"/>
    <x v="0"/>
    <s v="0-40k"/>
    <n v="20"/>
    <s v="Finance"/>
    <s v="Python"/>
    <x v="2"/>
    <n v="6"/>
    <n v="6"/>
    <n v="6"/>
    <n v="6"/>
    <n v="5"/>
    <s v="Difficult"/>
    <s v="Better Salary"/>
    <s v="Male"/>
    <n v="24"/>
    <s v="Other"/>
    <m/>
    <s v="Black or African American"/>
  </r>
  <r>
    <s v="62a33cd30f8c8599d5af0f8f"/>
    <s v="anonymous"/>
    <d v="2022-06-10T00:00:00"/>
    <d v="1899-12-30T08:45:00"/>
    <d v="1899-12-30T00:01:25"/>
    <m/>
    <m/>
    <m/>
    <m/>
    <m/>
    <s v="Data Engineer"/>
    <x v="0"/>
    <s v="125k-150k"/>
    <n v="138"/>
    <s v="Other"/>
    <s v="Other"/>
    <x v="3"/>
    <n v="5"/>
    <n v="5"/>
    <n v="5"/>
    <n v="5"/>
    <n v="9"/>
    <s v="Neither easy nor difficult"/>
    <s v="Remote Work"/>
    <s v="Male"/>
    <n v="35"/>
    <s v="United States"/>
    <m/>
    <s v="Asian or Asian American"/>
  </r>
  <r>
    <s v="62a33cd3cf255543173001d9"/>
    <s v="anonymous"/>
    <d v="2022-06-10T00:00:00"/>
    <d v="1899-12-30T08:45:00"/>
    <d v="1899-12-30T00:02:10"/>
    <m/>
    <m/>
    <m/>
    <m/>
    <m/>
    <s v="Data Analyst"/>
    <x v="0"/>
    <s v="86k-105k"/>
    <n v="96"/>
    <s v="Healthcare"/>
    <s v="R"/>
    <x v="5"/>
    <n v="4"/>
    <n v="4"/>
    <n v="4"/>
    <n v="5"/>
    <n v="5"/>
    <s v="Neither easy nor difficult"/>
    <s v="Better Salary"/>
    <s v="Male"/>
    <n v="35"/>
    <s v="United States"/>
    <m/>
    <s v="Asian or Asian American"/>
  </r>
  <r>
    <s v="62a33cd8bc6861bf3176c05f"/>
    <s v="anonymous"/>
    <d v="2022-06-10T00:00:00"/>
    <d v="1899-12-30T08:45:00"/>
    <d v="1899-12-30T00:01:27"/>
    <m/>
    <m/>
    <m/>
    <m/>
    <m/>
    <s v="Data Analyst"/>
    <x v="0"/>
    <s v="41k-65k"/>
    <n v="53"/>
    <s v="Telecommunication"/>
    <s v="Python"/>
    <x v="4"/>
    <n v="0"/>
    <n v="3"/>
    <n v="3"/>
    <n v="0"/>
    <n v="4"/>
    <s v="Very Difficult"/>
    <s v="Better Salary"/>
    <s v="Male"/>
    <n v="28"/>
    <s v="United States"/>
    <m/>
    <s v="Hispanic or Latino"/>
  </r>
  <r>
    <s v="62a33ce918134ddc75ce8c30"/>
    <s v="anonymous"/>
    <d v="2022-06-10T00:00:00"/>
    <d v="1899-12-30T08:45:00"/>
    <d v="1899-12-30T00:01:29"/>
    <m/>
    <m/>
    <m/>
    <m/>
    <m/>
    <s v="Data Analyst"/>
    <x v="0"/>
    <s v="66k-85k"/>
    <n v="76"/>
    <s v="Other"/>
    <s v="Python"/>
    <x v="3"/>
    <n v="10"/>
    <n v="8"/>
    <n v="8"/>
    <n v="8"/>
    <n v="10"/>
    <s v="Neither easy nor difficult"/>
    <s v="Remote Work"/>
    <s v="Male"/>
    <n v="37"/>
    <s v="Canada"/>
    <m/>
    <s v="White or Caucasian"/>
  </r>
  <r>
    <s v="62a33cf30a77c1a77f65baa2"/>
    <s v="anonymous"/>
    <d v="2022-06-10T00:00:00"/>
    <d v="1899-12-30T08:45:00"/>
    <d v="1899-12-30T00:02:31"/>
    <m/>
    <m/>
    <m/>
    <m/>
    <m/>
    <s v="Data Analyst"/>
    <x v="0"/>
    <s v="0-40k"/>
    <n v="20"/>
    <s v="Other"/>
    <s v="Python"/>
    <x v="6"/>
    <n v="8"/>
    <n v="10"/>
    <n v="10"/>
    <n v="7"/>
    <n v="8"/>
    <s v="Neither easy nor difficult"/>
    <s v="Better Salary"/>
    <s v="Male"/>
    <n v="32"/>
    <s v="Other"/>
    <m/>
    <s v="White or Caucasian"/>
  </r>
  <r>
    <s v="62a33d15f408bae018ed370d"/>
    <s v="anonymous"/>
    <d v="2022-06-10T00:00:00"/>
    <d v="1899-12-30T08:46:00"/>
    <d v="1899-12-30T00:03:20"/>
    <m/>
    <m/>
    <m/>
    <m/>
    <m/>
    <s v="Data Analyst"/>
    <x v="0"/>
    <s v="0-40k"/>
    <n v="20"/>
    <s v="Tech"/>
    <s v="R"/>
    <x v="1"/>
    <n v="10"/>
    <n v="9"/>
    <n v="9"/>
    <n v="5"/>
    <n v="10"/>
    <s v="Neither easy nor difficult"/>
    <s v="Better Salary"/>
    <s v="Male"/>
    <n v="34"/>
    <s v="Other"/>
    <m/>
    <s v="Other"/>
  </r>
  <r>
    <s v="62a33d1ebae91e4b8b82e707"/>
    <s v="anonymous"/>
    <d v="2022-06-10T00:00:00"/>
    <d v="1899-12-30T08:46:00"/>
    <d v="1899-12-30T00:00:55"/>
    <m/>
    <m/>
    <m/>
    <m/>
    <m/>
    <s v="Data Scientist"/>
    <x v="0"/>
    <s v="0-40k"/>
    <n v="20"/>
    <s v="Education"/>
    <s v="Python"/>
    <x v="6"/>
    <n v="10"/>
    <n v="10"/>
    <n v="6"/>
    <n v="7"/>
    <n v="8"/>
    <s v="Easy"/>
    <s v="Good Work/Life Balance"/>
    <s v="Male"/>
    <n v="30"/>
    <s v="United Kingdom"/>
    <m/>
    <s v="White or Caucasian"/>
  </r>
  <r>
    <s v="62a33d4624a26260273824c4"/>
    <s v="anonymous"/>
    <d v="2022-06-10T00:00:00"/>
    <d v="1899-12-30T08:47:00"/>
    <d v="1899-12-30T00:01:24"/>
    <m/>
    <m/>
    <m/>
    <m/>
    <m/>
    <s v="Data Analyst"/>
    <x v="1"/>
    <s v="41k-65k"/>
    <n v="53"/>
    <s v="Construction"/>
    <s v="R"/>
    <x v="5"/>
    <n v="5"/>
    <n v="5"/>
    <n v="5"/>
    <n v="4"/>
    <n v="5"/>
    <s v="Neither easy nor difficult"/>
    <s v="Good Culture"/>
    <s v="Male"/>
    <n v="31"/>
    <s v="United States"/>
    <m/>
    <s v="White or Caucasian"/>
  </r>
  <r>
    <s v="62a33d5c0f8c8599d5af107c"/>
    <s v="anonymous"/>
    <d v="2022-06-10T00:00:00"/>
    <d v="1899-12-30T08:47:00"/>
    <d v="1899-12-30T00:00:47"/>
    <m/>
    <m/>
    <m/>
    <m/>
    <m/>
    <s v="Data Analyst"/>
    <x v="0"/>
    <s v="41k-65k"/>
    <n v="53"/>
    <s v="Finance"/>
    <s v="Python"/>
    <x v="5"/>
    <n v="10"/>
    <n v="7"/>
    <n v="7"/>
    <n v="7"/>
    <n v="5"/>
    <s v="Difficult"/>
    <s v="Good Culture"/>
    <s v="Male"/>
    <n v="29"/>
    <s v="United States"/>
    <m/>
    <s v="White or Caucasian"/>
  </r>
  <r>
    <s v="62a33d850f8c8599d5af10cb"/>
    <s v="anonymous"/>
    <d v="2022-06-10T00:00:00"/>
    <d v="1899-12-30T08:48:00"/>
    <d v="1899-12-30T00:01:06"/>
    <m/>
    <m/>
    <m/>
    <m/>
    <m/>
    <s v="Data Analyst"/>
    <x v="0"/>
    <s v="0-40k"/>
    <n v="20"/>
    <s v="Tech"/>
    <s v="Python"/>
    <x v="1"/>
    <n v="2"/>
    <n v="4"/>
    <n v="2"/>
    <n v="2"/>
    <n v="2"/>
    <s v="Neither easy nor difficult"/>
    <s v="Better Salary"/>
    <s v="Male"/>
    <n v="22"/>
    <s v="Other"/>
    <m/>
    <s v="Black or African American"/>
  </r>
  <r>
    <s v="62a33d9bf8f7561645852496"/>
    <s v="anonymous"/>
    <d v="2022-06-10T00:00:00"/>
    <d v="1899-12-30T08:48:00"/>
    <d v="1899-12-30T00:01:04"/>
    <m/>
    <m/>
    <m/>
    <m/>
    <m/>
    <s v="Student"/>
    <x v="0"/>
    <s v="0-40k"/>
    <n v="20"/>
    <s v="Other"/>
    <s v="Python"/>
    <x v="1"/>
    <n v="3"/>
    <n v="2"/>
    <n v="2"/>
    <n v="4"/>
    <n v="1"/>
    <s v="Difficult"/>
    <s v="Better Salary"/>
    <s v="Male"/>
    <n v="23"/>
    <s v="United States"/>
    <m/>
    <s v="Black or African American"/>
  </r>
  <r>
    <s v="62a33dbdd8c00e9f5419cd65"/>
    <s v="anonymous"/>
    <d v="2022-06-10T00:00:00"/>
    <d v="1899-12-30T08:49:00"/>
    <d v="1899-12-30T00:01:05"/>
    <m/>
    <m/>
    <m/>
    <m/>
    <m/>
    <s v="Student"/>
    <x v="1"/>
    <s v="41k-65k"/>
    <n v="53"/>
    <s v="Tech"/>
    <s v="R"/>
    <x v="7"/>
    <n v="8"/>
    <n v="8"/>
    <n v="6"/>
    <n v="8"/>
    <n v="3"/>
    <s v="Very Difficult"/>
    <s v="Better Salary"/>
    <s v="Female"/>
    <n v="26"/>
    <s v="Canada"/>
    <m/>
    <s v="Asian or Asian American"/>
  </r>
  <r>
    <s v="62a33de124a26260273826b2"/>
    <s v="anonymous"/>
    <d v="2022-06-10T00:00:00"/>
    <d v="1899-12-30T08:49:00"/>
    <d v="1899-12-30T00:01:21"/>
    <m/>
    <m/>
    <m/>
    <m/>
    <m/>
    <s v="Data Analyst"/>
    <x v="1"/>
    <s v="0-40k"/>
    <n v="20"/>
    <s v="Other"/>
    <s v="Python"/>
    <x v="1"/>
    <n v="1"/>
    <n v="1"/>
    <n v="1"/>
    <n v="2"/>
    <n v="0"/>
    <s v="Very Difficult"/>
    <s v="Better Salary"/>
    <s v="Male"/>
    <n v="28"/>
    <s v="Other"/>
    <m/>
    <s v="Black or African American"/>
  </r>
  <r>
    <s v="62a33dedd8c00e9f5419ce2b"/>
    <s v="anonymous"/>
    <d v="2022-06-10T00:00:00"/>
    <d v="1899-12-30T08:49:00"/>
    <d v="1899-12-30T00:01:23"/>
    <m/>
    <m/>
    <m/>
    <m/>
    <m/>
    <s v="Data Analyst"/>
    <x v="0"/>
    <s v="41k-65k"/>
    <n v="53"/>
    <s v="Finance"/>
    <s v="Python"/>
    <x v="8"/>
    <n v="5"/>
    <n v="5"/>
    <n v="5"/>
    <n v="5"/>
    <n v="5"/>
    <s v="Easy"/>
    <s v="Remote Work"/>
    <s v="Male"/>
    <n v="29"/>
    <s v="Other"/>
    <m/>
    <s v="Black or African American"/>
  </r>
  <r>
    <s v="62a33dfbd8c00e9f5419ceda"/>
    <s v="anonymous"/>
    <d v="2022-06-10T00:00:00"/>
    <d v="1899-12-30T08:50:00"/>
    <d v="1899-12-30T00:01:35"/>
    <m/>
    <m/>
    <m/>
    <m/>
    <m/>
    <s v="Data Analyst"/>
    <x v="0"/>
    <s v="106k-125k"/>
    <n v="116"/>
    <s v="Tech"/>
    <s v="Other"/>
    <x v="3"/>
    <n v="5"/>
    <n v="10"/>
    <n v="6"/>
    <n v="10"/>
    <n v="10"/>
    <s v="Neither easy nor difficult"/>
    <s v="Remote Work"/>
    <s v="Female"/>
    <n v="31"/>
    <s v="United States"/>
    <m/>
    <s v="White or Caucasian"/>
  </r>
  <r>
    <s v="62a33e38f3072dd8926221d3"/>
    <s v="anonymous"/>
    <d v="2022-06-10T00:00:00"/>
    <d v="1899-12-30T08:51:00"/>
    <d v="1899-12-30T00:01:25"/>
    <m/>
    <m/>
    <m/>
    <m/>
    <m/>
    <s v="Data Analyst"/>
    <x v="0"/>
    <s v="0-40k"/>
    <n v="20"/>
    <s v="Healthcare"/>
    <s v="Python"/>
    <x v="8"/>
    <n v="6"/>
    <n v="8"/>
    <n v="8"/>
    <n v="7"/>
    <n v="1"/>
    <s v="Neither easy nor difficult"/>
    <s v="Remote Work"/>
    <s v="Male"/>
    <n v="28"/>
    <s v="Other"/>
    <m/>
    <s v="White or Caucasian"/>
  </r>
  <r>
    <s v="62a33e54d8c00e9f5419cfe9"/>
    <s v="anonymous"/>
    <d v="2022-06-10T00:00:00"/>
    <d v="1899-12-30T08:51:00"/>
    <d v="1899-12-30T00:01:47"/>
    <m/>
    <m/>
    <m/>
    <m/>
    <m/>
    <s v="Data Analyst"/>
    <x v="1"/>
    <s v="0-40k"/>
    <n v="20"/>
    <s v="Finance"/>
    <s v="Python"/>
    <x v="5"/>
    <n v="4"/>
    <n v="4"/>
    <n v="4"/>
    <n v="4"/>
    <n v="4"/>
    <s v="Neither easy nor difficult"/>
    <s v="Better Salary"/>
    <s v="Male"/>
    <n v="32"/>
    <s v="Other"/>
    <m/>
    <s v="Hispanic or Latino"/>
  </r>
  <r>
    <s v="62a33e62575fa3a5ae88aabf"/>
    <s v="anonymous"/>
    <d v="2022-06-10T00:00:00"/>
    <d v="1899-12-30T08:51:00"/>
    <d v="1899-12-30T00:02:14"/>
    <m/>
    <m/>
    <m/>
    <m/>
    <m/>
    <s v="Data Analyst"/>
    <x v="1"/>
    <s v="0-40k"/>
    <n v="20"/>
    <s v="Tech"/>
    <s v="Python"/>
    <x v="7"/>
    <n v="8"/>
    <n v="8"/>
    <n v="8"/>
    <n v="3"/>
    <n v="8"/>
    <s v="Easy"/>
    <s v="Better Salary"/>
    <s v="Male"/>
    <n v="24"/>
    <s v="Other"/>
    <m/>
    <s v="Black or African American"/>
  </r>
  <r>
    <s v="62a33e63cec54911e9ca4f99"/>
    <s v="anonymous"/>
    <d v="2022-06-10T00:00:00"/>
    <d v="1899-12-30T08:51:00"/>
    <d v="1899-12-30T00:02:21"/>
    <m/>
    <m/>
    <m/>
    <m/>
    <m/>
    <s v="Data Analyst"/>
    <x v="1"/>
    <s v="0-40k"/>
    <n v="20"/>
    <s v="Tech"/>
    <s v="Python"/>
    <x v="5"/>
    <n v="6"/>
    <n v="6"/>
    <n v="6"/>
    <n v="7"/>
    <n v="7"/>
    <s v="Easy"/>
    <s v="Good Work/Life Balance"/>
    <s v="Male"/>
    <n v="31"/>
    <s v="India"/>
    <m/>
    <s v="Asian or Asian American"/>
  </r>
  <r>
    <s v="62a33e72bae91e4b8b82ea1a"/>
    <s v="anonymous"/>
    <d v="2022-06-10T00:00:00"/>
    <d v="1899-12-30T08:52:00"/>
    <d v="1899-12-30T00:02:07"/>
    <m/>
    <m/>
    <m/>
    <m/>
    <m/>
    <s v="Data Analyst"/>
    <x v="1"/>
    <s v="66k-85k"/>
    <n v="76"/>
    <s v="Other"/>
    <s v="Other"/>
    <x v="7"/>
    <n v="10"/>
    <n v="5"/>
    <n v="5"/>
    <n v="5"/>
    <n v="2"/>
    <s v="Difficult"/>
    <s v="Other"/>
    <s v="Male"/>
    <n v="23"/>
    <s v="United States"/>
    <m/>
    <s v="White or Caucasian"/>
  </r>
  <r>
    <s v="62a33e890f8c8599d5af13b9"/>
    <s v="anonymous"/>
    <d v="2022-06-10T00:00:00"/>
    <d v="1899-12-30T08:52:00"/>
    <d v="1899-12-30T00:01:20"/>
    <m/>
    <m/>
    <m/>
    <m/>
    <m/>
    <s v="Data Analyst"/>
    <x v="0"/>
    <s v="106k-125k"/>
    <n v="116"/>
    <s v="Other"/>
    <s v="Python"/>
    <x v="1"/>
    <n v="6"/>
    <n v="9"/>
    <n v="1"/>
    <n v="0"/>
    <n v="2"/>
    <s v="Difficult"/>
    <s v="Remote Work"/>
    <s v="Female"/>
    <n v="33"/>
    <s v="United States"/>
    <m/>
    <s v="Asian or Asian American"/>
  </r>
  <r>
    <s v="62a33e8bf8d5efcc22f7c79a"/>
    <s v="anonymous"/>
    <d v="2022-06-10T00:00:00"/>
    <d v="1899-12-30T08:52:00"/>
    <d v="1899-12-30T00:01:34"/>
    <m/>
    <m/>
    <m/>
    <m/>
    <m/>
    <s v="Data Analyst"/>
    <x v="1"/>
    <s v="86k-105k"/>
    <n v="96"/>
    <s v="Healthcare"/>
    <s v="Other"/>
    <x v="9"/>
    <n v="7"/>
    <n v="7"/>
    <n v="7"/>
    <n v="7"/>
    <n v="4"/>
    <s v="Very Easy"/>
    <s v="Better Salary"/>
    <s v="Male"/>
    <n v="43"/>
    <s v="United States"/>
    <m/>
    <s v="White or Caucasian"/>
  </r>
  <r>
    <s v="62a33e90cec54911e9ca5031"/>
    <s v="anonymous"/>
    <d v="2022-06-10T00:00:00"/>
    <d v="1899-12-30T08:52:00"/>
    <d v="1899-12-30T00:01:34"/>
    <m/>
    <m/>
    <m/>
    <m/>
    <m/>
    <s v="Student"/>
    <x v="0"/>
    <s v="0-40k"/>
    <n v="20"/>
    <s v="Other"/>
    <s v="R"/>
    <x v="2"/>
    <n v="0"/>
    <n v="5"/>
    <n v="0"/>
    <n v="0"/>
    <n v="0"/>
    <s v="Very Difficult"/>
    <s v="Remote Work"/>
    <s v="Female"/>
    <n v="23"/>
    <s v="Other"/>
    <m/>
    <s v="Other"/>
  </r>
  <r>
    <s v="62a33e9df8f756164585277b"/>
    <s v="anonymous"/>
    <d v="2022-06-10T00:00:00"/>
    <d v="1899-12-30T08:52:00"/>
    <d v="1899-12-30T00:01:47"/>
    <m/>
    <m/>
    <m/>
    <m/>
    <m/>
    <s v="Student"/>
    <x v="0"/>
    <s v="41k-65k"/>
    <n v="53"/>
    <s v="Finance"/>
    <s v="Python"/>
    <x v="3"/>
    <n v="7"/>
    <n v="10"/>
    <n v="10"/>
    <n v="5"/>
    <n v="3"/>
    <s v="Very Difficult"/>
    <s v="Good Work/Life Balance"/>
    <s v="Male"/>
    <n v="31"/>
    <s v="United States"/>
    <m/>
    <s v="Black or African American"/>
  </r>
  <r>
    <s v="62a33eb6bc6861bf3176c5a3"/>
    <s v="anonymous"/>
    <d v="2022-06-10T00:00:00"/>
    <d v="1899-12-30T08:53:00"/>
    <d v="1899-12-30T00:01:38"/>
    <m/>
    <m/>
    <m/>
    <m/>
    <m/>
    <s v="Data Analyst"/>
    <x v="0"/>
    <s v="66k-85k"/>
    <n v="76"/>
    <s v="Finance"/>
    <s v="Python"/>
    <x v="8"/>
    <n v="6"/>
    <n v="7"/>
    <n v="5"/>
    <n v="4"/>
    <n v="4"/>
    <s v="Neither easy nor difficult"/>
    <s v="Other"/>
    <s v="Male"/>
    <n v="31"/>
    <s v="United Kingdom"/>
    <m/>
    <s v="White or Caucasian"/>
  </r>
  <r>
    <s v="62a33ee0bae91e4b8b82eaec"/>
    <s v="anonymous"/>
    <d v="2022-06-10T00:00:00"/>
    <d v="1899-12-30T08:53:00"/>
    <d v="1899-12-30T00:03:30"/>
    <m/>
    <m/>
    <m/>
    <m/>
    <m/>
    <s v="Data Analyst"/>
    <x v="0"/>
    <s v="0-40k"/>
    <n v="20"/>
    <s v="Other"/>
    <s v="Python"/>
    <x v="10"/>
    <n v="7"/>
    <n v="8"/>
    <n v="7"/>
    <n v="7"/>
    <n v="7"/>
    <s v="Difficult"/>
    <s v="Good Work/Life Balance"/>
    <s v="Male"/>
    <n v="25"/>
    <s v="India"/>
    <m/>
    <s v="Asian or Asian American"/>
  </r>
  <r>
    <s v="62a33ee80f8c8599d5af14b7"/>
    <s v="anonymous"/>
    <d v="2022-06-10T00:00:00"/>
    <d v="1899-12-30T08:54:00"/>
    <d v="1899-12-30T00:01:37"/>
    <m/>
    <m/>
    <m/>
    <m/>
    <m/>
    <s v="Data Engineer"/>
    <x v="1"/>
    <s v="125k-150k"/>
    <n v="138"/>
    <s v="Tech"/>
    <s v="Other"/>
    <x v="10"/>
    <n v="10"/>
    <n v="10"/>
    <n v="9"/>
    <n v="9"/>
    <n v="9"/>
    <s v="Easy"/>
    <s v="Better Salary"/>
    <s v="Male"/>
    <n v="43"/>
    <s v="United States"/>
    <m/>
    <s v="White or Caucasian"/>
  </r>
  <r>
    <s v="62a33efe0a77c1a77f65bf1e"/>
    <s v="anonymous"/>
    <d v="2022-06-10T00:00:00"/>
    <d v="1899-12-30T08:54:00"/>
    <d v="1899-12-30T00:02:08"/>
    <m/>
    <m/>
    <m/>
    <m/>
    <m/>
    <s v="Data Analyst"/>
    <x v="1"/>
    <s v="41k-65k"/>
    <n v="53"/>
    <s v="Finance"/>
    <s v="Python"/>
    <x v="4"/>
    <n v="3"/>
    <n v="5"/>
    <n v="5"/>
    <n v="5"/>
    <n v="5"/>
    <s v="Difficult"/>
    <s v="Better Salary"/>
    <s v="Female"/>
    <n v="26"/>
    <s v="Canada"/>
    <m/>
    <s v="Other"/>
  </r>
  <r>
    <s v="62a33f0ef408bae018ed3aeb"/>
    <s v="anonymous"/>
    <d v="2022-06-10T00:00:00"/>
    <d v="1899-12-30T08:54:00"/>
    <d v="1899-12-30T00:03:54"/>
    <m/>
    <m/>
    <m/>
    <m/>
    <m/>
    <s v="Other"/>
    <x v="1"/>
    <s v="41k-65k"/>
    <n v="53"/>
    <s v="Other"/>
    <s v="Python"/>
    <x v="8"/>
    <n v="10"/>
    <n v="8"/>
    <n v="8"/>
    <n v="8"/>
    <n v="7"/>
    <s v="Neither easy nor difficult"/>
    <s v="Remote Work"/>
    <s v="Male"/>
    <n v="32"/>
    <s v="Other"/>
    <m/>
    <s v="White or Caucasian"/>
  </r>
  <r>
    <s v="62a33f17f8f7561645852867"/>
    <s v="anonymous"/>
    <d v="2022-06-10T00:00:00"/>
    <d v="1899-12-30T08:54:00"/>
    <d v="1899-12-30T00:02:28"/>
    <m/>
    <m/>
    <m/>
    <m/>
    <m/>
    <s v="Other"/>
    <x v="1"/>
    <s v="0-40k"/>
    <n v="20"/>
    <s v="Tech"/>
    <s v="Python"/>
    <x v="4"/>
    <n v="9"/>
    <n v="7"/>
    <n v="7"/>
    <n v="5"/>
    <n v="6"/>
    <s v="Difficult"/>
    <s v="Better Salary"/>
    <s v="Male"/>
    <n v="31"/>
    <s v="Other"/>
    <m/>
    <s v="White or Caucasian"/>
  </r>
  <r>
    <s v="62a33f52bc6861bf3176c72c"/>
    <s v="anonymous"/>
    <d v="2022-06-10T00:00:00"/>
    <d v="1899-12-30T08:55:00"/>
    <d v="1899-12-30T00:01:33"/>
    <m/>
    <m/>
    <m/>
    <m/>
    <m/>
    <s v="Data Analyst"/>
    <x v="0"/>
    <s v="86k-105k"/>
    <n v="96"/>
    <s v="Healthcare"/>
    <s v="Other"/>
    <x v="6"/>
    <n v="5"/>
    <n v="6"/>
    <n v="4"/>
    <n v="4"/>
    <n v="5"/>
    <s v="Neither easy nor difficult"/>
    <s v="Better Salary"/>
    <s v="Male"/>
    <n v="29"/>
    <s v="United States"/>
    <m/>
    <s v="White or Caucasian"/>
  </r>
  <r>
    <s v="62a33f56cf255543173005e9"/>
    <s v="anonymous"/>
    <d v="2022-06-10T00:00:00"/>
    <d v="1899-12-30T08:55:00"/>
    <d v="1899-12-30T00:00:56"/>
    <m/>
    <m/>
    <m/>
    <m/>
    <m/>
    <s v="Data Analyst"/>
    <x v="0"/>
    <s v="0-40k"/>
    <n v="20"/>
    <s v="Other"/>
    <s v="Python"/>
    <x v="6"/>
    <n v="1"/>
    <n v="3"/>
    <n v="2"/>
    <n v="3"/>
    <n v="1"/>
    <s v="Neither easy nor difficult"/>
    <s v="Good Culture"/>
    <s v="Male"/>
    <n v="24"/>
    <s v="Other"/>
    <m/>
    <s v="Hispanic or Latino"/>
  </r>
  <r>
    <s v="62a33f5a5d257a28a30d7bb5"/>
    <s v="anonymous"/>
    <d v="2022-06-10T00:00:00"/>
    <d v="1899-12-30T08:55:00"/>
    <d v="1899-12-30T00:02:38"/>
    <m/>
    <m/>
    <m/>
    <m/>
    <m/>
    <s v="Student"/>
    <x v="0"/>
    <s v="41k-65k"/>
    <n v="53"/>
    <s v="Construction"/>
    <s v="Python"/>
    <x v="4"/>
    <n v="0"/>
    <n v="2"/>
    <n v="2"/>
    <n v="0"/>
    <n v="0"/>
    <s v="Very Difficult"/>
    <s v="Remote Work"/>
    <s v="Male"/>
    <n v="34"/>
    <s v="United States"/>
    <m/>
    <s v="White or Caucasian"/>
  </r>
  <r>
    <s v="62a33fa5cec54911e9ca51f1"/>
    <s v="anonymous"/>
    <d v="2022-06-10T00:00:00"/>
    <d v="1899-12-30T08:57:00"/>
    <d v="1899-12-30T00:01:52"/>
    <m/>
    <m/>
    <m/>
    <m/>
    <m/>
    <s v="Data Analyst"/>
    <x v="0"/>
    <s v="41k-65k"/>
    <n v="53"/>
    <s v="Other"/>
    <s v="Other"/>
    <x v="8"/>
    <n v="6"/>
    <n v="6"/>
    <n v="5"/>
    <n v="4"/>
    <n v="6"/>
    <s v="Very Difficult"/>
    <s v="Better Salary"/>
    <s v="Male"/>
    <n v="42"/>
    <s v="Other"/>
    <m/>
    <s v="Other"/>
  </r>
  <r>
    <s v="62a33fcb575fa3a5ae88ad59"/>
    <s v="anonymous"/>
    <d v="2022-06-10T00:00:00"/>
    <d v="1899-12-30T08:57:00"/>
    <d v="1899-12-30T00:02:03"/>
    <m/>
    <m/>
    <m/>
    <m/>
    <m/>
    <s v="Student"/>
    <x v="0"/>
    <s v="0-40k"/>
    <n v="20"/>
    <s v="Other"/>
    <s v="JavaScript"/>
    <x v="2"/>
    <n v="0"/>
    <n v="0"/>
    <n v="0"/>
    <n v="0"/>
    <n v="0"/>
    <s v="Difficult"/>
    <s v="Remote Work"/>
    <s v="Female"/>
    <n v="40"/>
    <s v="United States"/>
    <m/>
    <s v="Asian or Asian American"/>
  </r>
  <r>
    <s v="62a33fcf18134ddc75ce91c3"/>
    <s v="anonymous"/>
    <d v="2022-06-10T00:00:00"/>
    <d v="1899-12-30T08:57:00"/>
    <d v="1899-12-30T00:02:32"/>
    <m/>
    <m/>
    <m/>
    <m/>
    <m/>
    <s v="Student"/>
    <x v="1"/>
    <s v="41k-65k"/>
    <n v="53"/>
    <s v="Telecommunication"/>
    <s v="Python"/>
    <x v="6"/>
    <n v="1"/>
    <n v="3"/>
    <n v="4"/>
    <n v="0"/>
    <n v="3"/>
    <s v="Easy"/>
    <s v="Good Work/Life Balance"/>
    <s v="Male"/>
    <n v="43"/>
    <s v="Other"/>
    <m/>
    <s v="White or Caucasian"/>
  </r>
  <r>
    <s v="62a34006d8c00e9f5419d341"/>
    <s v="anonymous"/>
    <d v="2022-06-10T00:00:00"/>
    <d v="1899-12-30T08:58:00"/>
    <d v="1899-12-30T00:02:39"/>
    <m/>
    <m/>
    <m/>
    <m/>
    <m/>
    <s v="Student"/>
    <x v="0"/>
    <s v="0-40k"/>
    <n v="20"/>
    <s v="Construction"/>
    <s v="Python"/>
    <x v="2"/>
    <n v="0"/>
    <n v="0"/>
    <n v="0"/>
    <n v="0"/>
    <n v="0"/>
    <s v="Very Difficult"/>
    <s v="Better Salary"/>
    <s v="Male"/>
    <n v="23"/>
    <s v="Other"/>
    <m/>
    <s v="Other"/>
  </r>
  <r>
    <s v="62a34020575fa3a5ae88ade0"/>
    <s v="anonymous"/>
    <d v="2022-06-10T00:00:00"/>
    <d v="1899-12-30T08:59:00"/>
    <d v="1899-12-30T00:01:11"/>
    <m/>
    <m/>
    <m/>
    <m/>
    <m/>
    <s v="Student"/>
    <x v="0"/>
    <s v="0-40k"/>
    <n v="20"/>
    <s v="Education"/>
    <s v="Python"/>
    <x v="8"/>
    <n v="5"/>
    <n v="3"/>
    <n v="5"/>
    <n v="2"/>
    <n v="6"/>
    <s v="Difficult"/>
    <s v="Better Salary"/>
    <s v="Male"/>
    <n v="23"/>
    <s v="Other"/>
    <m/>
    <s v="Asian or Asian American"/>
  </r>
  <r>
    <s v="62a34038b4da29969c62eafe"/>
    <s v="anonymous"/>
    <d v="2022-06-10T00:00:00"/>
    <d v="1899-12-30T08:59:00"/>
    <d v="1899-12-30T00:03:55"/>
    <m/>
    <m/>
    <m/>
    <m/>
    <m/>
    <s v="Data Analyst"/>
    <x v="0"/>
    <s v="86k-105k"/>
    <n v="96"/>
    <s v="Other"/>
    <s v="Python"/>
    <x v="10"/>
    <n v="6"/>
    <n v="2"/>
    <n v="3"/>
    <n v="6"/>
    <n v="7"/>
    <s v="Neither easy nor difficult"/>
    <s v="Other"/>
    <s v="Male"/>
    <n v="28"/>
    <s v="United States"/>
    <m/>
    <s v="White or Caucasian"/>
  </r>
  <r>
    <s v="62a3406b575fa3a5ae88ae78"/>
    <s v="anonymous"/>
    <d v="2022-06-10T00:00:00"/>
    <d v="1899-12-30T09:00:00"/>
    <d v="1899-12-30T00:01:25"/>
    <m/>
    <m/>
    <m/>
    <m/>
    <m/>
    <s v="Data Analyst"/>
    <x v="1"/>
    <s v="66k-85k"/>
    <n v="76"/>
    <s v="Finance"/>
    <s v="Other"/>
    <x v="8"/>
    <n v="7"/>
    <n v="1"/>
    <n v="1"/>
    <n v="0"/>
    <n v="8"/>
    <s v="Neither easy nor difficult"/>
    <s v="Better Salary"/>
    <s v="Male"/>
    <n v="32"/>
    <s v="United States"/>
    <m/>
    <s v="White or Caucasian"/>
  </r>
  <r>
    <s v="62a340cab4da29969c62ec01"/>
    <s v="anonymous"/>
    <d v="2022-06-10T00:00:00"/>
    <d v="1899-12-30T09:02:00"/>
    <d v="1899-12-30T00:02:47"/>
    <m/>
    <m/>
    <m/>
    <m/>
    <m/>
    <s v="Data Analyst"/>
    <x v="0"/>
    <s v="66k-85k"/>
    <n v="76"/>
    <s v="Other"/>
    <s v="R"/>
    <x v="7"/>
    <n v="8"/>
    <n v="10"/>
    <n v="8"/>
    <n v="9"/>
    <n v="9"/>
    <s v="Difficult"/>
    <s v="Remote Work"/>
    <s v="Female"/>
    <n v="41"/>
    <s v="United States"/>
    <m/>
    <s v="White or Caucasian"/>
  </r>
  <r>
    <s v="62a340d62e54c9003e5324b4"/>
    <s v="anonymous"/>
    <d v="2022-06-10T00:00:00"/>
    <d v="1899-12-30T09:02:00"/>
    <d v="1899-12-30T00:00:56"/>
    <m/>
    <m/>
    <m/>
    <m/>
    <m/>
    <s v="Data Analyst"/>
    <x v="0"/>
    <s v="41k-65k"/>
    <n v="53"/>
    <s v="Finance"/>
    <s v="Python"/>
    <x v="8"/>
    <n v="6"/>
    <n v="6"/>
    <n v="6"/>
    <n v="6"/>
    <n v="6"/>
    <s v="Neither easy nor difficult"/>
    <s v="Remote Work"/>
    <s v="Male"/>
    <n v="33"/>
    <s v="United Kingdom"/>
    <s v="High School"/>
    <s v="White or Caucasian"/>
  </r>
  <r>
    <s v="62a340e10a77c1a77f65c2e7"/>
    <s v="anonymous"/>
    <d v="2022-06-10T00:00:00"/>
    <d v="1899-12-30T09:02:00"/>
    <d v="1899-12-30T00:01:57"/>
    <m/>
    <m/>
    <m/>
    <m/>
    <m/>
    <s v="Other"/>
    <x v="0"/>
    <s v="150k-225k"/>
    <n v="188"/>
    <s v="Tech"/>
    <s v="Python"/>
    <x v="3"/>
    <n v="8"/>
    <n v="9"/>
    <n v="8"/>
    <n v="8"/>
    <n v="10"/>
    <s v="Easy"/>
    <s v="Good Work/Life Balance"/>
    <s v="Male"/>
    <n v="38"/>
    <s v="United States"/>
    <m/>
    <s v="Hispanic or Latino"/>
  </r>
  <r>
    <s v="62a340f5bc6861bf3176caa4"/>
    <s v="anonymous"/>
    <d v="2022-06-10T00:00:00"/>
    <d v="1899-12-30T09:02:00"/>
    <d v="1899-12-30T00:02:32"/>
    <m/>
    <m/>
    <m/>
    <m/>
    <m/>
    <s v="Data Analyst"/>
    <x v="1"/>
    <s v="0-40k"/>
    <n v="20"/>
    <s v="Tech"/>
    <s v="Other"/>
    <x v="10"/>
    <n v="8"/>
    <n v="8"/>
    <n v="8"/>
    <n v="5"/>
    <n v="10"/>
    <s v="Easy"/>
    <s v="Better Salary"/>
    <s v="Female"/>
    <n v="22"/>
    <s v="India"/>
    <m/>
    <s v="Other"/>
  </r>
  <r>
    <s v="62a34117cec54911e9ca54e7"/>
    <s v="anonymous"/>
    <d v="2022-06-10T00:00:00"/>
    <d v="1899-12-30T09:03:00"/>
    <d v="1899-12-30T00:01:59"/>
    <m/>
    <m/>
    <m/>
    <m/>
    <m/>
    <s v="Student"/>
    <x v="0"/>
    <s v="0-40k"/>
    <n v="20"/>
    <s v="Other"/>
    <s v="R"/>
    <x v="1"/>
    <n v="3"/>
    <n v="6"/>
    <n v="6"/>
    <n v="6"/>
    <n v="9"/>
    <s v="Difficult"/>
    <s v="Remote Work"/>
    <s v="Male"/>
    <n v="36"/>
    <s v="Other"/>
    <s v="Bachelors"/>
    <s v="Black or African American"/>
  </r>
  <r>
    <s v="62a3413a5d257a28a30d8074"/>
    <s v="anonymous"/>
    <d v="2022-06-10T00:00:00"/>
    <d v="1899-12-30T09:03:00"/>
    <d v="1899-12-30T00:01:18"/>
    <m/>
    <m/>
    <m/>
    <m/>
    <m/>
    <s v="Data Engineer"/>
    <x v="1"/>
    <s v="66k-85k"/>
    <n v="76"/>
    <s v="Finance"/>
    <s v="Python"/>
    <x v="4"/>
    <n v="1"/>
    <n v="1"/>
    <n v="1"/>
    <n v="3"/>
    <n v="7"/>
    <s v="Easy"/>
    <s v="Remote Work"/>
    <s v="Female"/>
    <n v="28"/>
    <s v="United States"/>
    <s v="Masters"/>
    <s v="Asian or Asian American"/>
  </r>
  <r>
    <s v="62a341a1f3072dd8926229a5"/>
    <s v="anonymous"/>
    <d v="2022-06-10T00:00:00"/>
    <d v="1899-12-30T09:05:00"/>
    <d v="1899-12-30T00:08:11"/>
    <m/>
    <m/>
    <m/>
    <m/>
    <m/>
    <s v="Student"/>
    <x v="0"/>
    <s v="0-40k"/>
    <n v="20"/>
    <s v="Other"/>
    <s v="Other"/>
    <x v="11"/>
    <m/>
    <m/>
    <m/>
    <m/>
    <n v="7"/>
    <s v="Very Easy"/>
    <s v="Other"/>
    <s v="Male"/>
    <n v="30"/>
    <s v="Other"/>
    <m/>
    <s v="Other"/>
  </r>
  <r>
    <s v="62a341b0f8f7561645852d1d"/>
    <s v="anonymous"/>
    <d v="2022-06-10T00:00:00"/>
    <d v="1899-12-30T09:05:00"/>
    <d v="1899-12-30T00:01:44"/>
    <m/>
    <m/>
    <m/>
    <m/>
    <m/>
    <s v="Data Analyst"/>
    <x v="0"/>
    <s v="66k-85k"/>
    <n v="76"/>
    <s v="Tech"/>
    <s v="Python"/>
    <x v="9"/>
    <n v="6"/>
    <n v="6"/>
    <n v="6"/>
    <n v="5"/>
    <n v="6"/>
    <s v="Difficult"/>
    <s v="Other"/>
    <s v="Female"/>
    <n v="24"/>
    <s v="United States"/>
    <s v="Bachelors"/>
    <s v="Hispanic or Latino"/>
  </r>
  <r>
    <s v="62a341e8f8d5efcc22f7d002"/>
    <s v="anonymous"/>
    <d v="2022-06-10T00:00:00"/>
    <d v="1899-12-30T09:06:00"/>
    <d v="1899-12-30T00:01:58"/>
    <m/>
    <m/>
    <m/>
    <m/>
    <m/>
    <s v="Other"/>
    <x v="1"/>
    <s v="41k-65k"/>
    <n v="53"/>
    <s v="Other"/>
    <s v="C/C++"/>
    <x v="6"/>
    <n v="6"/>
    <n v="7"/>
    <n v="7"/>
    <n v="0"/>
    <n v="3"/>
    <s v="Very Difficult"/>
    <s v="Better Salary"/>
    <s v="Male"/>
    <n v="29"/>
    <s v="United States"/>
    <s v="Bachelors"/>
    <s v="White or Caucasian"/>
  </r>
  <r>
    <s v="62a34210cf25554317300c02"/>
    <s v="anonymous"/>
    <d v="2022-06-10T00:00:00"/>
    <d v="1899-12-30T09:07:00"/>
    <d v="1899-12-30T00:02:15"/>
    <m/>
    <m/>
    <m/>
    <m/>
    <m/>
    <s v="Data Analyst"/>
    <x v="1"/>
    <s v="0-40k"/>
    <n v="20"/>
    <s v="Tech"/>
    <s v="Python"/>
    <x v="5"/>
    <n v="9"/>
    <n v="10"/>
    <n v="9"/>
    <n v="9"/>
    <n v="10"/>
    <s v="Easy"/>
    <s v="Better Salary"/>
    <s v="Male"/>
    <n v="29"/>
    <s v="Other"/>
    <s v="Associates"/>
    <s v="Hispanic or Latino"/>
  </r>
  <r>
    <s v="62a3424eb4da29969c62eedd"/>
    <s v="anonymous"/>
    <d v="2022-06-10T00:00:00"/>
    <d v="1899-12-30T09:08:00"/>
    <d v="1899-12-30T00:02:04"/>
    <m/>
    <m/>
    <m/>
    <m/>
    <m/>
    <s v="Other"/>
    <x v="0"/>
    <s v="41k-65k"/>
    <n v="53"/>
    <s v="Other"/>
    <s v="Python"/>
    <x v="9"/>
    <n v="8"/>
    <n v="8"/>
    <n v="7"/>
    <n v="9"/>
    <n v="7"/>
    <s v="Neither easy nor difficult"/>
    <s v="Good Work/Life Balance"/>
    <s v="Male"/>
    <n v="38"/>
    <s v="Other"/>
    <s v="Masters"/>
    <s v="White or Caucasian"/>
  </r>
  <r>
    <s v="62a34256bae91e4b8b82f16d"/>
    <s v="anonymous"/>
    <d v="2022-06-10T00:00:00"/>
    <d v="1899-12-30T09:08:00"/>
    <d v="1899-12-30T00:01:46"/>
    <m/>
    <m/>
    <m/>
    <m/>
    <m/>
    <s v="Data Analyst"/>
    <x v="0"/>
    <s v="0-40k"/>
    <n v="20"/>
    <s v="Finance"/>
    <s v="Other"/>
    <x v="6"/>
    <n v="5"/>
    <n v="4"/>
    <n v="3"/>
    <n v="3"/>
    <n v="3"/>
    <s v="Difficult"/>
    <s v="Good Work/Life Balance"/>
    <s v="Male"/>
    <n v="31"/>
    <s v="Other"/>
    <s v="Masters"/>
    <s v="White or Caucasian"/>
  </r>
  <r>
    <s v="62a3426cf408bae018ed409b"/>
    <s v="anonymous"/>
    <d v="2022-06-10T00:00:00"/>
    <d v="1899-12-30T09:09:00"/>
    <d v="1899-12-30T00:01:33"/>
    <m/>
    <m/>
    <m/>
    <m/>
    <m/>
    <s v="Student"/>
    <x v="1"/>
    <s v="0-40k"/>
    <n v="20"/>
    <s v="Tech"/>
    <s v="Python"/>
    <x v="1"/>
    <n v="4"/>
    <n v="5"/>
    <n v="5"/>
    <n v="1"/>
    <n v="1"/>
    <s v="Difficult"/>
    <s v="Better Salary"/>
    <s v="Male"/>
    <n v="25"/>
    <s v="United States"/>
    <s v="Masters"/>
    <s v="White or Caucasian"/>
  </r>
  <r>
    <s v="62a34272f8d5efcc22f7d15f"/>
    <s v="anonymous"/>
    <d v="2022-06-10T00:00:00"/>
    <d v="1899-12-30T09:09:00"/>
    <d v="1899-12-30T00:01:09"/>
    <m/>
    <m/>
    <m/>
    <m/>
    <m/>
    <s v="Data Analyst"/>
    <x v="1"/>
    <s v="66k-85k"/>
    <n v="76"/>
    <s v="Telecommunication"/>
    <s v="Python"/>
    <x v="5"/>
    <n v="6"/>
    <n v="4"/>
    <n v="5"/>
    <n v="4"/>
    <n v="4"/>
    <s v="Neither easy nor difficult"/>
    <s v="Better Salary"/>
    <s v="Male"/>
    <n v="24"/>
    <s v="United States"/>
    <s v="Masters"/>
    <s v="White or Caucasian"/>
  </r>
  <r>
    <s v="62a34340bc6861bf3176d05b"/>
    <s v="anonymous"/>
    <d v="2022-06-10T00:00:00"/>
    <d v="1899-12-30T09:12:00"/>
    <d v="1899-12-30T00:04:03"/>
    <m/>
    <m/>
    <m/>
    <m/>
    <m/>
    <s v="Other"/>
    <x v="0"/>
    <s v="41k-65k"/>
    <n v="53"/>
    <s v="Tech"/>
    <s v="Python"/>
    <x v="9"/>
    <n v="7"/>
    <n v="4"/>
    <n v="3"/>
    <n v="9"/>
    <n v="8"/>
    <s v="Difficult"/>
    <s v="Better Salary"/>
    <s v="Male"/>
    <n v="28"/>
    <s v="Other"/>
    <s v="Bachelors"/>
    <s v="White or Caucasian"/>
  </r>
  <r>
    <s v="62a34383b4da29969c62f1be"/>
    <s v="anonymous"/>
    <d v="2022-06-10T00:00:00"/>
    <d v="1899-12-30T09:13:00"/>
    <d v="1899-12-30T00:01:03"/>
    <m/>
    <m/>
    <m/>
    <m/>
    <m/>
    <s v="Student"/>
    <x v="1"/>
    <s v="0-40k"/>
    <n v="20"/>
    <s v="Tech"/>
    <s v="Python"/>
    <x v="7"/>
    <n v="5"/>
    <n v="8"/>
    <n v="0"/>
    <n v="0"/>
    <n v="0"/>
    <s v="Neither easy nor difficult"/>
    <s v="Good Culture"/>
    <s v="Female"/>
    <n v="23"/>
    <s v="India"/>
    <s v="Bachelors"/>
    <s v="Asian or Asian American"/>
  </r>
  <r>
    <s v="62a34389cec54911e9ca5a22"/>
    <s v="anonymous"/>
    <d v="2022-06-10T00:00:00"/>
    <d v="1899-12-30T09:13:00"/>
    <d v="1899-12-30T00:01:01"/>
    <m/>
    <m/>
    <m/>
    <m/>
    <m/>
    <s v="Data Engineer"/>
    <x v="1"/>
    <s v="0-40k"/>
    <n v="20"/>
    <s v="Tech"/>
    <s v="R"/>
    <x v="4"/>
    <n v="3"/>
    <n v="2"/>
    <n v="5"/>
    <n v="5"/>
    <n v="7"/>
    <s v="Neither easy nor difficult"/>
    <s v="Remote Work"/>
    <s v="Male"/>
    <n v="21"/>
    <s v="Other"/>
    <s v="Masters"/>
    <s v="Hispanic or Latino"/>
  </r>
  <r>
    <s v="62a343a22e54c9003e532a2a"/>
    <s v="anonymous"/>
    <d v="2022-06-10T00:00:00"/>
    <d v="1899-12-30T09:14:00"/>
    <d v="1899-12-30T00:02:43"/>
    <m/>
    <m/>
    <m/>
    <m/>
    <m/>
    <s v="Data Analyst"/>
    <x v="1"/>
    <s v="0-40k"/>
    <n v="20"/>
    <s v="Other"/>
    <s v="Python"/>
    <x v="5"/>
    <n v="4"/>
    <n v="4"/>
    <n v="4"/>
    <n v="5"/>
    <n v="6"/>
    <s v="Neither easy nor difficult"/>
    <s v="Remote Work"/>
    <s v="Male"/>
    <n v="29"/>
    <s v="Other"/>
    <s v="Bachelors"/>
    <s v="Other"/>
  </r>
  <r>
    <s v="62a343d9f3072dd892622fe4"/>
    <s v="anonymous"/>
    <d v="2022-06-10T00:00:00"/>
    <d v="1899-12-30T09:15:00"/>
    <d v="1899-12-30T00:03:15"/>
    <m/>
    <m/>
    <m/>
    <m/>
    <m/>
    <s v="Data Analyst"/>
    <x v="0"/>
    <s v="41k-65k"/>
    <n v="53"/>
    <s v="Tech"/>
    <s v="Python"/>
    <x v="8"/>
    <n v="6"/>
    <n v="7"/>
    <n v="7"/>
    <n v="7"/>
    <n v="6"/>
    <s v="Difficult"/>
    <s v="Better Salary"/>
    <s v="Male"/>
    <n v="25"/>
    <s v="United States"/>
    <s v="Bachelors"/>
    <s v="Asian or Asian American"/>
  </r>
  <r>
    <s v="62a34400d8c00e9f5419dc2b"/>
    <s v="anonymous"/>
    <d v="2022-06-10T00:00:00"/>
    <d v="1899-12-30T09:15:00"/>
    <d v="1899-12-30T00:01:24"/>
    <m/>
    <m/>
    <m/>
    <m/>
    <m/>
    <s v="Data Analyst"/>
    <x v="1"/>
    <s v="41k-65k"/>
    <n v="53"/>
    <s v="Tech"/>
    <s v="Python"/>
    <x v="9"/>
    <n v="6"/>
    <n v="6"/>
    <n v="6"/>
    <n v="3"/>
    <n v="5"/>
    <s v="Difficult"/>
    <s v="Good Culture"/>
    <s v="Male"/>
    <n v="27"/>
    <s v="Other"/>
    <s v="Masters"/>
    <s v="Black or African American"/>
  </r>
  <r>
    <s v="62a34425f8d5efcc22f7d525"/>
    <s v="anonymous"/>
    <d v="2022-06-10T00:00:00"/>
    <d v="1899-12-30T09:16:00"/>
    <d v="1899-12-30T00:01:28"/>
    <m/>
    <m/>
    <m/>
    <m/>
    <m/>
    <s v="Data Analyst"/>
    <x v="0"/>
    <s v="41k-65k"/>
    <n v="53"/>
    <s v="Tech"/>
    <s v="Python"/>
    <x v="6"/>
    <n v="9"/>
    <n v="10"/>
    <n v="8"/>
    <n v="9"/>
    <n v="9"/>
    <s v="Easy"/>
    <s v="Better Salary"/>
    <s v="Male"/>
    <n v="23"/>
    <s v="India"/>
    <s v="Bachelors"/>
    <s v="Asian or Asian American"/>
  </r>
  <r>
    <s v="62a34449575fa3a5ae88b637"/>
    <s v="anonymous"/>
    <d v="2022-06-10T00:00:00"/>
    <d v="1899-12-30T09:16:00"/>
    <d v="1899-12-30T00:02:36"/>
    <m/>
    <m/>
    <m/>
    <m/>
    <m/>
    <s v="Other"/>
    <x v="1"/>
    <s v="86k-105k"/>
    <n v="96"/>
    <s v="Other"/>
    <s v="R"/>
    <x v="5"/>
    <n v="3"/>
    <n v="3"/>
    <n v="5"/>
    <n v="5"/>
    <n v="5"/>
    <s v="Difficult"/>
    <s v="Better Salary"/>
    <s v="Male"/>
    <n v="32"/>
    <s v="United States"/>
    <s v="Masters"/>
    <s v="Asian or Asian American"/>
  </r>
  <r>
    <s v="62a3445dcf255543173011e1"/>
    <s v="anonymous"/>
    <d v="2022-06-10T00:00:00"/>
    <d v="1899-12-30T09:17:00"/>
    <d v="1899-12-30T00:02:41"/>
    <m/>
    <m/>
    <m/>
    <m/>
    <m/>
    <s v="Student"/>
    <x v="0"/>
    <s v="106k-125k"/>
    <n v="116"/>
    <s v="Healthcare"/>
    <s v="Python"/>
    <x v="8"/>
    <n v="5"/>
    <n v="7"/>
    <n v="5"/>
    <n v="7"/>
    <n v="7"/>
    <s v="Neither easy nor difficult"/>
    <s v="Remote Work"/>
    <s v="Male"/>
    <n v="22"/>
    <s v="India"/>
    <s v="Bachelors"/>
    <s v="Asian or Asian American"/>
  </r>
  <r>
    <s v="62a3447a575fa3a5ae88b6c0"/>
    <s v="anonymous"/>
    <d v="2022-06-10T00:00:00"/>
    <d v="1899-12-30T09:17:00"/>
    <d v="1899-12-30T00:04:14"/>
    <m/>
    <m/>
    <m/>
    <m/>
    <m/>
    <s v="Data Analyst"/>
    <x v="1"/>
    <s v="0-40k"/>
    <n v="20"/>
    <s v="Tech"/>
    <s v="Python"/>
    <x v="4"/>
    <n v="9"/>
    <n v="9"/>
    <n v="8"/>
    <n v="6"/>
    <n v="2"/>
    <s v="Easy"/>
    <s v="Better Salary"/>
    <s v="Male"/>
    <n v="25"/>
    <s v="Other"/>
    <s v="Bachelors"/>
    <s v="Asian or Asian American"/>
  </r>
  <r>
    <s v="62a3449f7dc029e2d66bf5d1"/>
    <s v="anonymous"/>
    <d v="2022-06-10T00:00:00"/>
    <d v="1899-12-30T09:18:00"/>
    <d v="1899-12-30T00:01:15"/>
    <m/>
    <m/>
    <m/>
    <m/>
    <m/>
    <s v="Data Analyst"/>
    <x v="0"/>
    <s v="0-40k"/>
    <n v="20"/>
    <s v="Telecommunication"/>
    <s v="Python"/>
    <x v="4"/>
    <n v="8"/>
    <n v="6"/>
    <n v="6"/>
    <n v="5"/>
    <n v="5"/>
    <s v="Neither easy nor difficult"/>
    <s v="Remote Work"/>
    <s v="Female"/>
    <n v="36"/>
    <s v="Other"/>
    <s v="Masters"/>
    <s v="White or Caucasian"/>
  </r>
  <r>
    <s v="62a344c5f408bae018ed4806"/>
    <s v="anonymous"/>
    <d v="2022-06-10T00:00:00"/>
    <d v="1899-12-30T09:19:00"/>
    <d v="1899-12-30T00:02:21"/>
    <m/>
    <m/>
    <m/>
    <m/>
    <m/>
    <s v="Data Analyst"/>
    <x v="0"/>
    <s v="106k-125k"/>
    <n v="116"/>
    <s v="Tech"/>
    <s v="Other"/>
    <x v="3"/>
    <n v="6"/>
    <n v="9"/>
    <n v="5"/>
    <n v="8"/>
    <n v="7"/>
    <s v="Easy"/>
    <s v="Good Work/Life Balance"/>
    <s v="Female"/>
    <n v="27"/>
    <s v="United States"/>
    <s v="Bachelors"/>
    <s v="White or Caucasian"/>
  </r>
  <r>
    <s v="62a344c6f8d5efcc22f7d6e1"/>
    <s v="anonymous"/>
    <d v="2022-06-10T00:00:00"/>
    <d v="1899-12-30T09:19:00"/>
    <d v="1899-12-30T00:02:17"/>
    <m/>
    <m/>
    <m/>
    <m/>
    <m/>
    <s v="Other"/>
    <x v="0"/>
    <s v="0-40k"/>
    <n v="20"/>
    <s v="Tech"/>
    <s v="Python"/>
    <x v="8"/>
    <n v="5"/>
    <n v="5"/>
    <n v="5"/>
    <n v="5"/>
    <n v="1"/>
    <s v="Neither easy nor difficult"/>
    <s v="Other"/>
    <s v="Male"/>
    <n v="23"/>
    <s v="India"/>
    <s v="Bachelors"/>
    <s v="Asian or Asian American"/>
  </r>
  <r>
    <s v="62a344e1f3072dd892623328"/>
    <s v="anonymous"/>
    <d v="2022-06-10T00:00:00"/>
    <d v="1899-12-30T09:19:00"/>
    <d v="1899-12-30T00:01:32"/>
    <m/>
    <m/>
    <m/>
    <m/>
    <m/>
    <s v="Student"/>
    <x v="0"/>
    <s v="0-40k"/>
    <n v="20"/>
    <s v="Tech"/>
    <s v="Other"/>
    <x v="4"/>
    <n v="3"/>
    <n v="3"/>
    <n v="3"/>
    <n v="3"/>
    <n v="6"/>
    <s v="Very Difficult"/>
    <s v="Better Salary"/>
    <s v="Male"/>
    <n v="26"/>
    <s v="Other"/>
    <s v="Bachelors"/>
    <s v="Black or African American"/>
  </r>
  <r>
    <s v="62a3450424a262602738357f"/>
    <s v="anonymous"/>
    <d v="2022-06-10T00:00:00"/>
    <d v="1899-12-30T09:20:00"/>
    <d v="1899-12-30T00:01:19"/>
    <m/>
    <m/>
    <m/>
    <m/>
    <m/>
    <s v="Other"/>
    <x v="1"/>
    <s v="86k-105k"/>
    <n v="96"/>
    <s v="Healthcare"/>
    <s v="Python"/>
    <x v="0"/>
    <n v="10"/>
    <n v="10"/>
    <n v="10"/>
    <n v="10"/>
    <n v="10"/>
    <s v="Very Easy"/>
    <s v="Good Work/Life Balance"/>
    <s v="Female"/>
    <n v="33"/>
    <s v="United States"/>
    <s v="PhD"/>
    <s v="Hispanic or Latino"/>
  </r>
  <r>
    <s v="62a3452818134ddc75ce9e1b"/>
    <s v="anonymous"/>
    <d v="2022-06-10T00:00:00"/>
    <d v="1899-12-30T09:20:00"/>
    <d v="1899-12-30T00:01:33"/>
    <m/>
    <m/>
    <m/>
    <m/>
    <m/>
    <s v="Data Analyst"/>
    <x v="0"/>
    <s v="106k-125k"/>
    <n v="116"/>
    <s v="Other"/>
    <s v="Python"/>
    <x v="6"/>
    <n v="5"/>
    <n v="3"/>
    <n v="3"/>
    <n v="5"/>
    <n v="5"/>
    <s v="Easy"/>
    <s v="Better Salary"/>
    <s v="Male"/>
    <n v="27"/>
    <s v="Other"/>
    <s v="Masters"/>
    <s v="White or Caucasian"/>
  </r>
  <r>
    <s v="62a345490a77c1a77f65cc5b"/>
    <s v="anonymous"/>
    <d v="2022-06-10T00:00:00"/>
    <d v="1899-12-30T09:21:00"/>
    <d v="1899-12-30T00:01:38"/>
    <m/>
    <m/>
    <m/>
    <m/>
    <m/>
    <s v="Data Analyst"/>
    <x v="0"/>
    <s v="41k-65k"/>
    <n v="53"/>
    <s v="Education"/>
    <s v="R"/>
    <x v="6"/>
    <n v="6"/>
    <n v="5"/>
    <n v="4"/>
    <n v="3"/>
    <n v="4"/>
    <s v="Neither easy nor difficult"/>
    <s v="Better Salary"/>
    <s v="Male"/>
    <n v="42"/>
    <s v="United States"/>
    <s v="Associates"/>
    <s v="White or Caucasian"/>
  </r>
  <r>
    <s v="62a3455bbc6861bf3176d57a"/>
    <s v="anonymous"/>
    <d v="2022-06-10T00:00:00"/>
    <d v="1899-12-30T09:21:00"/>
    <d v="1899-12-30T00:02:36"/>
    <m/>
    <m/>
    <m/>
    <m/>
    <m/>
    <s v="Data Analyst"/>
    <x v="0"/>
    <s v="0-40k"/>
    <n v="20"/>
    <s v="Tech"/>
    <s v="Python"/>
    <x v="9"/>
    <n v="7"/>
    <n v="8"/>
    <n v="7"/>
    <n v="7"/>
    <n v="8"/>
    <s v="Easy"/>
    <s v="Good Work/Life Balance"/>
    <s v="Male"/>
    <n v="29"/>
    <s v="Other"/>
    <s v="Masters"/>
    <s v="White or Caucasian"/>
  </r>
  <r>
    <s v="62a3457bf8d5efcc22f7da17"/>
    <s v="anonymous"/>
    <d v="2022-06-10T00:00:00"/>
    <d v="1899-12-30T09:22:00"/>
    <d v="1899-12-30T00:01:08"/>
    <m/>
    <m/>
    <m/>
    <m/>
    <m/>
    <s v="Data Analyst"/>
    <x v="1"/>
    <s v="125k-150k"/>
    <n v="138"/>
    <s v="Tech"/>
    <s v="Python"/>
    <x v="5"/>
    <n v="7"/>
    <n v="6"/>
    <n v="4"/>
    <n v="2"/>
    <n v="4"/>
    <s v="Easy"/>
    <s v="Better Salary"/>
    <s v="Female"/>
    <n v="27"/>
    <s v="United States"/>
    <s v="Masters"/>
    <s v="Asian or Asian American"/>
  </r>
  <r>
    <s v="62a345b2bae91e4b8b82fad6"/>
    <s v="anonymous"/>
    <d v="2022-06-10T00:00:00"/>
    <d v="1899-12-30T09:22:00"/>
    <d v="1899-12-30T00:01:41"/>
    <m/>
    <m/>
    <m/>
    <m/>
    <m/>
    <s v="Student"/>
    <x v="1"/>
    <s v="41k-65k"/>
    <n v="53"/>
    <s v="Healthcare"/>
    <s v="Python"/>
    <x v="2"/>
    <n v="10"/>
    <n v="10"/>
    <n v="10"/>
    <n v="4"/>
    <n v="2"/>
    <s v="Neither easy nor difficult"/>
    <s v="Remote Work"/>
    <s v="Female"/>
    <n v="39"/>
    <s v="United States"/>
    <s v="Bachelors"/>
    <s v="Hispanic or Latino"/>
  </r>
  <r>
    <s v="62a345c47dc029e2d66bf80a"/>
    <s v="anonymous"/>
    <d v="2022-06-10T00:00:00"/>
    <d v="1899-12-30T09:23:00"/>
    <d v="1899-12-30T00:01:36"/>
    <m/>
    <m/>
    <m/>
    <m/>
    <m/>
    <s v="Data Analyst"/>
    <x v="0"/>
    <s v="41k-65k"/>
    <n v="53"/>
    <s v="Telecommunication"/>
    <s v="Python"/>
    <x v="9"/>
    <n v="6"/>
    <n v="7"/>
    <n v="5"/>
    <n v="6"/>
    <n v="7"/>
    <s v="Difficult"/>
    <s v="Good Culture"/>
    <s v="Male"/>
    <n v="31"/>
    <s v="Other"/>
    <s v="Masters"/>
    <s v="White or Caucasian"/>
  </r>
  <r>
    <s v="62a345e25d257a28a30d8b43"/>
    <s v="anonymous"/>
    <d v="2022-06-10T00:00:00"/>
    <d v="1899-12-30T09:23:00"/>
    <d v="1899-12-30T00:03:09"/>
    <m/>
    <m/>
    <m/>
    <m/>
    <m/>
    <s v="Data Analyst"/>
    <x v="0"/>
    <s v="66k-85k"/>
    <n v="76"/>
    <s v="Other"/>
    <s v="Python"/>
    <x v="7"/>
    <n v="7"/>
    <n v="5"/>
    <n v="9"/>
    <n v="7"/>
    <n v="8"/>
    <s v="Easy"/>
    <s v="Good Work/Life Balance"/>
    <s v="Male"/>
    <n v="29"/>
    <s v="Other"/>
    <s v="Bachelors"/>
    <s v="Hispanic or Latino"/>
  </r>
  <r>
    <s v="62a34646f8d5efcc22f7dc5c"/>
    <s v="anonymous"/>
    <d v="2022-06-10T00:00:00"/>
    <d v="1899-12-30T09:25:00"/>
    <d v="1899-12-30T00:01:22"/>
    <m/>
    <m/>
    <m/>
    <m/>
    <m/>
    <s v="Data Analyst"/>
    <x v="0"/>
    <s v="66k-85k"/>
    <n v="76"/>
    <s v="Education"/>
    <s v="R"/>
    <x v="7"/>
    <n v="7"/>
    <n v="7"/>
    <n v="7"/>
    <n v="4"/>
    <n v="7"/>
    <s v="Easy"/>
    <s v="Remote Work"/>
    <s v="Male"/>
    <n v="31"/>
    <s v="United States"/>
    <s v="Masters"/>
    <s v="White or Caucasian"/>
  </r>
  <r>
    <s v="62a34687f408bae018ed4c52"/>
    <s v="anonymous"/>
    <d v="2022-06-10T00:00:00"/>
    <d v="1899-12-30T09:26:00"/>
    <d v="1899-12-30T00:01:30"/>
    <m/>
    <m/>
    <m/>
    <m/>
    <m/>
    <s v="Data Analyst"/>
    <x v="0"/>
    <s v="0-40k"/>
    <n v="20"/>
    <s v="Finance"/>
    <s v="Python"/>
    <x v="3"/>
    <n v="9"/>
    <n v="9"/>
    <n v="10"/>
    <n v="9"/>
    <n v="10"/>
    <s v="Neither easy nor difficult"/>
    <s v="Good Culture"/>
    <s v="Male"/>
    <n v="30"/>
    <s v="Other"/>
    <s v="Masters"/>
    <s v="Hispanic or Latino"/>
  </r>
  <r>
    <s v="62a346a37dc029e2d66bfa6d"/>
    <s v="anonymous"/>
    <d v="2022-06-10T00:00:00"/>
    <d v="1899-12-30T09:26:00"/>
    <d v="1899-12-30T00:03:05"/>
    <m/>
    <m/>
    <m/>
    <m/>
    <m/>
    <s v="Data Engineer"/>
    <x v="0"/>
    <s v="0-40k"/>
    <n v="20"/>
    <s v="Tech"/>
    <s v="Python"/>
    <x v="7"/>
    <n v="8"/>
    <n v="6"/>
    <n v="5"/>
    <n v="5"/>
    <n v="9"/>
    <s v="Difficult"/>
    <s v="Better Salary"/>
    <s v="Male"/>
    <n v="33"/>
    <s v="Other"/>
    <s v="Masters"/>
    <s v="Hispanic or Latino"/>
  </r>
  <r>
    <s v="62a346a95d257a28a30d8cb9"/>
    <s v="anonymous"/>
    <d v="2022-06-10T00:00:00"/>
    <d v="1899-12-30T09:27:00"/>
    <d v="1899-12-30T00:00:58"/>
    <m/>
    <m/>
    <m/>
    <m/>
    <m/>
    <s v="Data Analyst"/>
    <x v="1"/>
    <s v="66k-85k"/>
    <n v="76"/>
    <s v="Other"/>
    <s v="Python"/>
    <x v="7"/>
    <n v="8"/>
    <n v="9"/>
    <n v="7"/>
    <n v="7"/>
    <n v="7"/>
    <s v="Neither easy nor difficult"/>
    <s v="Better Salary"/>
    <s v="Male"/>
    <n v="25"/>
    <s v="United States"/>
    <s v="Bachelors"/>
    <s v="White or Caucasian"/>
  </r>
  <r>
    <s v="62a346b4bc6861bf3176d7ce"/>
    <s v="anonymous"/>
    <d v="2022-06-10T00:00:00"/>
    <d v="1899-12-30T09:27:00"/>
    <d v="1899-12-30T00:01:09"/>
    <m/>
    <m/>
    <m/>
    <m/>
    <m/>
    <s v="Student"/>
    <x v="1"/>
    <s v="0-40k"/>
    <n v="20"/>
    <s v="Tech"/>
    <s v="R"/>
    <x v="2"/>
    <n v="0"/>
    <n v="0"/>
    <n v="0"/>
    <n v="0"/>
    <n v="0"/>
    <s v="Neither easy nor difficult"/>
    <s v="Good Work/Life Balance"/>
    <s v="Male"/>
    <n v="23"/>
    <s v="India"/>
    <s v="Bachelors"/>
    <s v="Other"/>
  </r>
  <r>
    <s v="62a346cef8f756164585385b"/>
    <s v="anonymous"/>
    <d v="2022-06-10T00:00:00"/>
    <d v="1899-12-30T09:27:00"/>
    <d v="1899-12-30T00:01:51"/>
    <m/>
    <m/>
    <m/>
    <m/>
    <m/>
    <s v="Data Analyst"/>
    <x v="0"/>
    <s v="41k-65k"/>
    <n v="53"/>
    <s v="Other"/>
    <s v="Other"/>
    <x v="5"/>
    <n v="4"/>
    <n v="3"/>
    <n v="3"/>
    <n v="5"/>
    <n v="6"/>
    <s v="Very Difficult"/>
    <s v="Better Salary"/>
    <s v="Male"/>
    <n v="33"/>
    <s v="United States"/>
    <s v="Bachelors"/>
    <s v="Asian or Asian American"/>
  </r>
  <r>
    <s v="62a346d724a2626027383abd"/>
    <s v="anonymous"/>
    <d v="2022-06-10T00:00:00"/>
    <d v="1899-12-30T09:27:00"/>
    <d v="1899-12-30T00:02:29"/>
    <m/>
    <m/>
    <m/>
    <m/>
    <m/>
    <s v="Other"/>
    <x v="0"/>
    <s v="66k-85k"/>
    <n v="76"/>
    <s v="Other"/>
    <s v="Python"/>
    <x v="7"/>
    <n v="9"/>
    <n v="9"/>
    <n v="8"/>
    <n v="8"/>
    <n v="9"/>
    <s v="Neither easy nor difficult"/>
    <s v="Good Work/Life Balance"/>
    <s v="Male"/>
    <n v="35"/>
    <s v="Other"/>
    <s v="Bachelors"/>
    <s v="Hispanic or Latino"/>
  </r>
  <r>
    <s v="62a346d90a77c1a77f65d08d"/>
    <s v="anonymous"/>
    <d v="2022-06-10T00:00:00"/>
    <d v="1899-12-30T09:27:00"/>
    <d v="1899-12-30T00:02:39"/>
    <m/>
    <m/>
    <m/>
    <m/>
    <m/>
    <s v="Data Analyst"/>
    <x v="1"/>
    <s v="41k-65k"/>
    <n v="53"/>
    <s v="Other"/>
    <s v="Python"/>
    <x v="9"/>
    <n v="8"/>
    <n v="5"/>
    <m/>
    <n v="6"/>
    <n v="9"/>
    <s v="Neither easy nor difficult"/>
    <s v="Remote Work"/>
    <s v="Female"/>
    <n v="42"/>
    <s v="Other"/>
    <s v="Masters"/>
    <s v="White or Caucasian"/>
  </r>
  <r>
    <s v="62a34726f8d5efcc22f7dec7"/>
    <s v="anonymous"/>
    <d v="2022-06-10T00:00:00"/>
    <d v="1899-12-30T09:29:00"/>
    <d v="1899-12-30T00:01:14"/>
    <m/>
    <m/>
    <m/>
    <m/>
    <m/>
    <s v="Data Analyst"/>
    <x v="1"/>
    <s v="66k-85k"/>
    <n v="76"/>
    <s v="Tech"/>
    <s v="Python"/>
    <x v="6"/>
    <n v="4"/>
    <n v="2"/>
    <n v="1"/>
    <n v="0"/>
    <n v="4"/>
    <s v="Neither easy nor difficult"/>
    <s v="Better Salary"/>
    <s v="Male"/>
    <n v="25"/>
    <s v="United States"/>
    <s v="Bachelors"/>
    <s v="White or Caucasian"/>
  </r>
  <r>
    <s v="62a3476c5d257a28a30d8e6d"/>
    <s v="anonymous"/>
    <d v="2022-06-10T00:00:00"/>
    <d v="1899-12-30T09:30:00"/>
    <d v="1899-12-30T00:03:00"/>
    <m/>
    <m/>
    <m/>
    <m/>
    <m/>
    <s v="Data Analyst"/>
    <x v="1"/>
    <s v="86k-105k"/>
    <n v="96"/>
    <s v="Other"/>
    <s v="Python"/>
    <x v="8"/>
    <n v="4"/>
    <n v="5"/>
    <n v="4"/>
    <n v="3"/>
    <n v="6"/>
    <s v="Neither easy nor difficult"/>
    <s v="Other"/>
    <s v="Male"/>
    <n v="23"/>
    <s v="United States"/>
    <s v="Bachelors"/>
    <s v="White or Caucasian"/>
  </r>
  <r>
    <s v="62a347b4f8f7561645853a98"/>
    <s v="anonymous"/>
    <d v="2022-06-10T00:00:00"/>
    <d v="1899-12-30T09:31:00"/>
    <d v="1899-12-30T00:02:02"/>
    <m/>
    <m/>
    <m/>
    <m/>
    <m/>
    <s v="Other"/>
    <x v="1"/>
    <s v="41k-65k"/>
    <n v="53"/>
    <s v="Healthcare"/>
    <s v="JavaScript"/>
    <x v="4"/>
    <n v="4"/>
    <n v="6"/>
    <n v="5"/>
    <n v="3"/>
    <n v="4"/>
    <s v="Easy"/>
    <s v="Better Salary"/>
    <s v="Female"/>
    <n v="51"/>
    <s v="United States"/>
    <s v="Bachelors"/>
    <s v="Black or African American"/>
  </r>
  <r>
    <s v="62a347f6b4da29969c62fb79"/>
    <s v="anonymous"/>
    <d v="2022-06-10T00:00:00"/>
    <d v="1899-12-30T09:32:00"/>
    <d v="1899-12-30T00:01:45"/>
    <m/>
    <m/>
    <m/>
    <m/>
    <m/>
    <s v="Data Analyst"/>
    <x v="1"/>
    <s v="0-40k"/>
    <n v="20"/>
    <s v="Telecommunication"/>
    <s v="Other"/>
    <x v="1"/>
    <n v="4"/>
    <n v="4"/>
    <n v="3"/>
    <n v="2"/>
    <n v="6"/>
    <s v="Very Difficult"/>
    <s v="Better Salary"/>
    <s v="Male"/>
    <n v="30"/>
    <s v="United Kingdom"/>
    <s v="Bachelors"/>
    <s v="Black or African American"/>
  </r>
  <r>
    <s v="62a3483018134ddc75cea4e6"/>
    <s v="anonymous"/>
    <d v="2022-06-10T00:00:00"/>
    <d v="1899-12-30T09:33:00"/>
    <d v="1899-12-30T00:01:41"/>
    <m/>
    <m/>
    <m/>
    <m/>
    <m/>
    <s v="Data Analyst"/>
    <x v="0"/>
    <s v="41k-65k"/>
    <n v="53"/>
    <s v="Finance"/>
    <s v="Python"/>
    <x v="10"/>
    <n v="9"/>
    <n v="9"/>
    <n v="9"/>
    <n v="9"/>
    <n v="8"/>
    <s v="Very Difficult"/>
    <s v="Better Salary"/>
    <s v="Male"/>
    <n v="23"/>
    <s v="India"/>
    <s v="Bachelors"/>
    <s v="Asian or Asian American"/>
  </r>
  <r>
    <s v="62a348650f8c8599d5af2b77"/>
    <s v="anonymous"/>
    <d v="2022-06-10T00:00:00"/>
    <d v="1899-12-30T09:34:00"/>
    <d v="1899-12-30T00:01:06"/>
    <m/>
    <m/>
    <m/>
    <m/>
    <m/>
    <s v="Other"/>
    <x v="0"/>
    <s v="41k-65k"/>
    <n v="53"/>
    <s v="Other"/>
    <s v="R"/>
    <x v="6"/>
    <n v="5"/>
    <n v="5"/>
    <n v="6"/>
    <n v="3"/>
    <n v="4"/>
    <s v="Neither easy nor difficult"/>
    <s v="Better Salary"/>
    <s v="Male"/>
    <n v="24"/>
    <s v="Canada"/>
    <s v="Bachelors"/>
    <s v="Asian or Asian American"/>
  </r>
  <r>
    <s v="62a3489318134ddc75cea659"/>
    <s v="anonymous"/>
    <d v="2022-06-10T00:00:00"/>
    <d v="1899-12-30T09:35:00"/>
    <d v="1899-12-30T00:01:06"/>
    <m/>
    <m/>
    <m/>
    <m/>
    <m/>
    <s v="Student"/>
    <x v="0"/>
    <s v="41k-65k"/>
    <n v="53"/>
    <s v="Tech"/>
    <s v="Python"/>
    <x v="9"/>
    <n v="6"/>
    <n v="6"/>
    <n v="6"/>
    <n v="6"/>
    <n v="6"/>
    <s v="Easy"/>
    <s v="Good Culture"/>
    <s v="Male"/>
    <n v="25"/>
    <s v="Other"/>
    <s v="Masters"/>
    <s v="Asian or Asian American"/>
  </r>
  <r>
    <s v="62a348bf2e54c9003e533634"/>
    <s v="anonymous"/>
    <d v="2022-06-10T00:00:00"/>
    <d v="1899-12-30T09:35:00"/>
    <d v="1899-12-30T00:02:22"/>
    <m/>
    <m/>
    <m/>
    <m/>
    <m/>
    <s v="Data Analyst"/>
    <x v="0"/>
    <s v="41k-65k"/>
    <n v="53"/>
    <s v="Finance"/>
    <s v="Python"/>
    <x v="5"/>
    <n v="4"/>
    <n v="6"/>
    <n v="4"/>
    <n v="5"/>
    <n v="6"/>
    <s v="Difficult"/>
    <s v="Better Salary"/>
    <s v="Female"/>
    <n v="55"/>
    <s v="United States"/>
    <s v="Masters"/>
    <s v="Other"/>
  </r>
  <r>
    <s v="62a348c2f3072dd892623c10"/>
    <s v="anonymous"/>
    <d v="2022-06-10T00:00:00"/>
    <d v="1899-12-30T09:36:00"/>
    <d v="1899-12-30T00:01:56"/>
    <m/>
    <m/>
    <m/>
    <m/>
    <m/>
    <s v="Data Analyst"/>
    <x v="1"/>
    <s v="86k-105k"/>
    <n v="96"/>
    <s v="Other"/>
    <s v="R"/>
    <x v="10"/>
    <n v="10"/>
    <n v="8"/>
    <n v="7"/>
    <n v="8"/>
    <n v="10"/>
    <s v="Very Easy"/>
    <s v="Remote Work"/>
    <s v="Female"/>
    <n v="30"/>
    <s v="United States"/>
    <s v="Masters"/>
    <s v="White or Caucasian"/>
  </r>
  <r>
    <s v="62a348f2f8d5efcc22f7e2ba"/>
    <s v="anonymous"/>
    <d v="2022-06-10T00:00:00"/>
    <d v="1899-12-30T09:36:00"/>
    <d v="1899-12-30T00:01:10"/>
    <m/>
    <m/>
    <m/>
    <m/>
    <m/>
    <s v="Data Analyst"/>
    <x v="0"/>
    <s v="41k-65k"/>
    <n v="53"/>
    <s v="Other"/>
    <s v="Python"/>
    <x v="0"/>
    <n v="9"/>
    <n v="9"/>
    <n v="9"/>
    <n v="7"/>
    <n v="4"/>
    <s v="Difficult"/>
    <s v="Better Salary"/>
    <s v="Male"/>
    <n v="25"/>
    <s v="Canada"/>
    <s v="Bachelors"/>
    <s v="Asian or Asian American"/>
  </r>
  <r>
    <s v="62a349160a77c1a77f65d4db"/>
    <s v="anonymous"/>
    <d v="2022-06-10T00:00:00"/>
    <d v="1899-12-30T09:37:00"/>
    <d v="1899-12-30T00:00:28"/>
    <m/>
    <m/>
    <m/>
    <m/>
    <m/>
    <s v="Data Analyst"/>
    <x v="0"/>
    <s v="66k-85k"/>
    <n v="76"/>
    <s v="Other"/>
    <s v="Python"/>
    <x v="9"/>
    <n v="9"/>
    <n v="7"/>
    <n v="6"/>
    <n v="7"/>
    <n v="7"/>
    <s v="Neither easy nor difficult"/>
    <s v="Better Salary"/>
    <s v="Male"/>
    <n v="28"/>
    <s v="United States"/>
    <s v="Masters"/>
    <s v="White or Caucasian"/>
  </r>
  <r>
    <s v="62a3493fb4da29969c62fe63"/>
    <s v="anonymous"/>
    <d v="2022-06-10T00:00:00"/>
    <d v="1899-12-30T09:38:00"/>
    <d v="1899-12-30T00:02:22"/>
    <m/>
    <m/>
    <m/>
    <m/>
    <m/>
    <s v="Other"/>
    <x v="0"/>
    <s v="41k-65k"/>
    <n v="53"/>
    <s v="Other"/>
    <s v="Python"/>
    <x v="10"/>
    <n v="8"/>
    <n v="9"/>
    <n v="9"/>
    <n v="10"/>
    <n v="10"/>
    <s v="Very Easy"/>
    <s v="Better Salary"/>
    <s v="Male"/>
    <n v="34"/>
    <s v="United Kingdom"/>
    <s v="Bachelors"/>
    <s v="White or Caucasian"/>
  </r>
  <r>
    <s v="62a3496e575fa3a5ae88c4e6"/>
    <s v="anonymous"/>
    <d v="2022-06-10T00:00:00"/>
    <d v="1899-12-30T09:38:00"/>
    <d v="1899-12-30T00:03:18"/>
    <m/>
    <m/>
    <m/>
    <m/>
    <m/>
    <s v="Data Analyst"/>
    <x v="0"/>
    <s v="0-40k"/>
    <n v="20"/>
    <s v="Tech"/>
    <s v="Python"/>
    <x v="10"/>
    <n v="10"/>
    <n v="9"/>
    <n v="9"/>
    <n v="10"/>
    <n v="8"/>
    <s v="Neither easy nor difficult"/>
    <s v="Better Salary"/>
    <s v="Female"/>
    <n v="28"/>
    <s v="Other"/>
    <s v="Bachelors"/>
    <s v="Hispanic or Latino"/>
  </r>
  <r>
    <s v="62a3498e575fa3a5ae88c554"/>
    <s v="anonymous"/>
    <d v="2022-06-10T00:00:00"/>
    <d v="1899-12-30T09:39:00"/>
    <d v="1899-12-30T00:01:55"/>
    <m/>
    <m/>
    <m/>
    <m/>
    <m/>
    <s v="Student"/>
    <x v="1"/>
    <s v="0-40k"/>
    <n v="20"/>
    <s v="Other"/>
    <s v="Other"/>
    <x v="7"/>
    <n v="9"/>
    <n v="7"/>
    <n v="8"/>
    <n v="8"/>
    <n v="10"/>
    <s v="Neither easy nor difficult"/>
    <s v="Better Salary"/>
    <s v="Male"/>
    <n v="24"/>
    <s v="Other"/>
    <s v="Bachelors"/>
    <s v="Asian or Asian American"/>
  </r>
  <r>
    <s v="62a34991b4da29969c62ff4b"/>
    <s v="anonymous"/>
    <d v="2022-06-10T00:00:00"/>
    <d v="1899-12-30T09:39:00"/>
    <d v="1899-12-30T00:01:15"/>
    <m/>
    <m/>
    <m/>
    <m/>
    <m/>
    <s v="Student"/>
    <x v="0"/>
    <s v="0-40k"/>
    <n v="20"/>
    <s v="Healthcare"/>
    <s v="Python"/>
    <x v="6"/>
    <n v="7"/>
    <n v="7"/>
    <n v="7"/>
    <n v="1"/>
    <n v="2"/>
    <s v="Difficult"/>
    <s v="Better Salary"/>
    <s v="Male"/>
    <n v="31"/>
    <s v="United States"/>
    <s v="Masters"/>
    <s v="Black or African American"/>
  </r>
  <r>
    <s v="62a349bbf8f756164585400d"/>
    <s v="anonymous"/>
    <d v="2022-06-10T00:00:00"/>
    <d v="1899-12-30T09:40:00"/>
    <d v="1899-12-30T00:02:07"/>
    <m/>
    <m/>
    <m/>
    <m/>
    <m/>
    <s v="Data Analyst"/>
    <x v="0"/>
    <s v="41k-65k"/>
    <n v="53"/>
    <s v="Other"/>
    <s v="Other"/>
    <x v="6"/>
    <n v="6"/>
    <n v="6"/>
    <n v="6"/>
    <n v="4"/>
    <n v="4"/>
    <s v="Easy"/>
    <s v="Better Salary"/>
    <s v="Male"/>
    <n v="25"/>
    <s v="Canada"/>
    <s v="Bachelors"/>
    <s v="Asian or Asian American"/>
  </r>
  <r>
    <s v="62a349c7cec54911e9ca67c7"/>
    <s v="anonymous"/>
    <d v="2022-06-10T00:00:00"/>
    <d v="1899-12-30T09:40:00"/>
    <d v="1899-12-30T00:01:05"/>
    <m/>
    <m/>
    <m/>
    <m/>
    <m/>
    <s v="Data Analyst"/>
    <x v="0"/>
    <s v="106k-125k"/>
    <n v="116"/>
    <s v="Finance"/>
    <s v="Python"/>
    <x v="8"/>
    <n v="1"/>
    <n v="4"/>
    <n v="3"/>
    <n v="3"/>
    <n v="4"/>
    <s v="Easy"/>
    <s v="Better Salary"/>
    <s v="Female"/>
    <n v="38"/>
    <s v="United States"/>
    <s v="Bachelors"/>
    <s v="White or Caucasian"/>
  </r>
  <r>
    <s v="62a349d5d8c00e9f5419ead2"/>
    <s v="anonymous"/>
    <d v="2022-06-10T00:00:00"/>
    <d v="1899-12-30T09:40:00"/>
    <d v="1899-12-30T00:01:32"/>
    <m/>
    <m/>
    <m/>
    <m/>
    <m/>
    <s v="Data Analyst"/>
    <x v="1"/>
    <s v="41k-65k"/>
    <n v="53"/>
    <s v="Finance"/>
    <s v="Python"/>
    <x v="8"/>
    <n v="5"/>
    <n v="5"/>
    <n v="5"/>
    <n v="4"/>
    <n v="5"/>
    <s v="Neither easy nor difficult"/>
    <s v="Good Culture"/>
    <s v="Male"/>
    <n v="30"/>
    <s v="Other"/>
    <s v="Bachelors"/>
    <s v="Hispanic or Latino"/>
  </r>
  <r>
    <s v="62a349e6b4da29969c63000c"/>
    <s v="anonymous"/>
    <d v="2022-06-10T00:00:00"/>
    <d v="1899-12-30T09:40:00"/>
    <d v="1899-12-30T00:01:32"/>
    <m/>
    <m/>
    <m/>
    <m/>
    <m/>
    <s v="Data Analyst"/>
    <x v="0"/>
    <s v="0-40k"/>
    <n v="20"/>
    <s v="Tech"/>
    <s v="C/C++"/>
    <x v="2"/>
    <n v="0"/>
    <n v="0"/>
    <n v="2"/>
    <n v="2"/>
    <n v="5"/>
    <s v="Neither easy nor difficult"/>
    <s v="Good Work/Life Balance"/>
    <s v="Male"/>
    <n v="25"/>
    <s v="India"/>
    <s v="Bachelors"/>
    <s v="Asian or Asian American"/>
  </r>
  <r>
    <s v="62a34a03cec54911e9ca6869"/>
    <s v="anonymous"/>
    <d v="2022-06-10T00:00:00"/>
    <d v="1899-12-30T09:41:00"/>
    <d v="1899-12-30T00:01:08"/>
    <m/>
    <m/>
    <m/>
    <m/>
    <m/>
    <s v="Data Analyst"/>
    <x v="0"/>
    <s v="0-40k"/>
    <n v="20"/>
    <s v="Tech"/>
    <s v="Python"/>
    <x v="1"/>
    <n v="2"/>
    <n v="1"/>
    <n v="5"/>
    <n v="6"/>
    <n v="6"/>
    <s v="Neither easy nor difficult"/>
    <s v="Better Salary"/>
    <s v="Female"/>
    <n v="29"/>
    <s v="Other"/>
    <s v="Bachelors"/>
    <s v="Black or African American"/>
  </r>
  <r>
    <s v="62a34ab15d257a28a30d9589"/>
    <s v="anonymous"/>
    <d v="2022-06-10T00:00:00"/>
    <d v="1899-12-30T09:44:00"/>
    <d v="1899-12-30T00:04:27"/>
    <m/>
    <m/>
    <m/>
    <m/>
    <m/>
    <s v="Data Scientist"/>
    <x v="0"/>
    <s v="150k-225k"/>
    <n v="188"/>
    <s v="Finance"/>
    <s v="Python"/>
    <x v="7"/>
    <n v="5"/>
    <n v="3"/>
    <n v="6"/>
    <n v="4"/>
    <n v="4"/>
    <s v="Difficult"/>
    <s v="Good Work/Life Balance"/>
    <s v="Male"/>
    <n v="21"/>
    <s v="Other"/>
    <s v="Masters"/>
    <s v="White or Caucasian"/>
  </r>
  <r>
    <s v="62a34abc0f8c8599d5af31c5"/>
    <s v="anonymous"/>
    <d v="2022-06-10T00:00:00"/>
    <d v="1899-12-30T09:44:00"/>
    <d v="1899-12-30T00:02:00"/>
    <m/>
    <m/>
    <m/>
    <m/>
    <m/>
    <s v="Data Analyst"/>
    <x v="0"/>
    <s v="66k-85k"/>
    <n v="76"/>
    <s v="Other"/>
    <s v="Other"/>
    <x v="8"/>
    <n v="8"/>
    <n v="8"/>
    <n v="7"/>
    <n v="6"/>
    <n v="7"/>
    <s v="Very Easy"/>
    <s v="Remote Work"/>
    <s v="Female"/>
    <n v="39"/>
    <s v="United States"/>
    <s v="Bachelors"/>
    <s v="Asian or Asian American"/>
  </r>
  <r>
    <s v="62a34b07cec54911e9ca6b6e"/>
    <s v="anonymous"/>
    <d v="2022-06-10T00:00:00"/>
    <d v="1899-12-30T09:45:00"/>
    <d v="1899-12-30T00:01:19"/>
    <m/>
    <m/>
    <m/>
    <m/>
    <m/>
    <s v="Student"/>
    <x v="1"/>
    <s v="0-40k"/>
    <n v="20"/>
    <s v="Other"/>
    <s v="Python"/>
    <x v="2"/>
    <n v="0"/>
    <n v="0"/>
    <n v="0"/>
    <n v="0"/>
    <n v="5"/>
    <s v="Neither easy nor difficult"/>
    <s v="Better Salary"/>
    <s v="Male"/>
    <n v="25"/>
    <s v="Other"/>
    <s v="Bachelors"/>
    <s v="White or Caucasian"/>
  </r>
  <r>
    <s v="62a34b0eb4da29969c6302ce"/>
    <s v="anonymous"/>
    <d v="2022-06-10T00:00:00"/>
    <d v="1899-12-30T09:45:00"/>
    <d v="1899-12-30T00:02:36"/>
    <m/>
    <m/>
    <m/>
    <m/>
    <m/>
    <s v="Other"/>
    <x v="0"/>
    <s v="86k-105k"/>
    <n v="96"/>
    <s v="Finance"/>
    <s v="Other"/>
    <x v="7"/>
    <n v="9"/>
    <n v="10"/>
    <n v="6"/>
    <n v="4"/>
    <n v="4"/>
    <s v="Neither easy nor difficult"/>
    <s v="Other"/>
    <s v="Female"/>
    <n v="42"/>
    <s v="United States"/>
    <s v="Masters"/>
    <s v="Hispanic or Latino"/>
  </r>
  <r>
    <s v="62a34b1b0f8c8599d5af328b"/>
    <s v="anonymous"/>
    <d v="2022-06-10T00:00:00"/>
    <d v="1899-12-30T09:46:00"/>
    <d v="1899-12-30T00:00:48"/>
    <m/>
    <m/>
    <m/>
    <m/>
    <m/>
    <s v="Data Analyst"/>
    <x v="1"/>
    <s v="41k-65k"/>
    <n v="53"/>
    <s v="Tech"/>
    <s v="R"/>
    <x v="3"/>
    <n v="8"/>
    <n v="9"/>
    <n v="10"/>
    <n v="10"/>
    <n v="10"/>
    <s v="Easy"/>
    <s v="Better Salary"/>
    <s v="Male"/>
    <n v="25"/>
    <s v="United States"/>
    <s v="Bachelors"/>
    <s v="White or Caucasian"/>
  </r>
  <r>
    <s v="62a34b5b5d257a28a30d96a6"/>
    <s v="anonymous"/>
    <d v="2022-06-10T00:00:00"/>
    <d v="1899-12-30T09:47:00"/>
    <d v="1899-12-30T00:01:20"/>
    <m/>
    <m/>
    <m/>
    <m/>
    <m/>
    <s v="Data Scientist"/>
    <x v="1"/>
    <s v="86k-105k"/>
    <n v="96"/>
    <s v="Finance"/>
    <s v="Python"/>
    <x v="10"/>
    <n v="7"/>
    <n v="6"/>
    <n v="6"/>
    <n v="5"/>
    <n v="9"/>
    <s v="Neither easy nor difficult"/>
    <s v="Better Salary"/>
    <s v="Male"/>
    <n v="22"/>
    <s v="United States"/>
    <s v="Bachelors"/>
    <s v="White or Caucasian"/>
  </r>
  <r>
    <s v="62a34b7ebae91e4b8b83076c"/>
    <s v="anonymous"/>
    <d v="2022-06-10T00:00:00"/>
    <d v="1899-12-30T09:47:00"/>
    <d v="1899-12-30T00:02:04"/>
    <m/>
    <m/>
    <m/>
    <m/>
    <m/>
    <s v="Data Analyst"/>
    <x v="1"/>
    <s v="0-40k"/>
    <n v="20"/>
    <s v="Other"/>
    <s v="Python"/>
    <x v="1"/>
    <n v="4"/>
    <n v="4"/>
    <n v="3"/>
    <m/>
    <n v="5"/>
    <s v="Easy"/>
    <s v="Better Salary"/>
    <s v="Male"/>
    <n v="23"/>
    <s v="Other"/>
    <s v="High School"/>
    <s v="Hispanic or Latino"/>
  </r>
  <r>
    <s v="62a34b99cec54911e9ca6e14"/>
    <s v="anonymous"/>
    <d v="2022-06-10T00:00:00"/>
    <d v="1899-12-30T09:48:00"/>
    <d v="1899-12-30T00:02:36"/>
    <m/>
    <m/>
    <m/>
    <m/>
    <m/>
    <s v="Data Engineer"/>
    <x v="0"/>
    <s v="41k-65k"/>
    <n v="53"/>
    <s v="Other"/>
    <s v="JavaScript"/>
    <x v="9"/>
    <n v="6"/>
    <n v="6"/>
    <n v="6"/>
    <n v="6"/>
    <n v="6"/>
    <s v="Difficult"/>
    <s v="Good Culture"/>
    <s v="Male"/>
    <n v="25"/>
    <s v="Other"/>
    <s v="High School"/>
    <s v="Other"/>
  </r>
  <r>
    <s v="62a34bb0f3072dd892624210"/>
    <s v="anonymous"/>
    <d v="2022-06-10T00:00:00"/>
    <d v="1899-12-30T09:48:00"/>
    <d v="1899-12-30T00:01:05"/>
    <m/>
    <m/>
    <m/>
    <m/>
    <m/>
    <s v="Data Engineer"/>
    <x v="0"/>
    <s v="66k-85k"/>
    <n v="76"/>
    <s v="Other"/>
    <s v="Python"/>
    <x v="8"/>
    <n v="7"/>
    <n v="7"/>
    <n v="6"/>
    <n v="6"/>
    <n v="7"/>
    <s v="Neither easy nor difficult"/>
    <s v="Better Salary"/>
    <s v="Male"/>
    <n v="45"/>
    <s v="Canada"/>
    <s v="Masters"/>
    <s v="White or Caucasian"/>
  </r>
  <r>
    <s v="62a34bd0cf2555431730208b"/>
    <s v="anonymous"/>
    <d v="2022-06-10T00:00:00"/>
    <d v="1899-12-30T09:49:00"/>
    <d v="1899-12-30T00:01:29"/>
    <m/>
    <m/>
    <m/>
    <m/>
    <m/>
    <s v="Data Analyst"/>
    <x v="0"/>
    <s v="66k-85k"/>
    <n v="76"/>
    <s v="Healthcare"/>
    <s v="Other"/>
    <x v="7"/>
    <n v="3"/>
    <n v="8"/>
    <n v="6"/>
    <n v="8"/>
    <n v="8"/>
    <s v="Easy"/>
    <s v="Good Work/Life Balance"/>
    <s v="Male"/>
    <n v="24"/>
    <s v="United States"/>
    <s v="Bachelors"/>
    <s v="White or Caucasian"/>
  </r>
  <r>
    <s v="62a34bd4f408bae018ed57bd"/>
    <s v="anonymous"/>
    <d v="2022-06-10T00:00:00"/>
    <d v="1899-12-30T09:49:00"/>
    <d v="1899-12-30T00:03:57"/>
    <m/>
    <m/>
    <m/>
    <m/>
    <m/>
    <s v="Student"/>
    <x v="1"/>
    <s v="0-40k"/>
    <n v="20"/>
    <s v="Other"/>
    <s v="R"/>
    <x v="1"/>
    <n v="9"/>
    <n v="6"/>
    <n v="0"/>
    <n v="0"/>
    <n v="0"/>
    <s v="Difficult"/>
    <s v="Better Salary"/>
    <s v="Male"/>
    <n v="25"/>
    <s v="United States"/>
    <m/>
    <s v="Black or African American"/>
  </r>
  <r>
    <s v="62a34c66b4da29969c6305af"/>
    <s v="anonymous"/>
    <d v="2022-06-10T00:00:00"/>
    <d v="1899-12-30T09:51:00"/>
    <d v="1899-12-30T00:01:36"/>
    <m/>
    <m/>
    <m/>
    <m/>
    <m/>
    <s v="Data Analyst"/>
    <x v="0"/>
    <s v="66k-85k"/>
    <n v="76"/>
    <s v="Other"/>
    <s v="Python"/>
    <x v="0"/>
    <n v="8"/>
    <n v="9"/>
    <n v="9"/>
    <n v="8"/>
    <n v="8"/>
    <s v="Difficult"/>
    <s v="Good Work/Life Balance"/>
    <s v="Male"/>
    <n v="26"/>
    <s v="United States"/>
    <s v="Bachelors"/>
    <s v="White or Caucasian"/>
  </r>
  <r>
    <s v="62a34d1ff8f756164585465c"/>
    <s v="anonymous"/>
    <d v="2022-06-10T00:00:00"/>
    <d v="1899-12-30T09:54:00"/>
    <d v="1899-12-30T00:01:41"/>
    <m/>
    <m/>
    <m/>
    <m/>
    <m/>
    <s v="Data Analyst"/>
    <x v="1"/>
    <s v="41k-65k"/>
    <n v="53"/>
    <s v="Tech"/>
    <s v="R"/>
    <x v="5"/>
    <n v="7"/>
    <n v="8"/>
    <n v="8"/>
    <n v="5"/>
    <n v="7"/>
    <s v="Easy"/>
    <s v="Better Salary"/>
    <s v="Male"/>
    <n v="23"/>
    <s v="Canada"/>
    <s v="Bachelors"/>
    <s v="Asian or Asian American"/>
  </r>
  <r>
    <s v="62a34d4118134ddc75ceb0ed"/>
    <s v="anonymous"/>
    <d v="2022-06-10T00:00:00"/>
    <d v="1899-12-30T09:55:00"/>
    <d v="1899-12-30T00:01:37"/>
    <m/>
    <m/>
    <m/>
    <m/>
    <m/>
    <s v="Student"/>
    <x v="0"/>
    <s v="0-40k"/>
    <n v="20"/>
    <s v="Other"/>
    <s v="Python"/>
    <x v="1"/>
    <n v="1"/>
    <n v="1"/>
    <n v="0"/>
    <n v="0"/>
    <n v="3"/>
    <s v="Difficult"/>
    <s v="Remote Work"/>
    <s v="Female"/>
    <n v="42"/>
    <s v="United Kingdom"/>
    <s v="Masters"/>
    <s v="White or Caucasian"/>
  </r>
  <r>
    <s v="62a34da0f408bae018ed5abd"/>
    <s v="anonymous"/>
    <d v="2022-06-10T00:00:00"/>
    <d v="1899-12-30T09:56:00"/>
    <d v="1899-12-30T00:01:30"/>
    <m/>
    <m/>
    <m/>
    <m/>
    <m/>
    <s v="Other"/>
    <x v="0"/>
    <s v="41k-65k"/>
    <n v="53"/>
    <s v="Education"/>
    <s v="Other"/>
    <x v="2"/>
    <n v="0"/>
    <n v="2"/>
    <n v="0"/>
    <n v="0"/>
    <n v="0"/>
    <s v="Very Difficult"/>
    <s v="Good Work/Life Balance"/>
    <s v="Female"/>
    <n v="42"/>
    <s v="United States"/>
    <s v="Bachelors"/>
    <s v="Black or African American"/>
  </r>
  <r>
    <s v="62a34dbb5d257a28a30d9a61"/>
    <s v="anonymous"/>
    <d v="2022-06-10T00:00:00"/>
    <d v="1899-12-30T09:57:00"/>
    <d v="1899-12-30T00:01:26"/>
    <m/>
    <m/>
    <m/>
    <m/>
    <m/>
    <s v="Other"/>
    <x v="1"/>
    <s v="0-40k"/>
    <n v="20"/>
    <s v="Tech"/>
    <s v="Python"/>
    <x v="2"/>
    <n v="6"/>
    <n v="5"/>
    <n v="5"/>
    <n v="3"/>
    <n v="1"/>
    <s v="Neither easy nor difficult"/>
    <s v="Better Salary"/>
    <s v="Male"/>
    <n v="25"/>
    <s v="India"/>
    <s v="Masters"/>
    <s v="Asian or Asian American"/>
  </r>
  <r>
    <s v="62a34e00f8f7561645854954"/>
    <s v="anonymous"/>
    <d v="2022-06-10T00:00:00"/>
    <d v="1899-12-30T09:58:00"/>
    <d v="1899-12-30T00:02:24"/>
    <m/>
    <m/>
    <m/>
    <m/>
    <m/>
    <s v="Data Analyst"/>
    <x v="0"/>
    <s v="86k-105k"/>
    <n v="96"/>
    <s v="Tech"/>
    <s v="R"/>
    <x v="10"/>
    <n v="10"/>
    <n v="10"/>
    <n v="10"/>
    <n v="2"/>
    <n v="7"/>
    <s v="Easy"/>
    <s v="Remote Work"/>
    <s v="Male"/>
    <n v="38"/>
    <s v="United States"/>
    <s v="Masters"/>
    <s v="White or Caucasian"/>
  </r>
  <r>
    <s v="62a34e082e54c9003e534118"/>
    <s v="anonymous"/>
    <d v="2022-06-10T00:00:00"/>
    <d v="1899-12-30T09:58:00"/>
    <d v="1899-12-30T00:02:51"/>
    <m/>
    <m/>
    <m/>
    <m/>
    <m/>
    <s v="Other"/>
    <x v="1"/>
    <s v="0-40k"/>
    <n v="20"/>
    <s v="Tech"/>
    <s v="Python"/>
    <x v="8"/>
    <n v="6"/>
    <n v="6"/>
    <n v="6"/>
    <n v="6"/>
    <n v="4"/>
    <s v="Easy"/>
    <s v="Better Salary"/>
    <s v="Male"/>
    <n v="24"/>
    <s v="Other"/>
    <s v="Bachelors"/>
    <s v="Hispanic or Latino"/>
  </r>
  <r>
    <s v="62a34eb7bc6861bf3176e6d8"/>
    <s v="anonymous"/>
    <d v="2022-06-10T00:00:00"/>
    <d v="1899-12-30T10:01:00"/>
    <d v="1899-12-30T00:01:37"/>
    <m/>
    <m/>
    <m/>
    <m/>
    <m/>
    <s v="Data Analyst"/>
    <x v="0"/>
    <s v="66k-85k"/>
    <n v="76"/>
    <s v="Education"/>
    <s v="R"/>
    <x v="7"/>
    <n v="10"/>
    <n v="10"/>
    <n v="10"/>
    <n v="8"/>
    <n v="10"/>
    <s v="Neither easy nor difficult"/>
    <s v="Good Work/Life Balance"/>
    <s v="Male"/>
    <n v="28"/>
    <s v="United States"/>
    <s v="Bachelors"/>
    <s v="White or Caucasian"/>
  </r>
  <r>
    <s v="62a34f2af8f7561645854c1c"/>
    <s v="anonymous"/>
    <d v="2022-06-10T00:00:00"/>
    <d v="1899-12-30T10:03:00"/>
    <d v="1899-12-30T00:01:06"/>
    <m/>
    <m/>
    <m/>
    <m/>
    <m/>
    <s v="Data Analyst"/>
    <x v="1"/>
    <s v="41k-65k"/>
    <n v="53"/>
    <s v="Healthcare"/>
    <s v="Python"/>
    <x v="1"/>
    <n v="2"/>
    <n v="8"/>
    <n v="7"/>
    <n v="0"/>
    <n v="0"/>
    <s v="Difficult"/>
    <s v="Better Salary"/>
    <s v="Male"/>
    <n v="21"/>
    <s v="United States"/>
    <s v="Bachelors"/>
    <s v="Asian or Asian American"/>
  </r>
  <r>
    <s v="62a34f3bf408bae018ed5e42"/>
    <s v="anonymous"/>
    <d v="2022-06-10T00:00:00"/>
    <d v="1899-12-30T10:03:00"/>
    <d v="1899-12-30T00:01:13"/>
    <m/>
    <m/>
    <m/>
    <m/>
    <m/>
    <s v="Data Analyst"/>
    <x v="0"/>
    <s v="106k-125k"/>
    <n v="116"/>
    <s v="Healthcare"/>
    <s v="R"/>
    <x v="3"/>
    <n v="10"/>
    <n v="10"/>
    <n v="10"/>
    <n v="10"/>
    <n v="10"/>
    <s v="Very Easy"/>
    <s v="Good Culture"/>
    <s v="Male"/>
    <n v="39"/>
    <s v="United States"/>
    <s v="Masters"/>
    <s v="White or Caucasian"/>
  </r>
  <r>
    <s v="62a34fa418134ddc75ceb509"/>
    <s v="anonymous"/>
    <d v="2022-06-10T00:00:00"/>
    <d v="1899-12-30T10:05:00"/>
    <d v="1899-12-30T00:03:29"/>
    <m/>
    <m/>
    <m/>
    <m/>
    <m/>
    <s v="Data Analyst"/>
    <x v="0"/>
    <s v="0-40k"/>
    <n v="20"/>
    <s v="Tech"/>
    <s v="Python"/>
    <x v="5"/>
    <n v="5"/>
    <n v="5"/>
    <n v="5"/>
    <n v="6"/>
    <n v="8"/>
    <s v="Difficult"/>
    <s v="Good Work/Life Balance"/>
    <s v="Male"/>
    <n v="23"/>
    <s v="Other"/>
    <s v="Bachelors"/>
    <s v="Asian or Asian American"/>
  </r>
  <r>
    <s v="62a34fbacec54911e9ca776f"/>
    <s v="anonymous"/>
    <d v="2022-06-10T00:00:00"/>
    <d v="1899-12-30T10:05:00"/>
    <d v="1899-12-30T00:01:17"/>
    <m/>
    <m/>
    <m/>
    <m/>
    <m/>
    <s v="Data Analyst"/>
    <x v="1"/>
    <s v="0-40k"/>
    <n v="20"/>
    <s v="Other"/>
    <s v="R"/>
    <x v="1"/>
    <n v="6"/>
    <n v="4"/>
    <n v="3"/>
    <n v="5"/>
    <n v="6"/>
    <s v="Neither easy nor difficult"/>
    <s v="Good Work/Life Balance"/>
    <s v="Female"/>
    <n v="23"/>
    <s v="Other"/>
    <s v="Bachelors"/>
    <s v="White or Caucasian"/>
  </r>
  <r>
    <s v="62a34fc3f3072dd892624a45"/>
    <s v="anonymous"/>
    <d v="2022-06-10T00:00:00"/>
    <d v="1899-12-30T10:05:00"/>
    <d v="1899-12-30T00:02:03"/>
    <m/>
    <m/>
    <m/>
    <m/>
    <m/>
    <s v="Data Analyst"/>
    <x v="0"/>
    <s v="66k-85k"/>
    <n v="76"/>
    <s v="Other"/>
    <s v="R"/>
    <x v="10"/>
    <n v="9"/>
    <n v="8"/>
    <n v="7"/>
    <n v="7"/>
    <n v="8"/>
    <s v="Neither easy nor difficult"/>
    <s v="Good Work/Life Balance"/>
    <s v="Male"/>
    <n v="30"/>
    <s v="United States"/>
    <s v="Masters"/>
    <s v="White or Caucasian"/>
  </r>
  <r>
    <s v="62a34ff1f408bae018ed601d"/>
    <s v="anonymous"/>
    <d v="2022-06-10T00:00:00"/>
    <d v="1899-12-30T10:06:00"/>
    <d v="1899-12-30T00:01:16"/>
    <m/>
    <m/>
    <m/>
    <m/>
    <m/>
    <s v="Data Analyst"/>
    <x v="1"/>
    <s v="41k-65k"/>
    <n v="53"/>
    <s v="Other"/>
    <s v="Python"/>
    <x v="4"/>
    <n v="6"/>
    <n v="2"/>
    <n v="3"/>
    <n v="2"/>
    <n v="2"/>
    <s v="Easy"/>
    <s v="Better Salary"/>
    <s v="Male"/>
    <n v="26"/>
    <s v="Other"/>
    <s v="Masters"/>
    <s v="White or Caucasian"/>
  </r>
  <r>
    <s v="62a34ff4f3072dd892624b32"/>
    <s v="anonymous"/>
    <d v="2022-06-10T00:00:00"/>
    <d v="1899-12-30T10:06:00"/>
    <d v="1899-12-30T00:02:18"/>
    <m/>
    <m/>
    <m/>
    <m/>
    <m/>
    <s v="Data Analyst"/>
    <x v="0"/>
    <s v="41k-65k"/>
    <n v="53"/>
    <s v="Healthcare"/>
    <s v="R"/>
    <x v="6"/>
    <n v="6"/>
    <n v="4"/>
    <n v="6"/>
    <n v="4"/>
    <n v="6"/>
    <s v="Neither easy nor difficult"/>
    <s v="Better Salary"/>
    <s v="Male"/>
    <n v="37"/>
    <s v="United States"/>
    <s v="Bachelors"/>
    <s v="White or Caucasian"/>
  </r>
  <r>
    <s v="62a3505bd8c00e9f5419f8df"/>
    <s v="anonymous"/>
    <d v="2022-06-10T00:00:00"/>
    <d v="1899-12-30T10:08:00"/>
    <d v="1899-12-30T00:01:22"/>
    <m/>
    <m/>
    <m/>
    <m/>
    <m/>
    <s v="Data Analyst"/>
    <x v="0"/>
    <s v="66k-85k"/>
    <n v="76"/>
    <s v="Healthcare"/>
    <s v="Python"/>
    <x v="6"/>
    <n v="5"/>
    <n v="4"/>
    <n v="5"/>
    <n v="4"/>
    <n v="4"/>
    <s v="Neither easy nor difficult"/>
    <s v="Better Salary"/>
    <s v="Female"/>
    <n v="31"/>
    <s v="United States"/>
    <s v="Bachelors"/>
    <s v="White or Caucasian"/>
  </r>
  <r>
    <s v="62a350f7f3072dd892624d05"/>
    <s v="anonymous"/>
    <d v="2022-06-10T00:00:00"/>
    <d v="1899-12-30T10:11:00"/>
    <d v="1899-12-30T00:02:03"/>
    <m/>
    <m/>
    <m/>
    <m/>
    <m/>
    <s v="Data Analyst"/>
    <x v="0"/>
    <s v="0-40k"/>
    <n v="20"/>
    <s v="Finance"/>
    <s v="C/C++"/>
    <x v="8"/>
    <n v="2"/>
    <n v="4"/>
    <n v="3"/>
    <n v="3"/>
    <n v="3"/>
    <s v="Difficult"/>
    <s v="Good Work/Life Balance"/>
    <s v="Female"/>
    <n v="25"/>
    <s v="Other"/>
    <s v="Bachelors"/>
    <s v="Black or African American"/>
  </r>
  <r>
    <s v="62a35130f3072dd892624d9f"/>
    <s v="anonymous"/>
    <d v="2022-06-10T00:00:00"/>
    <d v="1899-12-30T10:12:00"/>
    <d v="1899-12-30T00:02:04"/>
    <m/>
    <m/>
    <m/>
    <m/>
    <m/>
    <s v="Data Analyst"/>
    <x v="0"/>
    <s v="0-40k"/>
    <n v="20"/>
    <s v="Healthcare"/>
    <s v="Python"/>
    <x v="4"/>
    <n v="6"/>
    <n v="6"/>
    <n v="5"/>
    <n v="4"/>
    <n v="5"/>
    <s v="Easy"/>
    <s v="Better Salary"/>
    <s v="Female"/>
    <n v="26"/>
    <s v="Other"/>
    <s v="Bachelors"/>
    <s v="White or Caucasian"/>
  </r>
  <r>
    <s v="62a351860a77c1a77f65e86b"/>
    <s v="anonymous"/>
    <d v="2022-06-10T00:00:00"/>
    <d v="1899-12-30T10:13:00"/>
    <d v="1899-12-30T00:01:28"/>
    <m/>
    <m/>
    <m/>
    <m/>
    <m/>
    <s v="Data Analyst"/>
    <x v="0"/>
    <s v="66k-85k"/>
    <n v="76"/>
    <s v="Healthcare"/>
    <s v="Other"/>
    <x v="7"/>
    <n v="8"/>
    <n v="8"/>
    <n v="8"/>
    <n v="8"/>
    <n v="7"/>
    <s v="Very Easy"/>
    <s v="Better Salary"/>
    <s v="Male"/>
    <n v="30"/>
    <s v="United States"/>
    <s v="Bachelors"/>
    <s v="White or Caucasian"/>
  </r>
  <r>
    <s v="62a3519b24a262602738514a"/>
    <s v="anonymous"/>
    <d v="2022-06-10T00:00:00"/>
    <d v="1899-12-30T10:13:00"/>
    <d v="1899-12-30T00:01:39"/>
    <m/>
    <m/>
    <m/>
    <m/>
    <m/>
    <s v="Data Analyst"/>
    <x v="0"/>
    <s v="66k-85k"/>
    <n v="76"/>
    <s v="Tech"/>
    <s v="Python"/>
    <x v="0"/>
    <n v="10"/>
    <n v="10"/>
    <n v="10"/>
    <n v="7"/>
    <n v="9"/>
    <s v="Neither easy nor difficult"/>
    <s v="Better Salary"/>
    <s v="Female"/>
    <n v="39"/>
    <s v="United States"/>
    <s v="Bachelors"/>
    <s v="Black or African American"/>
  </r>
  <r>
    <s v="62a35236b4da29969c631214"/>
    <s v="anonymous"/>
    <d v="2022-06-10T00:00:00"/>
    <d v="1899-12-30T10:16:00"/>
    <d v="1899-12-30T00:00:53"/>
    <m/>
    <m/>
    <m/>
    <m/>
    <m/>
    <s v="Other"/>
    <x v="1"/>
    <s v="0-40k"/>
    <n v="20"/>
    <s v="Education"/>
    <s v="Python"/>
    <x v="1"/>
    <n v="1"/>
    <n v="1"/>
    <n v="0"/>
    <n v="0"/>
    <n v="2"/>
    <s v="Easy"/>
    <s v="Good Work/Life Balance"/>
    <s v="Female"/>
    <n v="28"/>
    <s v="India"/>
    <s v="Masters"/>
    <s v="Asian or Asian American"/>
  </r>
  <r>
    <s v="62a352a32e54c9003e534981"/>
    <s v="anonymous"/>
    <d v="2022-06-10T00:00:00"/>
    <d v="1899-12-30T10:18:00"/>
    <d v="1899-12-30T00:01:46"/>
    <m/>
    <m/>
    <m/>
    <m/>
    <m/>
    <s v="Data Analyst"/>
    <x v="0"/>
    <s v="66k-85k"/>
    <n v="76"/>
    <s v="Finance"/>
    <s v="Other"/>
    <x v="10"/>
    <n v="8"/>
    <n v="7"/>
    <n v="7"/>
    <n v="10"/>
    <n v="10"/>
    <s v="Very Easy"/>
    <s v="Good Work/Life Balance"/>
    <s v="Male"/>
    <n v="22"/>
    <s v="United States"/>
    <s v="Bachelors"/>
    <s v="Other"/>
  </r>
  <r>
    <s v="62a352f00a77c1a77f65eae7"/>
    <s v="anonymous"/>
    <d v="2022-06-10T00:00:00"/>
    <d v="1899-12-30T10:19:00"/>
    <d v="1899-12-30T00:02:45"/>
    <m/>
    <m/>
    <m/>
    <m/>
    <m/>
    <s v="Data Analyst"/>
    <x v="0"/>
    <s v="0-40k"/>
    <n v="20"/>
    <s v="Telecommunication"/>
    <s v="Python"/>
    <x v="6"/>
    <n v="2"/>
    <n v="4"/>
    <n v="2"/>
    <n v="2"/>
    <n v="2"/>
    <s v="Neither easy nor difficult"/>
    <s v="Good Culture"/>
    <s v="Male"/>
    <n v="28"/>
    <s v="Other"/>
    <s v="Bachelors"/>
    <s v="Black or African American"/>
  </r>
  <r>
    <s v="62a353372e54c9003e534a40"/>
    <s v="anonymous"/>
    <d v="2022-06-10T00:00:00"/>
    <d v="1899-12-30T10:20:00"/>
    <d v="1899-12-30T00:01:44"/>
    <m/>
    <m/>
    <m/>
    <m/>
    <m/>
    <s v="Other"/>
    <x v="1"/>
    <s v="150k-225k"/>
    <n v="188"/>
    <s v="Tech"/>
    <s v="R"/>
    <x v="10"/>
    <n v="10"/>
    <n v="9"/>
    <n v="7"/>
    <n v="5"/>
    <n v="5"/>
    <s v="Neither easy nor difficult"/>
    <s v="Remote Work"/>
    <s v="Male"/>
    <n v="33"/>
    <s v="United States"/>
    <s v="Masters"/>
    <s v="White or Caucasian"/>
  </r>
  <r>
    <s v="62a353565d257a28a30da59f"/>
    <s v="anonymous"/>
    <d v="2022-06-10T00:00:00"/>
    <d v="1899-12-30T10:21:00"/>
    <d v="1899-12-30T00:05:11"/>
    <m/>
    <m/>
    <m/>
    <m/>
    <m/>
    <s v="Data Analyst"/>
    <x v="0"/>
    <s v="0-40k"/>
    <n v="20"/>
    <s v="Finance"/>
    <s v="Other"/>
    <x v="4"/>
    <n v="3"/>
    <n v="3"/>
    <n v="3"/>
    <n v="2"/>
    <n v="4"/>
    <s v="Neither easy nor difficult"/>
    <s v="Good Work/Life Balance"/>
    <s v="Female"/>
    <n v="22"/>
    <s v="Other"/>
    <s v="Bachelors"/>
    <s v="Other"/>
  </r>
  <r>
    <s v="62a353f07dc029e2d66c1783"/>
    <s v="anonymous"/>
    <d v="2022-06-10T00:00:00"/>
    <d v="1899-12-30T10:23:00"/>
    <d v="1899-12-30T00:01:48"/>
    <m/>
    <m/>
    <m/>
    <m/>
    <m/>
    <s v="Student"/>
    <x v="1"/>
    <s v="0-40k"/>
    <n v="20"/>
    <s v="Tech"/>
    <s v="Python"/>
    <x v="6"/>
    <n v="5"/>
    <n v="5"/>
    <n v="4"/>
    <n v="4"/>
    <n v="5"/>
    <s v="Neither easy nor difficult"/>
    <s v="Better Salary"/>
    <s v="Male"/>
    <n v="27"/>
    <s v="India"/>
    <s v="Bachelors"/>
    <s v="Other"/>
  </r>
  <r>
    <s v="62a3545e0f8c8599d5af474b"/>
    <s v="anonymous"/>
    <d v="2022-06-10T00:00:00"/>
    <d v="1899-12-30T10:25:00"/>
    <d v="1899-12-30T00:03:42"/>
    <m/>
    <m/>
    <m/>
    <m/>
    <m/>
    <s v="Data Analyst"/>
    <x v="0"/>
    <s v="106k-125k"/>
    <n v="116"/>
    <s v="Other"/>
    <s v="Other"/>
    <x v="10"/>
    <n v="8"/>
    <n v="8"/>
    <n v="8"/>
    <n v="10"/>
    <n v="10"/>
    <s v="Easy"/>
    <s v="Good Work/Life Balance"/>
    <s v="Male"/>
    <n v="37"/>
    <s v="United States"/>
    <s v="Bachelors"/>
    <s v="Other"/>
  </r>
  <r>
    <s v="62a35472cec54911e9ca82bc"/>
    <s v="anonymous"/>
    <d v="2022-06-10T00:00:00"/>
    <d v="1899-12-30T10:25:00"/>
    <d v="1899-12-30T00:22:47"/>
    <m/>
    <m/>
    <m/>
    <m/>
    <m/>
    <s v="Other"/>
    <x v="1"/>
    <s v="41k-65k"/>
    <n v="53"/>
    <s v="Other"/>
    <s v="R"/>
    <x v="6"/>
    <n v="4"/>
    <n v="5"/>
    <n v="5"/>
    <n v="4"/>
    <n v="3"/>
    <s v="Difficult"/>
    <s v="Better Salary"/>
    <s v="Male"/>
    <n v="24"/>
    <s v="United States"/>
    <s v="Masters"/>
    <s v="White or Caucasian"/>
  </r>
  <r>
    <s v="62a354bdb4da29969c631700"/>
    <s v="anonymous"/>
    <d v="2022-06-10T00:00:00"/>
    <d v="1899-12-30T10:27:00"/>
    <d v="1899-12-30T00:01:20"/>
    <m/>
    <m/>
    <m/>
    <m/>
    <m/>
    <s v="Data Analyst"/>
    <x v="1"/>
    <s v="41k-65k"/>
    <n v="53"/>
    <s v="Healthcare"/>
    <s v="R"/>
    <x v="1"/>
    <n v="4"/>
    <n v="3"/>
    <n v="2"/>
    <n v="0"/>
    <n v="6"/>
    <s v="Difficult"/>
    <s v="Better Salary"/>
    <s v="Male"/>
    <n v="25"/>
    <s v="United Kingdom"/>
    <s v="Masters"/>
    <s v="Asian or Asian American"/>
  </r>
  <r>
    <s v="62a354e9cf255543173031ed"/>
    <s v="anonymous"/>
    <d v="2022-06-10T00:00:00"/>
    <d v="1899-12-30T10:27:00"/>
    <d v="1899-12-30T00:01:24"/>
    <m/>
    <m/>
    <m/>
    <m/>
    <m/>
    <s v="Data Engineer"/>
    <x v="1"/>
    <s v="86k-105k"/>
    <n v="96"/>
    <s v="Healthcare"/>
    <s v="R"/>
    <x v="10"/>
    <n v="10"/>
    <n v="8"/>
    <n v="8"/>
    <n v="9"/>
    <n v="10"/>
    <s v="Neither easy nor difficult"/>
    <s v="Good Culture"/>
    <s v="Male"/>
    <n v="28"/>
    <s v="United States"/>
    <s v="Masters"/>
    <s v="Black or African American"/>
  </r>
  <r>
    <s v="62a35541f3072dd892625517"/>
    <s v="anonymous"/>
    <d v="2022-06-10T00:00:00"/>
    <d v="1899-12-30T10:29:00"/>
    <d v="1899-12-30T00:02:07"/>
    <m/>
    <m/>
    <m/>
    <m/>
    <m/>
    <s v="Data Analyst"/>
    <x v="0"/>
    <s v="41k-65k"/>
    <n v="53"/>
    <s v="Other"/>
    <s v="Python"/>
    <x v="8"/>
    <n v="5"/>
    <n v="7"/>
    <n v="7"/>
    <n v="7"/>
    <n v="7"/>
    <s v="Easy"/>
    <s v="Better Salary"/>
    <s v="Male"/>
    <n v="32"/>
    <s v="United Kingdom"/>
    <s v="Bachelors"/>
    <s v="White or Caucasian"/>
  </r>
  <r>
    <s v="62a355445d257a28a30dab12"/>
    <s v="anonymous"/>
    <d v="2022-06-10T00:00:00"/>
    <d v="1899-12-30T10:29:00"/>
    <d v="1899-12-30T00:01:34"/>
    <m/>
    <m/>
    <m/>
    <m/>
    <m/>
    <s v="Data Analyst"/>
    <x v="0"/>
    <s v="41k-65k"/>
    <n v="53"/>
    <s v="Other"/>
    <s v="Python"/>
    <x v="2"/>
    <n v="7"/>
    <n v="7"/>
    <n v="7"/>
    <n v="0"/>
    <n v="7"/>
    <s v="Easy"/>
    <s v="Good Culture"/>
    <s v="Male"/>
    <n v="29"/>
    <s v="United States"/>
    <s v="Bachelors"/>
    <s v="Asian or Asian American"/>
  </r>
  <r>
    <s v="62a35631cf25554317303425"/>
    <s v="anonymous"/>
    <d v="2022-06-10T00:00:00"/>
    <d v="1899-12-30T10:33:00"/>
    <d v="1899-12-30T00:02:50"/>
    <m/>
    <m/>
    <m/>
    <m/>
    <m/>
    <s v="Data Analyst"/>
    <x v="1"/>
    <s v="41k-65k"/>
    <n v="53"/>
    <s v="Healthcare"/>
    <s v="R"/>
    <x v="7"/>
    <n v="5"/>
    <n v="8"/>
    <n v="6"/>
    <n v="5"/>
    <n v="10"/>
    <s v="Difficult"/>
    <s v="Other"/>
    <s v="Female"/>
    <n v="26"/>
    <s v="Other"/>
    <s v="Masters"/>
    <s v="White or Caucasian"/>
  </r>
  <r>
    <s v="62a357390a77c1a77f65f189"/>
    <s v="anonymous"/>
    <d v="2022-06-10T00:00:00"/>
    <d v="1899-12-30T10:37:00"/>
    <d v="1899-12-30T00:03:01"/>
    <m/>
    <m/>
    <m/>
    <m/>
    <m/>
    <s v="Data Engineer"/>
    <x v="0"/>
    <s v="41k-65k"/>
    <n v="53"/>
    <s v="Tech"/>
    <s v="Python"/>
    <x v="2"/>
    <n v="7"/>
    <n v="5"/>
    <n v="0"/>
    <n v="0"/>
    <n v="7"/>
    <s v="Neither easy nor difficult"/>
    <s v="Remote Work"/>
    <s v="Male"/>
    <n v="37"/>
    <s v="Canada"/>
    <s v="Masters"/>
    <s v="White or Caucasian"/>
  </r>
  <r>
    <s v="62a3578b0a77c1a77f65f279"/>
    <s v="anonymous"/>
    <d v="2022-06-10T00:00:00"/>
    <d v="1899-12-30T10:39:00"/>
    <d v="1899-12-30T00:01:44"/>
    <m/>
    <m/>
    <m/>
    <m/>
    <m/>
    <s v="Data Analyst"/>
    <x v="1"/>
    <s v="41k-65k"/>
    <n v="53"/>
    <s v="Other"/>
    <s v="R"/>
    <x v="5"/>
    <n v="6"/>
    <n v="5"/>
    <n v="4"/>
    <n v="5"/>
    <n v="6"/>
    <s v="Neither easy nor difficult"/>
    <s v="Better Salary"/>
    <s v="Male"/>
    <n v="25"/>
    <s v="United States"/>
    <s v="Bachelors"/>
    <s v="White or Caucasian"/>
  </r>
  <r>
    <s v="62a357d30f8c8599d5af4ea3"/>
    <s v="anonymous"/>
    <d v="2022-06-10T00:00:00"/>
    <d v="1899-12-30T10:40:00"/>
    <d v="1899-12-30T00:01:36"/>
    <m/>
    <m/>
    <m/>
    <m/>
    <m/>
    <s v="Data Analyst"/>
    <x v="1"/>
    <s v="0-40k"/>
    <n v="20"/>
    <s v="Finance"/>
    <s v="Other"/>
    <x v="5"/>
    <n v="4"/>
    <n v="5"/>
    <n v="6"/>
    <n v="6"/>
    <n v="0"/>
    <s v="Difficult"/>
    <s v="Better Salary"/>
    <s v="Male"/>
    <n v="24"/>
    <s v="Other"/>
    <s v="High School"/>
    <s v="White or Caucasian"/>
  </r>
  <r>
    <s v="62a3582e575fa3a5ae88e506"/>
    <s v="anonymous"/>
    <d v="2022-06-10T00:00:00"/>
    <d v="1899-12-30T10:41:00"/>
    <d v="1899-12-30T00:02:45"/>
    <m/>
    <m/>
    <m/>
    <m/>
    <m/>
    <s v="Other"/>
    <x v="1"/>
    <s v="125k-150k"/>
    <n v="138"/>
    <s v="Finance"/>
    <s v="Other"/>
    <x v="7"/>
    <n v="8"/>
    <n v="8"/>
    <n v="8"/>
    <n v="7"/>
    <n v="8"/>
    <s v="Easy"/>
    <s v="Better Salary"/>
    <s v="Male"/>
    <n v="52"/>
    <s v="United States"/>
    <s v="Bachelors"/>
    <s v="White or Caucasian"/>
  </r>
  <r>
    <s v="62a35878575fa3a5ae88e5d5"/>
    <s v="anonymous"/>
    <d v="2022-06-10T00:00:00"/>
    <d v="1899-12-30T10:43:00"/>
    <d v="1899-12-30T00:04:22"/>
    <m/>
    <m/>
    <m/>
    <m/>
    <m/>
    <s v="Data Analyst"/>
    <x v="0"/>
    <s v="41k-65k"/>
    <n v="53"/>
    <s v="Finance"/>
    <s v="Python"/>
    <x v="9"/>
    <n v="10"/>
    <n v="3"/>
    <n v="5"/>
    <n v="0"/>
    <n v="10"/>
    <s v="Difficult"/>
    <s v="Good Culture"/>
    <s v="Male"/>
    <n v="27"/>
    <s v="Other"/>
    <s v="Bachelors"/>
    <s v="Asian or Asian American"/>
  </r>
  <r>
    <s v="62a35981bae91e4b8b8323dd"/>
    <s v="anonymous"/>
    <d v="2022-06-10T00:00:00"/>
    <d v="1899-12-30T10:47:00"/>
    <d v="1899-12-30T00:01:07"/>
    <m/>
    <m/>
    <m/>
    <m/>
    <m/>
    <s v="Data Analyst"/>
    <x v="1"/>
    <s v="106k-125k"/>
    <n v="116"/>
    <s v="Healthcare"/>
    <s v="Other"/>
    <x v="9"/>
    <n v="6"/>
    <n v="3"/>
    <n v="3"/>
    <n v="3"/>
    <n v="3"/>
    <s v="Neither easy nor difficult"/>
    <s v="Better Salary"/>
    <s v="Female"/>
    <n v="29"/>
    <s v="United States"/>
    <s v="Masters"/>
    <s v="White or Caucasian"/>
  </r>
  <r>
    <s v="62a35a2c7dc029e2d66c2519"/>
    <s v="anonymous"/>
    <d v="2022-06-10T00:00:00"/>
    <d v="1899-12-30T10:50:00"/>
    <d v="1899-12-30T00:01:39"/>
    <m/>
    <m/>
    <m/>
    <m/>
    <m/>
    <s v="Student"/>
    <x v="1"/>
    <s v="0-40k"/>
    <n v="20"/>
    <s v="Tech"/>
    <s v="Python"/>
    <x v="6"/>
    <n v="7"/>
    <n v="6"/>
    <n v="7"/>
    <n v="0"/>
    <n v="0"/>
    <s v="Difficult"/>
    <s v="Better Salary"/>
    <s v="Male"/>
    <n v="42"/>
    <s v="Other"/>
    <s v="Associates"/>
    <s v="White or Caucasian"/>
  </r>
  <r>
    <s v="62a35aa2f8d5efcc22f8075d"/>
    <s v="anonymous"/>
    <d v="2022-06-10T00:00:00"/>
    <d v="1899-12-30T10:52:00"/>
    <d v="1899-12-30T00:01:24"/>
    <m/>
    <m/>
    <m/>
    <m/>
    <m/>
    <s v="Data Analyst"/>
    <x v="0"/>
    <s v="41k-65k"/>
    <n v="53"/>
    <s v="Telecommunication"/>
    <s v="R"/>
    <x v="6"/>
    <n v="5"/>
    <n v="6"/>
    <n v="4"/>
    <n v="3"/>
    <n v="7"/>
    <s v="Difficult"/>
    <s v="Other"/>
    <s v="Male"/>
    <n v="28"/>
    <s v="United States"/>
    <s v="Masters"/>
    <s v="White or Caucasian"/>
  </r>
  <r>
    <s v="62a35ababae91e4b8b83269d"/>
    <s v="anonymous"/>
    <d v="2022-06-10T00:00:00"/>
    <d v="1899-12-30T10:52:00"/>
    <d v="1899-12-30T00:02:39"/>
    <m/>
    <m/>
    <m/>
    <m/>
    <m/>
    <s v="Data Analyst"/>
    <x v="0"/>
    <s v="0-40k"/>
    <n v="20"/>
    <s v="Tech"/>
    <s v="Python"/>
    <x v="10"/>
    <n v="8"/>
    <n v="8"/>
    <n v="8"/>
    <n v="8"/>
    <n v="9"/>
    <s v="Neither easy nor difficult"/>
    <s v="Good Work/Life Balance"/>
    <s v="Male"/>
    <n v="44"/>
    <s v="Other"/>
    <s v="Bachelors"/>
    <s v="Hispanic or Latino"/>
  </r>
  <r>
    <s v="62a35ae0575fa3a5ae88ea98"/>
    <s v="anonymous"/>
    <d v="2022-06-10T00:00:00"/>
    <d v="1899-12-30T10:53:00"/>
    <d v="1899-12-30T00:01:30"/>
    <m/>
    <m/>
    <m/>
    <m/>
    <m/>
    <s v="Data Engineer"/>
    <x v="0"/>
    <s v="0-40k"/>
    <n v="20"/>
    <s v="Tech"/>
    <s v="Python"/>
    <x v="8"/>
    <n v="5"/>
    <n v="6"/>
    <n v="5"/>
    <n v="6"/>
    <n v="7"/>
    <s v="Neither easy nor difficult"/>
    <s v="Remote Work"/>
    <s v="Male"/>
    <n v="23"/>
    <s v="Other"/>
    <s v="Bachelors"/>
    <s v="White or Caucasian"/>
  </r>
  <r>
    <s v="62a35ae87dc029e2d66c279b"/>
    <s v="anonymous"/>
    <d v="2022-06-10T00:00:00"/>
    <d v="1899-12-30T10:53:00"/>
    <d v="1899-12-30T00:01:14"/>
    <m/>
    <m/>
    <m/>
    <m/>
    <m/>
    <s v="Data Analyst"/>
    <x v="1"/>
    <s v="41k-65k"/>
    <n v="53"/>
    <s v="Other"/>
    <s v="R"/>
    <x v="1"/>
    <n v="2"/>
    <n v="6"/>
    <n v="4"/>
    <n v="2"/>
    <n v="0"/>
    <s v="Easy"/>
    <s v="Better Salary"/>
    <s v="Male"/>
    <n v="27"/>
    <s v="United States"/>
    <s v="Bachelors"/>
    <s v="Hispanic or Latino"/>
  </r>
  <r>
    <s v="62a35b13bc6861bf31770188"/>
    <s v="anonymous"/>
    <d v="2022-06-10T00:00:00"/>
    <d v="1899-12-30T10:54:00"/>
    <d v="1899-12-30T00:01:05"/>
    <m/>
    <m/>
    <m/>
    <m/>
    <m/>
    <s v="Data Analyst"/>
    <x v="1"/>
    <s v="66k-85k"/>
    <n v="76"/>
    <s v="Construction"/>
    <s v="Python"/>
    <x v="6"/>
    <n v="3"/>
    <n v="3"/>
    <n v="2"/>
    <n v="2"/>
    <n v="1"/>
    <s v="Neither easy nor difficult"/>
    <s v="Good Culture"/>
    <s v="Male"/>
    <n v="26"/>
    <s v="United States"/>
    <s v="Masters"/>
    <s v="White or Caucasian"/>
  </r>
  <r>
    <s v="62a35b72f408bae018ed76a8"/>
    <s v="anonymous"/>
    <d v="2022-06-10T00:00:00"/>
    <d v="1899-12-30T10:55:00"/>
    <d v="1899-12-30T00:01:14"/>
    <m/>
    <m/>
    <m/>
    <m/>
    <m/>
    <s v="Data Analyst"/>
    <x v="0"/>
    <s v="86k-105k"/>
    <n v="96"/>
    <s v="Healthcare"/>
    <s v="Other"/>
    <x v="6"/>
    <n v="4"/>
    <n v="4"/>
    <n v="4"/>
    <n v="1"/>
    <n v="3"/>
    <s v="Neither easy nor difficult"/>
    <s v="Better Salary"/>
    <s v="Male"/>
    <n v="27"/>
    <s v="United States"/>
    <s v="Masters"/>
    <s v="Hispanic or Latino"/>
  </r>
  <r>
    <s v="62a35b965d257a28a30db899"/>
    <s v="anonymous"/>
    <d v="2022-06-10T00:00:00"/>
    <d v="1899-12-30T10:56:00"/>
    <d v="1899-12-30T00:01:45"/>
    <m/>
    <m/>
    <m/>
    <m/>
    <m/>
    <s v="Data Analyst"/>
    <x v="0"/>
    <s v="66k-85k"/>
    <n v="76"/>
    <s v="Other"/>
    <s v="Python"/>
    <x v="2"/>
    <n v="0"/>
    <n v="7"/>
    <n v="1"/>
    <n v="0"/>
    <n v="9"/>
    <s v="Difficult"/>
    <s v="Better Salary"/>
    <s v="Male"/>
    <n v="33"/>
    <s v="Canada"/>
    <s v="Bachelors"/>
    <s v="Asian or Asian American"/>
  </r>
  <r>
    <s v="62a35ba3f3072dd892626068"/>
    <s v="anonymous"/>
    <d v="2022-06-10T00:00:00"/>
    <d v="1899-12-30T10:56:00"/>
    <d v="1899-12-30T00:01:44"/>
    <m/>
    <m/>
    <m/>
    <m/>
    <m/>
    <s v="Data Analyst"/>
    <x v="0"/>
    <s v="66k-85k"/>
    <n v="76"/>
    <s v="Other"/>
    <s v="Python"/>
    <x v="10"/>
    <n v="10"/>
    <n v="10"/>
    <n v="10"/>
    <n v="10"/>
    <n v="10"/>
    <s v="Easy"/>
    <s v="Better Salary"/>
    <s v="Male"/>
    <n v="28"/>
    <s v="United States"/>
    <s v="Bachelors"/>
    <s v="Hispanic or Latino"/>
  </r>
  <r>
    <s v="62a35c890a77c1a77f65fdfa"/>
    <s v="anonymous"/>
    <d v="2022-06-10T00:00:00"/>
    <d v="1899-12-30T11:00:00"/>
    <d v="1899-12-30T00:01:29"/>
    <m/>
    <m/>
    <m/>
    <m/>
    <m/>
    <s v="Data Analyst"/>
    <x v="0"/>
    <s v="0-40k"/>
    <n v="20"/>
    <s v="Tech"/>
    <s v="R"/>
    <x v="4"/>
    <n v="8"/>
    <n v="8"/>
    <n v="7"/>
    <n v="6"/>
    <n v="9"/>
    <s v="Neither easy nor difficult"/>
    <s v="Better Salary"/>
    <s v="Male"/>
    <n v="32"/>
    <s v="Other"/>
    <s v="Bachelors"/>
    <s v="Black or African American"/>
  </r>
  <r>
    <s v="62a35d8f575fa3a5ae88efd6"/>
    <s v="anonymous"/>
    <d v="2022-06-10T00:00:00"/>
    <d v="1899-12-30T11:04:00"/>
    <d v="1899-12-30T00:02:38"/>
    <m/>
    <m/>
    <m/>
    <m/>
    <m/>
    <s v="Student"/>
    <x v="0"/>
    <s v="41k-65k"/>
    <n v="53"/>
    <s v="Other"/>
    <s v="Python"/>
    <x v="4"/>
    <n v="4"/>
    <n v="6"/>
    <n v="1"/>
    <n v="1"/>
    <n v="1"/>
    <s v="Very Difficult"/>
    <s v="Better Salary"/>
    <s v="Male"/>
    <n v="34"/>
    <s v="Canada"/>
    <s v="Associates"/>
    <s v="Asian or Asian American"/>
  </r>
  <r>
    <s v="62a35d95cf25554317304386"/>
    <s v="anonymous"/>
    <d v="2022-06-10T00:00:00"/>
    <d v="1899-12-30T11:04:00"/>
    <d v="1899-12-30T00:01:04"/>
    <m/>
    <m/>
    <m/>
    <m/>
    <m/>
    <s v="Data Analyst"/>
    <x v="1"/>
    <s v="150k-225k"/>
    <n v="188"/>
    <s v="Tech"/>
    <s v="Python"/>
    <x v="3"/>
    <n v="10"/>
    <n v="10"/>
    <n v="8"/>
    <n v="10"/>
    <n v="10"/>
    <s v="Easy"/>
    <s v="Good Work/Life Balance"/>
    <s v="Male"/>
    <n v="28"/>
    <s v="United States"/>
    <s v="Bachelors"/>
    <s v="Asian or Asian American"/>
  </r>
  <r>
    <s v="62a35e970a77c1a77f66035a"/>
    <s v="anonymous"/>
    <d v="2022-06-10T00:00:00"/>
    <d v="1899-12-30T11:09:00"/>
    <d v="1899-12-30T00:01:51"/>
    <m/>
    <m/>
    <m/>
    <m/>
    <m/>
    <s v="Data Scientist"/>
    <x v="0"/>
    <s v="125k-150k"/>
    <n v="138"/>
    <s v="Telecommunication"/>
    <s v="Python"/>
    <x v="4"/>
    <n v="4"/>
    <n v="1"/>
    <n v="3"/>
    <n v="1"/>
    <n v="7"/>
    <s v="Neither easy nor difficult"/>
    <s v="Better Salary"/>
    <s v="Male"/>
    <n v="27"/>
    <s v="India"/>
    <s v="Bachelors"/>
    <s v="Other"/>
  </r>
  <r>
    <s v="62a35eabf408bae018ed7cbc"/>
    <s v="anonymous"/>
    <d v="2022-06-10T00:00:00"/>
    <d v="1899-12-30T11:09:00"/>
    <d v="1899-12-30T00:01:35"/>
    <m/>
    <m/>
    <m/>
    <m/>
    <m/>
    <s v="Data Engineer"/>
    <x v="0"/>
    <s v="41k-65k"/>
    <n v="53"/>
    <s v="Finance"/>
    <s v="Python"/>
    <x v="4"/>
    <n v="4"/>
    <n v="5"/>
    <n v="5"/>
    <n v="4"/>
    <n v="6"/>
    <s v="Difficult"/>
    <s v="Better Salary"/>
    <s v="Male"/>
    <n v="22"/>
    <s v="United States"/>
    <s v="Bachelors"/>
    <s v="White or Caucasian"/>
  </r>
  <r>
    <s v="62a35f0d24a2626027386a8b"/>
    <s v="anonymous"/>
    <d v="2022-06-10T00:00:00"/>
    <d v="1899-12-30T11:11:00"/>
    <d v="1899-12-30T00:01:03"/>
    <m/>
    <m/>
    <m/>
    <m/>
    <m/>
    <s v="Data Analyst"/>
    <x v="1"/>
    <s v="66k-85k"/>
    <n v="76"/>
    <s v="Healthcare"/>
    <s v="Python"/>
    <x v="6"/>
    <n v="3"/>
    <n v="4"/>
    <n v="1"/>
    <n v="2"/>
    <n v="2"/>
    <s v="Neither easy nor difficult"/>
    <s v="Better Salary"/>
    <s v="Male"/>
    <n v="29"/>
    <s v="United States"/>
    <s v="Masters"/>
    <s v="White or Caucasian"/>
  </r>
  <r>
    <s v="62a35f825d257a28a30dc128"/>
    <s v="anonymous"/>
    <d v="2022-06-10T00:00:00"/>
    <d v="1899-12-30T11:13:00"/>
    <d v="1899-12-30T00:02:17"/>
    <m/>
    <m/>
    <m/>
    <m/>
    <m/>
    <s v="Data Analyst"/>
    <x v="1"/>
    <s v="66k-85k"/>
    <n v="76"/>
    <s v="Healthcare"/>
    <s v="Python"/>
    <x v="10"/>
    <n v="10"/>
    <n v="10"/>
    <n v="8"/>
    <n v="5"/>
    <n v="7"/>
    <s v="Neither easy nor difficult"/>
    <s v="Good Work/Life Balance"/>
    <s v="Female"/>
    <n v="31"/>
    <s v="United States"/>
    <s v="Masters"/>
    <s v="White or Caucasian"/>
  </r>
  <r>
    <s v="62a35fa0f8f7561645856c35"/>
    <s v="anonymous"/>
    <d v="2022-06-10T00:00:00"/>
    <d v="1899-12-30T11:13:00"/>
    <d v="1899-12-30T00:01:39"/>
    <m/>
    <m/>
    <m/>
    <m/>
    <m/>
    <s v="Data Analyst"/>
    <x v="1"/>
    <s v="66k-85k"/>
    <n v="76"/>
    <s v="Tech"/>
    <s v="Python"/>
    <x v="5"/>
    <n v="5"/>
    <n v="5"/>
    <n v="5"/>
    <n v="4"/>
    <n v="4"/>
    <s v="Easy"/>
    <s v="Remote Work"/>
    <s v="Male"/>
    <n v="28"/>
    <s v="United States"/>
    <s v="Bachelors"/>
    <s v="White or Caucasian"/>
  </r>
  <r>
    <s v="62a35fc1f8f7561645856c98"/>
    <s v="anonymous"/>
    <d v="2022-06-10T00:00:00"/>
    <d v="1899-12-30T11:14:00"/>
    <d v="1899-12-30T00:00:53"/>
    <m/>
    <m/>
    <m/>
    <m/>
    <m/>
    <s v="Student"/>
    <x v="1"/>
    <s v="0-40k"/>
    <n v="20"/>
    <s v="Healthcare"/>
    <s v="Python"/>
    <x v="2"/>
    <n v="0"/>
    <n v="0"/>
    <n v="0"/>
    <n v="0"/>
    <n v="0"/>
    <s v="Neither easy nor difficult"/>
    <s v="Good Work/Life Balance"/>
    <s v="Male"/>
    <n v="24"/>
    <s v="United States"/>
    <s v="Masters"/>
    <s v="Asian or Asian American"/>
  </r>
  <r>
    <s v="62a3602318134ddc75ced6b9"/>
    <s v="anonymous"/>
    <d v="2022-06-10T00:00:00"/>
    <d v="1899-12-30T11:15:00"/>
    <d v="1899-12-30T00:01:19"/>
    <m/>
    <m/>
    <m/>
    <m/>
    <m/>
    <s v="Data Analyst"/>
    <x v="1"/>
    <s v="86k-105k"/>
    <n v="96"/>
    <s v="Other"/>
    <s v="Other"/>
    <x v="5"/>
    <n v="5"/>
    <n v="3"/>
    <n v="4"/>
    <n v="2"/>
    <n v="3"/>
    <s v="Easy"/>
    <s v="Good Culture"/>
    <s v="Male"/>
    <n v="34"/>
    <s v="United States"/>
    <s v="Masters"/>
    <s v="White or Caucasian"/>
  </r>
  <r>
    <s v="62a360b8f8f7561645856ec4"/>
    <s v="anonymous"/>
    <d v="2022-06-10T00:00:00"/>
    <d v="1899-12-30T11:18:00"/>
    <d v="1899-12-30T00:01:16"/>
    <m/>
    <m/>
    <m/>
    <m/>
    <m/>
    <s v="Data Engineer"/>
    <x v="1"/>
    <s v="86k-105k"/>
    <n v="96"/>
    <s v="Tech"/>
    <s v="Python"/>
    <x v="8"/>
    <n v="3"/>
    <n v="5"/>
    <n v="5"/>
    <n v="4"/>
    <n v="5"/>
    <s v="Difficult"/>
    <s v="Better Salary"/>
    <s v="Male"/>
    <n v="23"/>
    <s v="United States"/>
    <s v="Bachelors"/>
    <s v="White or Caucasian"/>
  </r>
  <r>
    <s v="62a360dbd8c00e9f541a16cf"/>
    <s v="anonymous"/>
    <d v="2022-06-10T00:00:00"/>
    <d v="1899-12-30T11:18:00"/>
    <d v="1899-12-30T00:02:08"/>
    <m/>
    <m/>
    <m/>
    <m/>
    <m/>
    <s v="Student"/>
    <x v="1"/>
    <s v="41k-65k"/>
    <n v="53"/>
    <s v="Construction"/>
    <s v="Other"/>
    <x v="3"/>
    <n v="4"/>
    <n v="10"/>
    <n v="10"/>
    <n v="4"/>
    <n v="10"/>
    <s v="Neither easy nor difficult"/>
    <s v="Remote Work"/>
    <s v="Male"/>
    <n v="32"/>
    <s v="Other"/>
    <s v="Masters"/>
    <s v="White or Caucasian"/>
  </r>
  <r>
    <s v="62a36146f8f7561645856ff7"/>
    <s v="anonymous"/>
    <d v="2022-06-10T00:00:00"/>
    <d v="1899-12-30T11:20:00"/>
    <d v="1899-12-30T00:01:31"/>
    <m/>
    <m/>
    <m/>
    <m/>
    <m/>
    <s v="Data Analyst"/>
    <x v="0"/>
    <s v="0-40k"/>
    <n v="20"/>
    <s v="Healthcare"/>
    <s v="R"/>
    <x v="9"/>
    <n v="8"/>
    <n v="6"/>
    <n v="6"/>
    <n v="8"/>
    <n v="10"/>
    <s v="Easy"/>
    <s v="Remote Work"/>
    <s v="Male"/>
    <n v="29"/>
    <s v="Other"/>
    <s v="High School"/>
    <s v="Hispanic or Latino"/>
  </r>
  <r>
    <s v="62a361af0f8c8599d5af6277"/>
    <s v="anonymous"/>
    <d v="2022-06-10T00:00:00"/>
    <d v="1899-12-30T11:22:00"/>
    <d v="1899-12-30T00:01:39"/>
    <m/>
    <m/>
    <m/>
    <m/>
    <m/>
    <s v="Data Analyst"/>
    <x v="0"/>
    <s v="0-40k"/>
    <n v="20"/>
    <s v="Education"/>
    <s v="Python"/>
    <x v="2"/>
    <n v="0"/>
    <n v="0"/>
    <n v="0"/>
    <n v="0"/>
    <n v="0"/>
    <s v="Very Difficult"/>
    <s v="Better Salary"/>
    <s v="Male"/>
    <n v="34"/>
    <s v="Other"/>
    <s v="Bachelors"/>
    <s v="Black or African American"/>
  </r>
  <r>
    <s v="62a361cc575fa3a5ae88f908"/>
    <s v="anonymous"/>
    <d v="2022-06-10T00:00:00"/>
    <d v="1899-12-30T11:22:00"/>
    <d v="1899-12-30T00:00:55"/>
    <m/>
    <m/>
    <m/>
    <m/>
    <m/>
    <s v="Data Analyst"/>
    <x v="1"/>
    <s v="66k-85k"/>
    <n v="76"/>
    <s v="Finance"/>
    <s v="Python"/>
    <x v="7"/>
    <n v="5"/>
    <n v="5"/>
    <n v="7"/>
    <n v="9"/>
    <n v="10"/>
    <s v="Very Easy"/>
    <s v="Remote Work"/>
    <s v="Male"/>
    <n v="24"/>
    <s v="United Kingdom"/>
    <s v="Bachelors"/>
    <s v="White or Caucasian"/>
  </r>
  <r>
    <s v="62a3620f0f8c8599d5af63a5"/>
    <s v="anonymous"/>
    <d v="2022-06-10T00:00:00"/>
    <d v="1899-12-30T11:23:00"/>
    <d v="1899-12-30T00:02:19"/>
    <m/>
    <m/>
    <m/>
    <m/>
    <m/>
    <s v="Other"/>
    <x v="1"/>
    <s v="66k-85k"/>
    <n v="76"/>
    <s v="Tech"/>
    <s v="Python"/>
    <x v="2"/>
    <n v="10"/>
    <n v="6"/>
    <n v="0"/>
    <n v="0"/>
    <n v="0"/>
    <s v="Difficult"/>
    <s v="Better Salary"/>
    <s v="Male"/>
    <n v="30"/>
    <s v="United States"/>
    <s v="Bachelors"/>
    <s v="Other"/>
  </r>
  <r>
    <s v="62a36251d8c00e9f541a199e"/>
    <s v="anonymous"/>
    <d v="2022-06-10T00:00:00"/>
    <d v="1899-12-30T11:25:00"/>
    <d v="1899-12-30T00:01:59"/>
    <m/>
    <m/>
    <m/>
    <m/>
    <m/>
    <s v="Other"/>
    <x v="1"/>
    <s v="86k-105k"/>
    <n v="96"/>
    <s v="Other"/>
    <s v="Python"/>
    <x v="8"/>
    <n v="5"/>
    <n v="6"/>
    <n v="4"/>
    <n v="5"/>
    <n v="5"/>
    <s v="Difficult"/>
    <s v="Better Salary"/>
    <s v="Male"/>
    <n v="24"/>
    <s v="United States"/>
    <s v="Masters"/>
    <s v="Hispanic or Latino"/>
  </r>
  <r>
    <s v="62a36275bc6861bf31771183"/>
    <s v="anonymous"/>
    <d v="2022-06-10T00:00:00"/>
    <d v="1899-12-30T11:25:00"/>
    <d v="1899-12-30T00:01:52"/>
    <m/>
    <m/>
    <m/>
    <m/>
    <m/>
    <s v="Data Analyst"/>
    <x v="0"/>
    <s v="41k-65k"/>
    <n v="53"/>
    <s v="Other"/>
    <s v="Python"/>
    <x v="9"/>
    <n v="8"/>
    <n v="10"/>
    <n v="9"/>
    <n v="7"/>
    <n v="9"/>
    <s v="Easy"/>
    <s v="Better Salary"/>
    <s v="Male"/>
    <n v="27"/>
    <s v="United States"/>
    <s v="Bachelors"/>
    <s v="Other"/>
  </r>
  <r>
    <s v="62a3636c2e54c9003e536e6b"/>
    <s v="anonymous"/>
    <d v="2022-06-10T00:00:00"/>
    <d v="1899-12-30T11:29:00"/>
    <d v="1899-12-30T00:03:30"/>
    <m/>
    <m/>
    <m/>
    <m/>
    <m/>
    <s v="Data Analyst"/>
    <x v="1"/>
    <s v="0-40k"/>
    <n v="20"/>
    <s v="Finance"/>
    <s v="Python"/>
    <x v="1"/>
    <n v="2"/>
    <n v="4"/>
    <n v="4"/>
    <n v="4"/>
    <n v="5"/>
    <s v="Neither easy nor difficult"/>
    <s v="Better Salary"/>
    <s v="Male"/>
    <n v="21"/>
    <s v="India"/>
    <s v="Bachelors"/>
    <s v="Asian or Asian American"/>
  </r>
  <r>
    <s v="62a365c2f8d5efcc22f81e2e"/>
    <s v="anonymous"/>
    <d v="2022-06-10T00:00:00"/>
    <d v="1899-12-30T11:39:00"/>
    <d v="1899-12-30T00:03:54"/>
    <m/>
    <m/>
    <m/>
    <m/>
    <m/>
    <s v="Data Analyst"/>
    <x v="1"/>
    <s v="0-40k"/>
    <n v="20"/>
    <s v="Other"/>
    <s v="Python"/>
    <x v="6"/>
    <n v="5"/>
    <n v="9"/>
    <n v="9"/>
    <m/>
    <n v="8"/>
    <s v="Very Difficult"/>
    <s v="Other"/>
    <s v="Male"/>
    <n v="31"/>
    <s v="Other"/>
    <s v="Masters"/>
    <s v="Black or African American"/>
  </r>
  <r>
    <s v="62a365d5d8c00e9f541a20cf"/>
    <s v="anonymous"/>
    <d v="2022-06-10T00:00:00"/>
    <d v="1899-12-30T11:40:00"/>
    <d v="1899-12-30T00:02:38"/>
    <m/>
    <m/>
    <m/>
    <m/>
    <m/>
    <s v="Data Analyst"/>
    <x v="0"/>
    <s v="0-40k"/>
    <n v="20"/>
    <s v="Telecommunication"/>
    <s v="R"/>
    <x v="8"/>
    <n v="7"/>
    <n v="5"/>
    <n v="5"/>
    <n v="5"/>
    <n v="7"/>
    <s v="Difficult"/>
    <s v="Better Salary"/>
    <s v="Male"/>
    <n v="41"/>
    <s v="Other"/>
    <s v="Bachelors"/>
    <s v="White or Caucasian"/>
  </r>
  <r>
    <s v="62a3670b575fa3a5ae890422"/>
    <s v="anonymous"/>
    <d v="2022-06-10T00:00:00"/>
    <d v="1899-12-30T11:45:00"/>
    <d v="1899-12-30T00:02:07"/>
    <m/>
    <m/>
    <m/>
    <m/>
    <m/>
    <s v="Data Analyst"/>
    <x v="0"/>
    <s v="0-40k"/>
    <n v="20"/>
    <s v="Tech"/>
    <s v="Python"/>
    <x v="2"/>
    <n v="1"/>
    <n v="1"/>
    <n v="0"/>
    <n v="0"/>
    <n v="2"/>
    <s v="Difficult"/>
    <s v="Better Salary"/>
    <s v="Male"/>
    <n v="25"/>
    <s v="India"/>
    <s v="Bachelors"/>
    <s v="Asian or Asian American"/>
  </r>
  <r>
    <s v="62a3676bb4da29969c633ac7"/>
    <s v="anonymous"/>
    <d v="2022-06-10T00:00:00"/>
    <d v="1899-12-30T11:46:00"/>
    <d v="1899-12-30T00:03:59"/>
    <m/>
    <m/>
    <m/>
    <m/>
    <m/>
    <s v="Data Analyst"/>
    <x v="1"/>
    <s v="0-40k"/>
    <n v="20"/>
    <s v="Finance"/>
    <s v="Other"/>
    <x v="5"/>
    <n v="7"/>
    <n v="8"/>
    <n v="8"/>
    <n v="8"/>
    <n v="9"/>
    <s v="Neither easy nor difficult"/>
    <s v="Other"/>
    <s v="Male"/>
    <n v="24"/>
    <s v="Other"/>
    <s v="Bachelors"/>
    <s v="Black or African American"/>
  </r>
  <r>
    <s v="62a36794b4da29969c633b48"/>
    <s v="anonymous"/>
    <d v="2022-06-10T00:00:00"/>
    <d v="1899-12-30T11:47:00"/>
    <d v="1899-12-30T00:02:01"/>
    <m/>
    <m/>
    <m/>
    <m/>
    <m/>
    <s v="Data Analyst"/>
    <x v="1"/>
    <s v="0-40k"/>
    <n v="20"/>
    <s v="Finance"/>
    <s v="Python"/>
    <x v="9"/>
    <n v="5"/>
    <n v="6"/>
    <n v="5"/>
    <n v="6"/>
    <n v="6"/>
    <s v="Neither easy nor difficult"/>
    <s v="Better Salary"/>
    <s v="Male"/>
    <n v="30"/>
    <s v="Other"/>
    <s v="Masters"/>
    <s v="Other"/>
  </r>
  <r>
    <s v="62a367d224a2626027387b56"/>
    <s v="anonymous"/>
    <d v="2022-06-10T00:00:00"/>
    <d v="1899-12-30T11:48:00"/>
    <d v="1899-12-30T00:03:38"/>
    <m/>
    <m/>
    <m/>
    <m/>
    <m/>
    <s v="Data Analyst"/>
    <x v="1"/>
    <s v="150k-225k"/>
    <n v="188"/>
    <s v="Finance"/>
    <s v="Other"/>
    <x v="7"/>
    <n v="7"/>
    <n v="7"/>
    <m/>
    <n v="5"/>
    <n v="7"/>
    <s v="Neither easy nor difficult"/>
    <s v="Good Work/Life Balance"/>
    <s v="Male"/>
    <n v="33"/>
    <s v="United States"/>
    <s v="Bachelors"/>
    <s v="White or Caucasian"/>
  </r>
  <r>
    <s v="62a367ed18134ddc75cee697"/>
    <s v="anonymous"/>
    <d v="2022-06-10T00:00:00"/>
    <d v="1899-12-30T11:49:00"/>
    <d v="1899-12-30T00:02:40"/>
    <m/>
    <m/>
    <m/>
    <m/>
    <m/>
    <s v="Data Analyst"/>
    <x v="1"/>
    <s v="66k-85k"/>
    <n v="76"/>
    <s v="Other"/>
    <s v="Other"/>
    <x v="7"/>
    <n v="4"/>
    <n v="10"/>
    <n v="9"/>
    <n v="7"/>
    <n v="10"/>
    <s v="Difficult"/>
    <s v="Better Salary"/>
    <s v="Male"/>
    <n v="23"/>
    <s v="United States"/>
    <s v="Bachelors"/>
    <s v="Hispanic or Latino"/>
  </r>
  <r>
    <s v="62a36802f8f7561645857e38"/>
    <s v="anonymous"/>
    <d v="2022-06-10T00:00:00"/>
    <d v="1899-12-30T11:49:00"/>
    <d v="1899-12-30T00:01:34"/>
    <m/>
    <m/>
    <m/>
    <m/>
    <m/>
    <s v="Data Analyst"/>
    <x v="0"/>
    <s v="66k-85k"/>
    <n v="76"/>
    <s v="Tech"/>
    <s v="Python"/>
    <x v="9"/>
    <n v="6"/>
    <n v="6"/>
    <n v="6"/>
    <n v="6"/>
    <n v="6"/>
    <s v="Difficult"/>
    <s v="Remote Work"/>
    <s v="Female"/>
    <n v="33"/>
    <s v="United Kingdom"/>
    <s v="Masters"/>
    <s v="Asian or Asian American"/>
  </r>
  <r>
    <s v="62a3684ebc6861bf31771f15"/>
    <s v="anonymous"/>
    <d v="2022-06-10T00:00:00"/>
    <d v="1899-12-30T11:50:00"/>
    <d v="1899-12-30T00:00:48"/>
    <m/>
    <m/>
    <m/>
    <m/>
    <m/>
    <s v="Data Analyst"/>
    <x v="1"/>
    <s v="106k-125k"/>
    <n v="116"/>
    <s v="Finance"/>
    <s v="Python"/>
    <x v="5"/>
    <n v="4"/>
    <n v="4"/>
    <n v="4"/>
    <n v="4"/>
    <n v="4"/>
    <s v="Neither easy nor difficult"/>
    <s v="Better Salary"/>
    <s v="Male"/>
    <n v="25"/>
    <s v="United States"/>
    <s v="Bachelors"/>
    <s v="White or Caucasian"/>
  </r>
  <r>
    <s v="62a3688df8f7561645857f7e"/>
    <s v="anonymous"/>
    <d v="2022-06-10T00:00:00"/>
    <d v="1899-12-30T11:51:00"/>
    <d v="1899-12-30T00:00:57"/>
    <m/>
    <m/>
    <m/>
    <m/>
    <m/>
    <s v="Data Analyst"/>
    <x v="1"/>
    <s v="0-40k"/>
    <n v="20"/>
    <s v="Other"/>
    <s v="Python"/>
    <x v="8"/>
    <n v="5"/>
    <n v="5"/>
    <n v="5"/>
    <n v="5"/>
    <n v="5"/>
    <s v="Neither easy nor difficult"/>
    <s v="Remote Work"/>
    <s v="Female"/>
    <n v="27"/>
    <s v="Other"/>
    <s v="Masters"/>
    <s v="White or Caucasian"/>
  </r>
  <r>
    <s v="62a368ee2e54c9003e537e4a"/>
    <s v="anonymous"/>
    <d v="2022-06-10T00:00:00"/>
    <d v="1899-12-30T11:53:00"/>
    <d v="1899-12-30T00:01:45"/>
    <m/>
    <m/>
    <m/>
    <m/>
    <m/>
    <s v="Data Analyst"/>
    <x v="0"/>
    <s v="0-40k"/>
    <n v="20"/>
    <s v="Finance"/>
    <s v="C/C++"/>
    <x v="8"/>
    <n v="10"/>
    <n v="10"/>
    <n v="8"/>
    <n v="10"/>
    <n v="10"/>
    <s v="Very Easy"/>
    <s v="Good Work/Life Balance"/>
    <s v="Male"/>
    <n v="30"/>
    <s v="United Kingdom"/>
    <s v="Bachelors"/>
    <s v="White or Caucasian"/>
  </r>
  <r>
    <s v="62a369280a77c1a77f661ad0"/>
    <s v="anonymous"/>
    <d v="2022-06-10T00:00:00"/>
    <d v="1899-12-30T11:54:00"/>
    <d v="1899-12-30T00:02:41"/>
    <m/>
    <m/>
    <m/>
    <m/>
    <m/>
    <s v="Data Analyst"/>
    <x v="0"/>
    <s v="0-40k"/>
    <n v="20"/>
    <s v="Tech"/>
    <s v="Python"/>
    <x v="2"/>
    <n v="3"/>
    <m/>
    <m/>
    <m/>
    <n v="6"/>
    <s v="Neither easy nor difficult"/>
    <s v="Remote Work"/>
    <s v="Male"/>
    <n v="29"/>
    <s v="Other"/>
    <s v="Bachelors"/>
    <s v="Black or African American"/>
  </r>
  <r>
    <s v="62a36969f8f756164585821d"/>
    <s v="anonymous"/>
    <d v="2022-06-10T00:00:00"/>
    <d v="1899-12-30T11:55:00"/>
    <d v="1899-12-30T00:03:43"/>
    <m/>
    <m/>
    <m/>
    <m/>
    <m/>
    <s v="Other"/>
    <x v="0"/>
    <s v="0-40k"/>
    <n v="20"/>
    <s v="Healthcare"/>
    <s v="Python"/>
    <x v="3"/>
    <n v="2"/>
    <n v="8"/>
    <n v="5"/>
    <n v="0"/>
    <n v="6"/>
    <s v="Easy"/>
    <s v="Better Salary"/>
    <s v="Male"/>
    <n v="25"/>
    <s v="India"/>
    <s v="Masters"/>
    <s v="Other"/>
  </r>
  <r>
    <s v="62a3697ff408bae018ed948b"/>
    <s v="anonymous"/>
    <d v="2022-06-10T00:00:00"/>
    <d v="1899-12-30T11:55:00"/>
    <d v="1899-12-30T00:01:28"/>
    <m/>
    <m/>
    <m/>
    <m/>
    <m/>
    <s v="Data Analyst"/>
    <x v="1"/>
    <s v="86k-105k"/>
    <n v="96"/>
    <s v="Telecommunication"/>
    <s v="Other"/>
    <x v="7"/>
    <n v="7"/>
    <n v="5"/>
    <n v="7"/>
    <n v="7"/>
    <n v="7"/>
    <s v="Easy"/>
    <s v="Remote Work"/>
    <s v="Male"/>
    <n v="40"/>
    <s v="United States"/>
    <s v="High School"/>
    <s v="Hispanic or Latino"/>
  </r>
  <r>
    <s v="62a36ac6cf255543173063d8"/>
    <s v="anonymous"/>
    <d v="2022-06-10T00:00:00"/>
    <d v="1899-12-30T12:01:00"/>
    <d v="1899-12-30T00:02:59"/>
    <m/>
    <m/>
    <m/>
    <m/>
    <m/>
    <s v="Data Analyst"/>
    <x v="1"/>
    <s v="41k-65k"/>
    <n v="53"/>
    <s v="Other"/>
    <s v="Other"/>
    <x v="9"/>
    <n v="10"/>
    <n v="8"/>
    <n v="8"/>
    <n v="4"/>
    <n v="4"/>
    <s v="Neither easy nor difficult"/>
    <s v="Better Salary"/>
    <s v="Female"/>
    <n v="29"/>
    <s v="Canada"/>
    <s v="Bachelors"/>
    <s v="Other"/>
  </r>
  <r>
    <s v="62a36ad1f408bae018ed9793"/>
    <s v="anonymous"/>
    <d v="2022-06-10T00:00:00"/>
    <d v="1899-12-30T12:01:00"/>
    <d v="1899-12-30T00:04:44"/>
    <m/>
    <m/>
    <m/>
    <m/>
    <m/>
    <s v="Data Analyst"/>
    <x v="1"/>
    <s v="41k-65k"/>
    <n v="53"/>
    <s v="Other"/>
    <s v="Python"/>
    <x v="2"/>
    <n v="3"/>
    <n v="3"/>
    <n v="3"/>
    <n v="3"/>
    <m/>
    <s v="Difficult"/>
    <s v="Remote Work"/>
    <s v="Male"/>
    <n v="29"/>
    <s v="India"/>
    <s v="Masters"/>
    <s v="Asian or Asian American"/>
  </r>
  <r>
    <s v="62a36b6c24a26260273882a2"/>
    <s v="anonymous"/>
    <d v="2022-06-10T00:00:00"/>
    <d v="1899-12-30T12:03:00"/>
    <d v="1899-12-30T00:01:40"/>
    <m/>
    <m/>
    <m/>
    <m/>
    <m/>
    <s v="Data Analyst"/>
    <x v="0"/>
    <s v="0-40k"/>
    <n v="20"/>
    <s v="Education"/>
    <s v="Python"/>
    <x v="1"/>
    <n v="2"/>
    <n v="2"/>
    <n v="3"/>
    <n v="3"/>
    <n v="4"/>
    <s v="Neither easy nor difficult"/>
    <s v="Better Salary"/>
    <s v="Male"/>
    <n v="28"/>
    <s v="Other"/>
    <s v="Masters"/>
    <s v="Black or African American"/>
  </r>
  <r>
    <s v="62a36b862e54c9003e5383c6"/>
    <s v="anonymous"/>
    <d v="2022-06-10T00:00:00"/>
    <d v="1899-12-30T12:04:00"/>
    <d v="1899-12-30T00:02:21"/>
    <m/>
    <m/>
    <m/>
    <m/>
    <m/>
    <s v="Other"/>
    <x v="1"/>
    <s v="86k-105k"/>
    <n v="96"/>
    <s v="Other"/>
    <s v="Other"/>
    <x v="8"/>
    <n v="2"/>
    <n v="0"/>
    <n v="2"/>
    <n v="0"/>
    <n v="0"/>
    <s v="Neither easy nor difficult"/>
    <s v="Good Work/Life Balance"/>
    <s v="Male"/>
    <n v="34"/>
    <s v="United Kingdom"/>
    <s v="Bachelors"/>
    <s v="White or Caucasian"/>
  </r>
  <r>
    <s v="62a36d12f8d5efcc22f82cd8"/>
    <s v="anonymous"/>
    <d v="2022-06-10T00:00:00"/>
    <d v="1899-12-30T12:10:00"/>
    <d v="1899-12-30T00:02:58"/>
    <m/>
    <m/>
    <m/>
    <m/>
    <m/>
    <s v="Student"/>
    <x v="1"/>
    <s v="0-40k"/>
    <n v="20"/>
    <s v="Tech"/>
    <s v="Python"/>
    <x v="2"/>
    <n v="4"/>
    <n v="7"/>
    <n v="6"/>
    <n v="7"/>
    <n v="8"/>
    <s v="Easy"/>
    <s v="Other"/>
    <s v="Male"/>
    <n v="24"/>
    <s v="Other"/>
    <s v="Masters"/>
    <s v="White or Caucasian"/>
  </r>
  <r>
    <s v="62a36d3124a262602738862c"/>
    <s v="anonymous"/>
    <d v="2022-06-10T00:00:00"/>
    <d v="1899-12-30T12:11:00"/>
    <d v="1899-12-30T00:02:23"/>
    <m/>
    <m/>
    <m/>
    <m/>
    <m/>
    <s v="Data Analyst"/>
    <x v="0"/>
    <s v="0-40k"/>
    <n v="20"/>
    <s v="Telecommunication"/>
    <s v="Python"/>
    <x v="8"/>
    <n v="8"/>
    <n v="8"/>
    <n v="9"/>
    <n v="7"/>
    <n v="9"/>
    <s v="Very Easy"/>
    <s v="Better Salary"/>
    <s v="Male"/>
    <n v="26"/>
    <s v="Other"/>
    <s v="Bachelors"/>
    <s v="Other"/>
  </r>
  <r>
    <s v="62a36e470a77c1a77f662470"/>
    <s v="anonymous"/>
    <d v="2022-06-10T00:00:00"/>
    <d v="1899-12-30T12:16:00"/>
    <d v="1899-12-30T00:01:21"/>
    <m/>
    <m/>
    <m/>
    <m/>
    <m/>
    <s v="Data Analyst"/>
    <x v="1"/>
    <s v="125k-150k"/>
    <n v="138"/>
    <s v="Tech"/>
    <s v="Python"/>
    <x v="3"/>
    <n v="5"/>
    <n v="10"/>
    <n v="10"/>
    <n v="6"/>
    <n v="10"/>
    <s v="Difficult"/>
    <s v="Good Work/Life Balance"/>
    <s v="Male"/>
    <n v="28"/>
    <s v="United States"/>
    <s v="Bachelors"/>
    <s v="Hispanic or Latino"/>
  </r>
  <r>
    <s v="62a36e7024a262602738890a"/>
    <s v="anonymous"/>
    <d v="2022-06-10T00:00:00"/>
    <d v="1899-12-30T12:16:00"/>
    <d v="1899-12-30T00:00:59"/>
    <m/>
    <m/>
    <m/>
    <m/>
    <m/>
    <s v="Student"/>
    <x v="1"/>
    <s v="0-40k"/>
    <n v="20"/>
    <s v="Education"/>
    <s v="R"/>
    <x v="8"/>
    <n v="4"/>
    <n v="4"/>
    <n v="4"/>
    <n v="5"/>
    <n v="5"/>
    <s v="Difficult"/>
    <s v="Good Work/Life Balance"/>
    <s v="Male"/>
    <n v="25"/>
    <s v="Other"/>
    <s v="Masters"/>
    <s v="White or Caucasian"/>
  </r>
  <r>
    <s v="62a36fe67dc029e2d66c5303"/>
    <s v="anonymous"/>
    <d v="2022-06-10T00:00:00"/>
    <d v="1899-12-30T12:23:00"/>
    <d v="1899-12-30T00:02:52"/>
    <m/>
    <m/>
    <m/>
    <m/>
    <m/>
    <s v="Data Analyst"/>
    <x v="0"/>
    <s v="0-40k"/>
    <n v="20"/>
    <s v="Tech"/>
    <s v="Python"/>
    <x v="1"/>
    <n v="4"/>
    <n v="9"/>
    <n v="7"/>
    <n v="8"/>
    <n v="10"/>
    <s v="Easy"/>
    <s v="Better Salary"/>
    <s v="Male"/>
    <n v="33"/>
    <s v="Other"/>
    <s v="Bachelors"/>
    <s v="Hispanic or Latino"/>
  </r>
  <r>
    <s v="62a3701f575fa3a5ae89164e"/>
    <s v="anonymous"/>
    <d v="2022-06-10T00:00:00"/>
    <d v="1899-12-30T12:23:00"/>
    <d v="1899-12-30T00:01:01"/>
    <m/>
    <m/>
    <m/>
    <m/>
    <m/>
    <s v="Data Analyst"/>
    <x v="0"/>
    <s v="66k-85k"/>
    <n v="76"/>
    <s v="Finance"/>
    <s v="Python"/>
    <x v="5"/>
    <n v="4"/>
    <n v="6"/>
    <n v="3"/>
    <n v="4"/>
    <n v="0"/>
    <s v="Neither easy nor difficult"/>
    <s v="Remote Work"/>
    <s v="Male"/>
    <n v="30"/>
    <s v="Other"/>
    <s v="Masters"/>
    <s v="White or Caucasian"/>
  </r>
  <r>
    <s v="62a370635d257a28a30de5eb"/>
    <s v="anonymous"/>
    <d v="2022-06-10T00:00:00"/>
    <d v="1899-12-30T12:25:00"/>
    <d v="1899-12-30T00:02:51"/>
    <m/>
    <m/>
    <m/>
    <m/>
    <m/>
    <s v="Data Analyst"/>
    <x v="0"/>
    <s v="0-40k"/>
    <n v="20"/>
    <s v="Finance"/>
    <s v="Python"/>
    <x v="1"/>
    <n v="1"/>
    <n v="1"/>
    <n v="1"/>
    <n v="1"/>
    <n v="1"/>
    <s v="Very Difficult"/>
    <s v="Better Salary"/>
    <s v="Male"/>
    <n v="35"/>
    <s v="India"/>
    <s v="Bachelors"/>
    <s v="Other"/>
  </r>
  <r>
    <s v="62a37128d8c00e9f541a39dd"/>
    <s v="anonymous"/>
    <d v="2022-06-10T00:00:00"/>
    <d v="1899-12-30T12:28:00"/>
    <d v="1899-12-30T00:01:57"/>
    <m/>
    <m/>
    <m/>
    <m/>
    <m/>
    <s v="Data Analyst"/>
    <x v="1"/>
    <s v="0-40k"/>
    <n v="20"/>
    <s v="Other"/>
    <s v="Other"/>
    <x v="8"/>
    <n v="2"/>
    <n v="5"/>
    <n v="5"/>
    <n v="3"/>
    <n v="4"/>
    <s v="Difficult"/>
    <s v="Better Salary"/>
    <s v="Male"/>
    <n v="25"/>
    <s v="Other"/>
    <s v="Bachelors"/>
    <s v="White or Caucasian"/>
  </r>
  <r>
    <s v="62a3715124a2626027388f02"/>
    <s v="anonymous"/>
    <d v="2022-06-10T00:00:00"/>
    <d v="1899-12-30T12:29:00"/>
    <d v="1899-12-30T00:01:21"/>
    <m/>
    <m/>
    <m/>
    <m/>
    <m/>
    <s v="Data Analyst"/>
    <x v="1"/>
    <s v="0-40k"/>
    <n v="20"/>
    <s v="Real Estate"/>
    <s v="Python"/>
    <x v="5"/>
    <n v="7"/>
    <n v="9"/>
    <n v="5"/>
    <n v="2"/>
    <n v="8"/>
    <s v="Easy"/>
    <s v="Better Salary"/>
    <s v="Male"/>
    <n v="23"/>
    <s v="Other"/>
    <s v="Bachelors"/>
    <s v="White or Caucasian"/>
  </r>
  <r>
    <s v="62a37222cf2555431730732d"/>
    <s v="anonymous"/>
    <d v="2022-06-10T00:00:00"/>
    <d v="1899-12-30T12:32:00"/>
    <d v="1899-12-30T00:02:10"/>
    <m/>
    <m/>
    <m/>
    <m/>
    <m/>
    <s v="Data Engineer"/>
    <x v="1"/>
    <s v="0-40k"/>
    <n v="20"/>
    <s v="Healthcare"/>
    <s v="Python"/>
    <x v="9"/>
    <n v="6"/>
    <n v="6"/>
    <n v="5"/>
    <n v="4"/>
    <n v="7"/>
    <s v="Neither easy nor difficult"/>
    <s v="Good Work/Life Balance"/>
    <s v="Male"/>
    <n v="24"/>
    <s v="Other"/>
    <s v="Bachelors"/>
    <s v="Hispanic or Latino"/>
  </r>
  <r>
    <s v="62a373efbc6861bf3177360b"/>
    <s v="anonymous"/>
    <d v="2022-06-10T00:00:00"/>
    <d v="1899-12-30T12:40:00"/>
    <d v="1899-12-30T00:02:40"/>
    <m/>
    <m/>
    <m/>
    <m/>
    <m/>
    <s v="Data Analyst"/>
    <x v="0"/>
    <s v="150k-225k"/>
    <n v="188"/>
    <s v="Education"/>
    <s v="Other"/>
    <x v="10"/>
    <n v="9"/>
    <n v="9"/>
    <n v="7"/>
    <n v="6"/>
    <n v="6"/>
    <s v="Neither easy nor difficult"/>
    <s v="Better Salary"/>
    <s v="Male"/>
    <n v="27"/>
    <s v="United States"/>
    <s v="Masters"/>
    <s v="Black or African American"/>
  </r>
  <r>
    <s v="62a3759e5d257a28a30def3a"/>
    <s v="anonymous"/>
    <d v="2022-06-10T00:00:00"/>
    <d v="1899-12-30T12:47:00"/>
    <d v="1899-12-30T00:01:24"/>
    <m/>
    <m/>
    <m/>
    <m/>
    <m/>
    <s v="Data Analyst"/>
    <x v="0"/>
    <s v="66k-85k"/>
    <n v="76"/>
    <s v="Other"/>
    <s v="Python"/>
    <x v="5"/>
    <n v="10"/>
    <n v="10"/>
    <n v="8"/>
    <n v="5"/>
    <n v="6"/>
    <s v="Neither easy nor difficult"/>
    <s v="Remote Work"/>
    <s v="Male"/>
    <n v="32"/>
    <s v="United States"/>
    <s v="Bachelors"/>
    <s v="Asian or Asian American"/>
  </r>
  <r>
    <s v="62a3777624a262602738997e"/>
    <s v="anonymous"/>
    <d v="2022-06-10T00:00:00"/>
    <d v="1899-12-30T12:55:00"/>
    <d v="1899-12-30T00:01:55"/>
    <m/>
    <m/>
    <m/>
    <m/>
    <m/>
    <s v="Data Analyst"/>
    <x v="0"/>
    <s v="41k-65k"/>
    <n v="53"/>
    <s v="Tech"/>
    <s v="Python"/>
    <x v="6"/>
    <n v="5"/>
    <n v="4"/>
    <n v="4"/>
    <n v="4"/>
    <n v="4"/>
    <s v="Neither easy nor difficult"/>
    <s v="Good Work/Life Balance"/>
    <s v="Male"/>
    <n v="50"/>
    <s v="Canada"/>
    <s v="Bachelors"/>
    <s v="White or Caucasian"/>
  </r>
  <r>
    <s v="62a377987dc029e2d66c638d"/>
    <s v="anonymous"/>
    <d v="2022-06-10T00:00:00"/>
    <d v="1899-12-30T12:55:00"/>
    <d v="1899-12-30T00:01:25"/>
    <m/>
    <m/>
    <m/>
    <m/>
    <m/>
    <s v="Data Architect"/>
    <x v="0"/>
    <s v="66k-85k"/>
    <n v="76"/>
    <s v="Other"/>
    <s v="Python"/>
    <x v="7"/>
    <n v="7"/>
    <n v="8"/>
    <n v="9"/>
    <n v="10"/>
    <n v="10"/>
    <s v="Neither easy nor difficult"/>
    <s v="Remote Work"/>
    <s v="Male"/>
    <n v="29"/>
    <s v="United States"/>
    <s v="High School"/>
    <s v="White or Caucasian"/>
  </r>
  <r>
    <s v="62a377f424a2626027389af3"/>
    <s v="anonymous"/>
    <d v="2022-06-10T00:00:00"/>
    <d v="1899-12-30T12:57:00"/>
    <d v="1899-12-30T00:03:54"/>
    <m/>
    <m/>
    <m/>
    <m/>
    <m/>
    <s v="Data Analyst"/>
    <x v="0"/>
    <s v="0-40k"/>
    <n v="20"/>
    <s v="Telecommunication"/>
    <s v="R"/>
    <x v="4"/>
    <n v="8"/>
    <n v="7"/>
    <n v="6"/>
    <n v="5"/>
    <n v="6"/>
    <s v="Neither easy nor difficult"/>
    <s v="Good Work/Life Balance"/>
    <s v="Male"/>
    <n v="41"/>
    <s v="Other"/>
    <s v="Bachelors"/>
    <s v="Hispanic or Latino"/>
  </r>
  <r>
    <s v="62a3784c0f8c8599d5af8fbc"/>
    <s v="anonymous"/>
    <d v="2022-06-10T00:00:00"/>
    <d v="1899-12-30T12:58:00"/>
    <d v="1899-12-30T00:01:54"/>
    <m/>
    <m/>
    <m/>
    <m/>
    <m/>
    <s v="Other"/>
    <x v="1"/>
    <s v="0-40k"/>
    <n v="20"/>
    <s v="Other"/>
    <s v="R"/>
    <x v="1"/>
    <n v="7"/>
    <n v="7"/>
    <n v="1"/>
    <n v="4"/>
    <n v="10"/>
    <s v="Neither easy nor difficult"/>
    <s v="Better Salary"/>
    <s v="Male"/>
    <n v="23"/>
    <s v="United States"/>
    <s v="Associates"/>
    <s v="White or Caucasian"/>
  </r>
  <r>
    <s v="62a37a43d8c00e9f541a4a7c"/>
    <s v="anonymous"/>
    <d v="2022-06-10T00:00:00"/>
    <d v="1899-12-30T13:07:00"/>
    <d v="1899-12-30T00:03:34"/>
    <m/>
    <m/>
    <m/>
    <m/>
    <m/>
    <s v="Data Analyst"/>
    <x v="0"/>
    <s v="0-40k"/>
    <n v="20"/>
    <s v="Finance"/>
    <s v="Python"/>
    <x v="5"/>
    <n v="7"/>
    <n v="8"/>
    <n v="7"/>
    <n v="8"/>
    <n v="8"/>
    <s v="Difficult"/>
    <s v="Better Salary"/>
    <s v="Male"/>
    <n v="31"/>
    <s v="Other"/>
    <s v="Bachelors"/>
    <s v="Black or African American"/>
  </r>
  <r>
    <s v="62a37a7818134ddc75cf0d4c"/>
    <s v="anonymous"/>
    <d v="2022-06-10T00:00:00"/>
    <d v="1899-12-30T13:08:00"/>
    <d v="1899-12-30T00:01:27"/>
    <m/>
    <m/>
    <m/>
    <m/>
    <m/>
    <s v="Data Analyst"/>
    <x v="1"/>
    <s v="0-40k"/>
    <n v="20"/>
    <s v="Healthcare"/>
    <s v="Python"/>
    <x v="2"/>
    <n v="10"/>
    <n v="10"/>
    <n v="10"/>
    <n v="10"/>
    <n v="10"/>
    <s v="Difficult"/>
    <s v="Better Salary"/>
    <s v="Male"/>
    <n v="22"/>
    <s v="Other"/>
    <s v="Bachelors"/>
    <s v="Native Hawaiian or other Pacific Islander"/>
  </r>
  <r>
    <s v="62a37aa1cf255543173081e5"/>
    <s v="anonymous"/>
    <d v="2022-06-10T00:00:00"/>
    <d v="1899-12-30T13:08:00"/>
    <d v="1899-12-30T00:01:51"/>
    <m/>
    <m/>
    <m/>
    <m/>
    <m/>
    <s v="Data Analyst"/>
    <x v="1"/>
    <s v="66k-85k"/>
    <n v="76"/>
    <s v="Finance"/>
    <s v="Python"/>
    <x v="6"/>
    <n v="5"/>
    <n v="5"/>
    <n v="5"/>
    <n v="3"/>
    <n v="3"/>
    <s v="Very Difficult"/>
    <s v="Better Salary"/>
    <s v="Male"/>
    <n v="29"/>
    <s v="United States"/>
    <s v="Masters"/>
    <s v="Hispanic or Latino"/>
  </r>
  <r>
    <s v="62a37ad924a2626027389f8a"/>
    <s v="anonymous"/>
    <d v="2022-06-10T00:00:00"/>
    <d v="1899-12-30T13:09:00"/>
    <d v="1899-12-30T00:02:04"/>
    <m/>
    <m/>
    <m/>
    <m/>
    <m/>
    <s v="Data Scientist"/>
    <x v="0"/>
    <s v="0-40k"/>
    <n v="20"/>
    <s v="Tech"/>
    <s v="Python"/>
    <x v="5"/>
    <n v="4"/>
    <n v="4"/>
    <n v="0"/>
    <n v="0"/>
    <n v="6"/>
    <s v="Difficult"/>
    <s v="Good Culture"/>
    <s v="Male"/>
    <n v="23"/>
    <s v="Other"/>
    <s v="Bachelors"/>
    <s v="Other"/>
  </r>
  <r>
    <s v="62a37b7db4da29969c636123"/>
    <s v="anonymous"/>
    <d v="2022-06-10T00:00:00"/>
    <d v="1899-12-30T13:12:00"/>
    <d v="1899-12-30T00:01:25"/>
    <m/>
    <m/>
    <m/>
    <m/>
    <m/>
    <s v="Student"/>
    <x v="1"/>
    <s v="0-40k"/>
    <n v="20"/>
    <s v="Other"/>
    <s v="Other"/>
    <x v="2"/>
    <n v="0"/>
    <n v="1"/>
    <n v="1"/>
    <n v="0"/>
    <n v="1"/>
    <s v="Neither easy nor difficult"/>
    <s v="Remote Work"/>
    <s v="Female"/>
    <n v="24"/>
    <s v="United States"/>
    <s v="High School"/>
    <s v="Hispanic or Latino"/>
  </r>
  <r>
    <s v="62a37bab2e54c9003e53a10a"/>
    <s v="anonymous"/>
    <d v="2022-06-10T00:00:00"/>
    <d v="1899-12-30T13:13:00"/>
    <d v="1899-12-30T00:02:09"/>
    <m/>
    <m/>
    <m/>
    <m/>
    <m/>
    <s v="Data Analyst"/>
    <x v="0"/>
    <s v="66k-85k"/>
    <n v="76"/>
    <s v="Other"/>
    <s v="Python"/>
    <x v="8"/>
    <n v="9"/>
    <n v="10"/>
    <n v="10"/>
    <n v="5"/>
    <n v="10"/>
    <s v="Neither easy nor difficult"/>
    <s v="Better Salary"/>
    <s v="Male"/>
    <n v="26"/>
    <s v="United States"/>
    <s v="Bachelors"/>
    <s v="Black or African American"/>
  </r>
  <r>
    <s v="62a37c50cec54911e9cacee2"/>
    <s v="anonymous"/>
    <d v="2022-06-10T00:00:00"/>
    <d v="1899-12-30T13:16:00"/>
    <d v="1899-12-30T00:01:30"/>
    <m/>
    <m/>
    <m/>
    <m/>
    <m/>
    <s v="Student"/>
    <x v="0"/>
    <s v="0-40k"/>
    <n v="20"/>
    <s v="Finance"/>
    <s v="Python"/>
    <x v="5"/>
    <n v="3"/>
    <n v="5"/>
    <n v="2"/>
    <n v="2"/>
    <n v="3"/>
    <s v="Difficult"/>
    <s v="Good Culture"/>
    <s v="Male"/>
    <n v="31"/>
    <s v="India"/>
    <s v="Bachelors"/>
    <s v="Asian or Asian American"/>
  </r>
  <r>
    <s v="62a37d41bae91e4b8b8369f7"/>
    <s v="anonymous"/>
    <d v="2022-06-10T00:00:00"/>
    <d v="1899-12-30T13:20:00"/>
    <d v="1899-12-30T00:01:31"/>
    <m/>
    <m/>
    <m/>
    <m/>
    <m/>
    <s v="Data Analyst"/>
    <x v="0"/>
    <s v="0-40k"/>
    <n v="20"/>
    <s v="Other"/>
    <s v="Python"/>
    <x v="1"/>
    <n v="1"/>
    <n v="1"/>
    <n v="1"/>
    <n v="7"/>
    <n v="9"/>
    <s v="Neither easy nor difficult"/>
    <s v="Remote Work"/>
    <s v="Male"/>
    <n v="22"/>
    <s v="Other"/>
    <s v="Bachelors"/>
    <s v="Black or African American"/>
  </r>
  <r>
    <s v="62a37f8db4da29969c6367bf"/>
    <s v="anonymous"/>
    <d v="2022-06-10T00:00:00"/>
    <d v="1899-12-30T13:29:00"/>
    <d v="1899-12-30T00:02:32"/>
    <m/>
    <m/>
    <m/>
    <m/>
    <m/>
    <s v="Data Analyst"/>
    <x v="0"/>
    <s v="66k-85k"/>
    <n v="76"/>
    <s v="Other"/>
    <s v="Python"/>
    <x v="7"/>
    <n v="8"/>
    <n v="10"/>
    <n v="8"/>
    <n v="7"/>
    <n v="5"/>
    <s v="Neither easy nor difficult"/>
    <s v="Remote Work"/>
    <s v="Male"/>
    <n v="31"/>
    <s v="Other"/>
    <s v="Bachelors"/>
    <s v="White or Caucasian"/>
  </r>
  <r>
    <s v="62a37ff3bae91e4b8b836ed0"/>
    <s v="anonymous"/>
    <d v="2022-06-10T00:00:00"/>
    <d v="1899-12-30T13:31:00"/>
    <d v="1899-12-30T00:01:21"/>
    <m/>
    <m/>
    <m/>
    <m/>
    <m/>
    <s v="Student"/>
    <x v="0"/>
    <s v="0-40k"/>
    <n v="20"/>
    <s v="Tech"/>
    <s v="Python"/>
    <x v="2"/>
    <n v="4"/>
    <n v="0"/>
    <n v="0"/>
    <n v="4"/>
    <n v="5"/>
    <s v="Neither easy nor difficult"/>
    <s v="Better Salary"/>
    <s v="Male"/>
    <n v="27"/>
    <s v="United States"/>
    <s v="Masters"/>
    <s v="Asian or Asian American"/>
  </r>
  <r>
    <s v="62a38023575fa3a5ae89339e"/>
    <s v="anonymous"/>
    <d v="2022-06-10T00:00:00"/>
    <d v="1899-12-30T13:32:00"/>
    <d v="1899-12-30T00:01:32"/>
    <m/>
    <m/>
    <m/>
    <m/>
    <m/>
    <s v="Student"/>
    <x v="1"/>
    <s v="0-40k"/>
    <n v="20"/>
    <s v="Other"/>
    <s v="Python"/>
    <x v="1"/>
    <n v="1"/>
    <n v="2"/>
    <n v="1"/>
    <n v="1"/>
    <n v="1"/>
    <s v="Difficult"/>
    <s v="Better Salary"/>
    <s v="Female"/>
    <n v="25"/>
    <s v="United States"/>
    <s v="Bachelors"/>
    <s v="Asian or Asian American"/>
  </r>
  <r>
    <s v="62a38153cec54911e9cad855"/>
    <s v="anonymous"/>
    <d v="2022-06-10T00:00:00"/>
    <d v="1899-12-30T13:37:00"/>
    <d v="1899-12-30T00:24:18"/>
    <m/>
    <m/>
    <m/>
    <m/>
    <m/>
    <s v="Data Analyst"/>
    <x v="0"/>
    <s v="0-40k"/>
    <n v="20"/>
    <s v="Healthcare"/>
    <s v="Python"/>
    <x v="5"/>
    <n v="10"/>
    <n v="10"/>
    <n v="8"/>
    <n v="8"/>
    <n v="10"/>
    <s v="Easy"/>
    <s v="Good Work/Life Balance"/>
    <s v="Male"/>
    <n v="30"/>
    <s v="Other"/>
    <s v="Masters"/>
    <s v="Hispanic or Latino"/>
  </r>
  <r>
    <s v="62a381d024a262602738ab19"/>
    <s v="anonymous"/>
    <d v="2022-06-10T00:00:00"/>
    <d v="1899-12-30T13:39:00"/>
    <d v="1899-12-30T00:01:44"/>
    <m/>
    <m/>
    <m/>
    <m/>
    <m/>
    <s v="Data Analyst"/>
    <x v="0"/>
    <s v="41k-65k"/>
    <n v="53"/>
    <s v="Healthcare"/>
    <s v="R"/>
    <x v="2"/>
    <n v="6"/>
    <n v="5"/>
    <n v="6"/>
    <n v="0"/>
    <n v="2"/>
    <s v="Easy"/>
    <s v="Other"/>
    <s v="Male"/>
    <n v="28"/>
    <s v="United States"/>
    <s v="Masters"/>
    <s v="Hispanic or Latino"/>
  </r>
  <r>
    <s v="62a38227bae91e4b8b837235"/>
    <s v="anonymous"/>
    <d v="2022-06-10T00:00:00"/>
    <d v="1899-12-30T13:40:00"/>
    <d v="1899-12-30T00:01:37"/>
    <m/>
    <m/>
    <m/>
    <m/>
    <m/>
    <s v="Data Analyst"/>
    <x v="1"/>
    <s v="125k-150k"/>
    <n v="138"/>
    <s v="Finance"/>
    <s v="Python"/>
    <x v="9"/>
    <n v="6"/>
    <n v="5"/>
    <n v="4"/>
    <n v="2"/>
    <n v="4"/>
    <s v="Easy"/>
    <s v="Remote Work"/>
    <s v="Male"/>
    <n v="26"/>
    <s v="United States"/>
    <s v="Bachelors"/>
    <s v="White or Caucasian"/>
  </r>
  <r>
    <s v="62a38489cf25554317309145"/>
    <s v="anonymous"/>
    <d v="2022-06-10T00:00:00"/>
    <d v="1899-12-30T13:51:00"/>
    <d v="1899-12-30T00:01:40"/>
    <m/>
    <m/>
    <m/>
    <m/>
    <m/>
    <s v="Data Scientist"/>
    <x v="0"/>
    <s v="125k-150k"/>
    <n v="138"/>
    <s v="Other"/>
    <s v="Python"/>
    <x v="9"/>
    <n v="7"/>
    <n v="7"/>
    <n v="10"/>
    <n v="6"/>
    <n v="7"/>
    <s v="Neither easy nor difficult"/>
    <s v="Remote Work"/>
    <s v="Female"/>
    <n v="32"/>
    <s v="United States"/>
    <s v="Masters"/>
    <s v="White or Caucasian"/>
  </r>
  <r>
    <s v="62a384f0cec54911e9cadd6f"/>
    <s v="anonymous"/>
    <d v="2022-06-10T00:00:00"/>
    <d v="1899-12-30T13:52:00"/>
    <d v="1899-12-30T00:02:41"/>
    <m/>
    <m/>
    <m/>
    <m/>
    <m/>
    <s v="Data Analyst"/>
    <x v="0"/>
    <s v="0-40k"/>
    <n v="20"/>
    <s v="Other"/>
    <s v="Other"/>
    <x v="6"/>
    <n v="5"/>
    <n v="6"/>
    <n v="4"/>
    <n v="6"/>
    <n v="6"/>
    <s v="Neither easy nor difficult"/>
    <s v="Better Salary"/>
    <s v="Female"/>
    <n v="40"/>
    <s v="Other"/>
    <s v="PhD"/>
    <s v="White or Caucasian"/>
  </r>
  <r>
    <s v="62a385480f8c8599d5afa5c6"/>
    <s v="anonymous"/>
    <d v="2022-06-10T00:00:00"/>
    <d v="1899-12-30T13:54:00"/>
    <d v="1899-12-30T00:02:38"/>
    <m/>
    <m/>
    <m/>
    <m/>
    <m/>
    <s v="Data Engineer"/>
    <x v="0"/>
    <s v="0-40k"/>
    <n v="20"/>
    <s v="Other"/>
    <s v="Python"/>
    <x v="5"/>
    <n v="7"/>
    <n v="7"/>
    <n v="6"/>
    <n v="8"/>
    <n v="7"/>
    <s v="Neither easy nor difficult"/>
    <s v="Better Salary"/>
    <s v="Male"/>
    <n v="36"/>
    <s v="Other"/>
    <s v="Associates"/>
    <s v="Asian or Asian American"/>
  </r>
  <r>
    <s v="62a3856218134ddc75cf1ee0"/>
    <s v="anonymous"/>
    <d v="2022-06-10T00:00:00"/>
    <d v="1899-12-30T13:54:00"/>
    <d v="1899-12-30T00:01:29"/>
    <m/>
    <m/>
    <m/>
    <m/>
    <m/>
    <s v="Data Analyst"/>
    <x v="0"/>
    <s v="66k-85k"/>
    <n v="76"/>
    <s v="Finance"/>
    <s v="Python"/>
    <x v="9"/>
    <n v="10"/>
    <n v="9"/>
    <n v="9"/>
    <n v="9"/>
    <n v="10"/>
    <s v="Difficult"/>
    <s v="Better Salary"/>
    <s v="Male"/>
    <n v="35"/>
    <s v="United States"/>
    <s v="Bachelors"/>
    <s v="Hispanic or Latino"/>
  </r>
  <r>
    <s v="62a385c40f8c8599d5afa6cf"/>
    <s v="anonymous"/>
    <d v="2022-06-10T00:00:00"/>
    <d v="1899-12-30T13:56:00"/>
    <d v="1899-12-30T00:00:59"/>
    <m/>
    <m/>
    <m/>
    <m/>
    <m/>
    <s v="Data Analyst"/>
    <x v="0"/>
    <s v="66k-85k"/>
    <n v="76"/>
    <s v="Tech"/>
    <s v="Python"/>
    <x v="6"/>
    <n v="4"/>
    <n v="4"/>
    <n v="4"/>
    <n v="5"/>
    <n v="5"/>
    <s v="Very Difficult"/>
    <s v="Good Work/Life Balance"/>
    <s v="Male"/>
    <n v="29"/>
    <s v="United States"/>
    <s v="Masters"/>
    <s v="Asian or Asian American"/>
  </r>
  <r>
    <s v="62a385ddbae91e4b8b837855"/>
    <s v="anonymous"/>
    <d v="2022-06-10T00:00:00"/>
    <d v="1899-12-30T13:56:00"/>
    <d v="1899-12-30T00:04:08"/>
    <m/>
    <m/>
    <m/>
    <m/>
    <m/>
    <s v="Data Analyst"/>
    <x v="1"/>
    <s v="41k-65k"/>
    <n v="53"/>
    <s v="Finance"/>
    <s v="Python"/>
    <x v="9"/>
    <n v="5"/>
    <n v="9"/>
    <n v="9"/>
    <n v="7"/>
    <n v="5"/>
    <s v="Neither easy nor difficult"/>
    <s v="Other"/>
    <s v="Female"/>
    <n v="25"/>
    <s v="Other"/>
    <s v="Masters"/>
    <s v="Hispanic or Latino"/>
  </r>
  <r>
    <s v="62a385e7b4da29969c6372ab"/>
    <s v="anonymous"/>
    <d v="2022-06-10T00:00:00"/>
    <d v="1899-12-30T13:56:00"/>
    <d v="1899-12-30T00:02:05"/>
    <m/>
    <m/>
    <m/>
    <m/>
    <m/>
    <s v="Database Developer"/>
    <x v="0"/>
    <s v="41k-65k"/>
    <n v="53"/>
    <s v="Other"/>
    <s v="Python"/>
    <x v="9"/>
    <n v="8"/>
    <n v="8"/>
    <n v="9"/>
    <n v="6"/>
    <n v="8"/>
    <s v="Difficult"/>
    <s v="Remote Work"/>
    <s v="Male"/>
    <n v="29"/>
    <s v="United States"/>
    <s v="Bachelors"/>
    <s v="White or Caucasian"/>
  </r>
  <r>
    <s v="62a386dfcec54911e9cae1d3"/>
    <s v="anonymous"/>
    <d v="2022-06-10T00:00:00"/>
    <d v="1899-12-30T14:01:00"/>
    <d v="1899-12-30T00:02:04"/>
    <m/>
    <m/>
    <m/>
    <m/>
    <m/>
    <s v="Data Analyst"/>
    <x v="1"/>
    <s v="86k-105k"/>
    <n v="96"/>
    <s v="Agriculture"/>
    <s v="Python"/>
    <x v="7"/>
    <n v="6"/>
    <n v="7"/>
    <n v="4"/>
    <n v="5"/>
    <n v="8"/>
    <s v="Difficult"/>
    <s v="Good Work/Life Balance"/>
    <s v="Male"/>
    <n v="26"/>
    <s v="United States"/>
    <s v="Bachelors"/>
    <s v="Black or African American"/>
  </r>
  <r>
    <s v="62a3870bbc6861bf31775841"/>
    <s v="anonymous"/>
    <d v="2022-06-10T00:00:00"/>
    <d v="1899-12-30T14:01:00"/>
    <d v="1899-12-30T00:02:02"/>
    <m/>
    <m/>
    <m/>
    <m/>
    <m/>
    <s v="Data Analyst"/>
    <x v="1"/>
    <s v="0-40k"/>
    <n v="20"/>
    <s v="Other"/>
    <s v="R"/>
    <x v="1"/>
    <n v="1"/>
    <n v="1"/>
    <n v="1"/>
    <n v="1"/>
    <n v="1"/>
    <s v="Neither easy nor difficult"/>
    <s v="Remote Work"/>
    <s v="Male"/>
    <n v="34"/>
    <s v="Other"/>
    <s v="Bachelors"/>
    <s v="Black or African American"/>
  </r>
  <r>
    <s v="62a38733f8d5efcc22f859fc"/>
    <s v="anonymous"/>
    <d v="2022-06-10T00:00:00"/>
    <d v="1899-12-30T14:02:00"/>
    <d v="1899-12-30T00:01:27"/>
    <m/>
    <m/>
    <m/>
    <m/>
    <m/>
    <s v="Data Analyst"/>
    <x v="0"/>
    <s v="0-40k"/>
    <n v="20"/>
    <s v="Finance"/>
    <s v="Python"/>
    <x v="8"/>
    <n v="2"/>
    <n v="5"/>
    <n v="4"/>
    <n v="3"/>
    <n v="5"/>
    <s v="Neither easy nor difficult"/>
    <s v="Good Work/Life Balance"/>
    <s v="Male"/>
    <n v="26"/>
    <s v="Other"/>
    <s v="Bachelors"/>
    <s v="White or Caucasian"/>
  </r>
  <r>
    <s v="62a387e6575fa3a5ae8940a1"/>
    <s v="anonymous"/>
    <d v="2022-06-10T00:00:00"/>
    <d v="1899-12-30T14:05:00"/>
    <d v="1899-12-30T00:02:11"/>
    <m/>
    <m/>
    <m/>
    <m/>
    <m/>
    <s v="Data Analyst"/>
    <x v="1"/>
    <s v="0-40k"/>
    <n v="20"/>
    <s v="Tech"/>
    <s v="Python"/>
    <x v="6"/>
    <n v="3"/>
    <n v="5"/>
    <n v="4"/>
    <n v="3"/>
    <n v="2"/>
    <s v="Difficult"/>
    <s v="Other"/>
    <s v="Female"/>
    <n v="22"/>
    <s v="India"/>
    <s v="Bachelors"/>
    <s v="Asian or Asian American"/>
  </r>
  <r>
    <s v="62a388d524a262602738b869"/>
    <s v="anonymous"/>
    <d v="2022-06-10T00:00:00"/>
    <d v="1899-12-30T14:09:00"/>
    <d v="1899-12-30T00:01:40"/>
    <m/>
    <m/>
    <m/>
    <m/>
    <m/>
    <s v="Student"/>
    <x v="0"/>
    <s v="0-40k"/>
    <n v="20"/>
    <s v="Construction"/>
    <s v="Python"/>
    <x v="2"/>
    <n v="2"/>
    <n v="0"/>
    <n v="1"/>
    <n v="1"/>
    <n v="2"/>
    <s v="Very Difficult"/>
    <s v="Remote Work"/>
    <s v="Female"/>
    <n v="24"/>
    <s v="Other"/>
    <s v="Bachelors"/>
    <s v="Black or African American"/>
  </r>
  <r>
    <s v="62a38975b4da29969c637830"/>
    <s v="anonymous"/>
    <d v="2022-06-10T00:00:00"/>
    <d v="1899-12-30T14:12:00"/>
    <d v="1899-12-30T00:03:09"/>
    <m/>
    <m/>
    <m/>
    <m/>
    <m/>
    <s v="Data Analyst"/>
    <x v="1"/>
    <s v="0-40k"/>
    <n v="20"/>
    <s v="Other"/>
    <s v="Python"/>
    <x v="6"/>
    <n v="6"/>
    <n v="6"/>
    <n v="6"/>
    <n v="4"/>
    <n v="3"/>
    <s v="Neither easy nor difficult"/>
    <s v="Better Salary"/>
    <s v="Male"/>
    <n v="26"/>
    <s v="Other"/>
    <s v="Bachelors"/>
    <s v="Hispanic or Latino"/>
  </r>
  <r>
    <s v="62a38985f8f756164585b89c"/>
    <s v="anonymous"/>
    <d v="2022-06-10T00:00:00"/>
    <d v="1899-12-30T14:12:00"/>
    <d v="1899-12-30T00:03:13"/>
    <m/>
    <m/>
    <m/>
    <m/>
    <m/>
    <s v="Data Architect"/>
    <x v="0"/>
    <s v="0-40k"/>
    <n v="20"/>
    <s v="Finance"/>
    <s v="Python"/>
    <x v="8"/>
    <n v="6"/>
    <n v="2"/>
    <n v="3"/>
    <n v="3"/>
    <n v="5"/>
    <s v="Very Difficult"/>
    <s v="Good Work/Life Balance"/>
    <s v="Female"/>
    <n v="34"/>
    <s v="Other"/>
    <s v="Masters"/>
    <s v="White or Caucasian"/>
  </r>
  <r>
    <s v="62a389b70f8c8599d5afad1a"/>
    <s v="anonymous"/>
    <d v="2022-06-10T00:00:00"/>
    <d v="1899-12-30T14:13:00"/>
    <d v="1899-12-30T00:02:27"/>
    <m/>
    <m/>
    <m/>
    <m/>
    <m/>
    <s v="Data Analyst"/>
    <x v="1"/>
    <s v="0-40k"/>
    <n v="20"/>
    <s v="Tech"/>
    <s v="Python"/>
    <x v="6"/>
    <n v="5"/>
    <n v="4"/>
    <n v="5"/>
    <n v="4"/>
    <n v="2"/>
    <s v="Neither easy nor difficult"/>
    <s v="Better Salary"/>
    <s v="Male"/>
    <n v="29"/>
    <s v="India"/>
    <s v="Bachelors"/>
    <s v="Asian or Asian American"/>
  </r>
  <r>
    <s v="62a389ed18134ddc75cf24f8"/>
    <s v="anonymous"/>
    <d v="2022-06-10T00:00:00"/>
    <d v="1899-12-30T14:14:00"/>
    <d v="1899-12-30T00:01:27"/>
    <m/>
    <m/>
    <m/>
    <m/>
    <m/>
    <s v="Data Scientist"/>
    <x v="1"/>
    <s v="0-40k"/>
    <n v="20"/>
    <s v="Tech"/>
    <s v="R"/>
    <x v="4"/>
    <n v="7"/>
    <n v="7"/>
    <n v="7"/>
    <n v="7"/>
    <n v="7"/>
    <s v="Easy"/>
    <s v="Better Salary"/>
    <s v="Male"/>
    <n v="21"/>
    <s v="Other"/>
    <s v="Bachelors"/>
    <s v="Black or African American"/>
  </r>
  <r>
    <s v="62a38a060a77c1a77f6654b7"/>
    <s v="anonymous"/>
    <d v="2022-06-10T00:00:00"/>
    <d v="1899-12-30T14:14:00"/>
    <d v="1899-12-30T00:02:47"/>
    <m/>
    <m/>
    <m/>
    <m/>
    <m/>
    <s v="Other"/>
    <x v="1"/>
    <s v="0-40k"/>
    <n v="20"/>
    <s v="Other"/>
    <s v="Python"/>
    <x v="4"/>
    <n v="4"/>
    <n v="5"/>
    <n v="3"/>
    <n v="1"/>
    <n v="1"/>
    <s v="Neither easy nor difficult"/>
    <s v="Good Work/Life Balance"/>
    <s v="Female"/>
    <n v="35"/>
    <s v="Other"/>
    <s v="Masters"/>
    <s v="White or Caucasian"/>
  </r>
  <r>
    <s v="62a38a4d575fa3a5ae8944df"/>
    <s v="anonymous"/>
    <d v="2022-06-10T00:00:00"/>
    <d v="1899-12-30T14:15:00"/>
    <d v="1899-12-30T00:01:43"/>
    <m/>
    <m/>
    <m/>
    <m/>
    <m/>
    <s v="Data Analyst"/>
    <x v="1"/>
    <s v="41k-65k"/>
    <n v="53"/>
    <s v="Education"/>
    <s v="Python"/>
    <x v="7"/>
    <n v="7"/>
    <n v="8"/>
    <n v="8"/>
    <n v="6"/>
    <n v="7"/>
    <s v="Neither easy nor difficult"/>
    <s v="Good Work/Life Balance"/>
    <s v="Male"/>
    <n v="26"/>
    <s v="United States"/>
    <s v="Bachelors"/>
    <s v="Black or African American"/>
  </r>
  <r>
    <s v="62a38a97cf25554317309af2"/>
    <s v="anonymous"/>
    <d v="2022-06-10T00:00:00"/>
    <d v="1899-12-30T14:16:00"/>
    <d v="1899-12-30T00:01:42"/>
    <m/>
    <m/>
    <m/>
    <m/>
    <m/>
    <s v="Data Analyst"/>
    <x v="0"/>
    <s v="41k-65k"/>
    <n v="53"/>
    <s v="Other"/>
    <s v="Python"/>
    <x v="4"/>
    <n v="4"/>
    <n v="7"/>
    <n v="10"/>
    <n v="5"/>
    <n v="10"/>
    <s v="Neither easy nor difficult"/>
    <s v="Remote Work"/>
    <s v="Male"/>
    <n v="28"/>
    <s v="United States"/>
    <s v="Bachelors"/>
    <s v="White or Caucasian"/>
  </r>
  <r>
    <s v="62a38c120f8c8599d5afb0e9"/>
    <s v="anonymous"/>
    <d v="2022-06-10T00:00:00"/>
    <d v="1899-12-30T14:23:00"/>
    <d v="1899-12-30T00:02:02"/>
    <m/>
    <m/>
    <m/>
    <m/>
    <m/>
    <s v="Other"/>
    <x v="1"/>
    <s v="41k-65k"/>
    <n v="53"/>
    <s v="Other"/>
    <s v="Python"/>
    <x v="1"/>
    <n v="5"/>
    <n v="5"/>
    <n v="1"/>
    <n v="0"/>
    <n v="3"/>
    <s v="Easy"/>
    <s v="Better Salary"/>
    <s v="Female"/>
    <n v="33"/>
    <s v="United States"/>
    <s v="Bachelors"/>
    <s v="White or Caucasian"/>
  </r>
  <r>
    <s v="62a38c9dbc6861bf317760c4"/>
    <s v="anonymous"/>
    <d v="2022-06-10T00:00:00"/>
    <d v="1899-12-30T14:25:00"/>
    <d v="1899-12-30T00:01:57"/>
    <m/>
    <m/>
    <m/>
    <m/>
    <m/>
    <s v="Data Analyst"/>
    <x v="0"/>
    <s v="66k-85k"/>
    <n v="76"/>
    <s v="Other"/>
    <s v="Other"/>
    <x v="7"/>
    <n v="6"/>
    <n v="5"/>
    <n v="7"/>
    <n v="4"/>
    <n v="4"/>
    <s v="Easy"/>
    <s v="Better Salary"/>
    <s v="Female"/>
    <n v="56"/>
    <s v="United States"/>
    <s v="Bachelors"/>
    <s v="White or Caucasian"/>
  </r>
  <r>
    <s v="62a38de50f8c8599d5afb3e7"/>
    <s v="anonymous"/>
    <d v="2022-06-10T00:00:00"/>
    <d v="1899-12-30T14:31:00"/>
    <d v="1899-12-30T00:04:30"/>
    <m/>
    <m/>
    <m/>
    <m/>
    <m/>
    <s v="Other"/>
    <x v="1"/>
    <s v="0-40k"/>
    <n v="20"/>
    <s v="Other"/>
    <s v="Python"/>
    <x v="6"/>
    <n v="3"/>
    <n v="6"/>
    <n v="5"/>
    <m/>
    <n v="4"/>
    <s v="Difficult"/>
    <s v="Good Work/Life Balance"/>
    <s v="Male"/>
    <n v="23"/>
    <s v="India"/>
    <s v="Bachelors"/>
    <s v="Asian or Asian American"/>
  </r>
  <r>
    <s v="62a3906224a262602738c58a"/>
    <s v="anonymous"/>
    <d v="2022-06-10T00:00:00"/>
    <d v="1899-12-30T14:41:00"/>
    <d v="1899-12-30T00:01:16"/>
    <m/>
    <m/>
    <m/>
    <m/>
    <m/>
    <s v="Data Scientist"/>
    <x v="0"/>
    <s v="125k-150k"/>
    <n v="138"/>
    <s v="Healthcare"/>
    <s v="Python"/>
    <x v="5"/>
    <n v="5"/>
    <n v="5"/>
    <n v="5"/>
    <n v="4"/>
    <n v="5"/>
    <s v="Difficult"/>
    <s v="Better Salary"/>
    <s v="Male"/>
    <n v="28"/>
    <s v="United States"/>
    <s v="Masters"/>
    <s v="White or Caucasian"/>
  </r>
  <r>
    <s v="62a3907cbae91e4b8b838917"/>
    <s v="anonymous"/>
    <d v="2022-06-10T00:00:00"/>
    <d v="1899-12-30T14:42:00"/>
    <d v="1899-12-30T00:01:44"/>
    <m/>
    <m/>
    <m/>
    <m/>
    <m/>
    <s v="Student"/>
    <x v="1"/>
    <s v="0-40k"/>
    <n v="20"/>
    <s v="Other"/>
    <s v="JavaScript"/>
    <x v="2"/>
    <n v="0"/>
    <n v="0"/>
    <n v="0"/>
    <n v="0"/>
    <n v="10"/>
    <s v="Neither easy nor difficult"/>
    <s v="Remote Work"/>
    <s v="Male"/>
    <n v="21"/>
    <s v="Other"/>
    <s v="High School"/>
    <s v="White or Caucasian"/>
  </r>
  <r>
    <s v="62a390c0d8c00e9f541a6fd7"/>
    <s v="anonymous"/>
    <d v="2022-06-10T00:00:00"/>
    <d v="1899-12-30T14:43:00"/>
    <d v="1899-12-30T00:02:14"/>
    <m/>
    <m/>
    <m/>
    <m/>
    <m/>
    <s v="Student"/>
    <x v="1"/>
    <s v="66k-85k"/>
    <n v="76"/>
    <s v="Other"/>
    <s v="Python"/>
    <x v="4"/>
    <n v="2"/>
    <n v="4"/>
    <n v="1"/>
    <n v="2"/>
    <n v="1"/>
    <s v="Neither easy nor difficult"/>
    <s v="Good Work/Life Balance"/>
    <s v="Male"/>
    <n v="35"/>
    <s v="United States"/>
    <s v="Masters"/>
    <s v="Black or African American"/>
  </r>
  <r>
    <s v="62a390e4f3072dd89262c0cd"/>
    <s v="anonymous"/>
    <d v="2022-06-10T00:00:00"/>
    <d v="1899-12-30T14:43:00"/>
    <d v="1899-12-30T00:01:25"/>
    <m/>
    <m/>
    <m/>
    <m/>
    <m/>
    <s v="Data Analyst"/>
    <x v="1"/>
    <s v="41k-65k"/>
    <n v="53"/>
    <s v="Healthcare"/>
    <s v="Python"/>
    <x v="7"/>
    <n v="5"/>
    <n v="9"/>
    <n v="9"/>
    <n v="9"/>
    <n v="8"/>
    <s v="Neither easy nor difficult"/>
    <s v="Remote Work"/>
    <s v="Male"/>
    <n v="29"/>
    <s v="Other"/>
    <s v="Masters"/>
    <s v="Asian or Asian American"/>
  </r>
  <r>
    <s v="62a391cacf2555431730a623"/>
    <s v="anonymous"/>
    <d v="2022-06-10T00:00:00"/>
    <d v="1899-12-30T14:47:00"/>
    <d v="1899-12-30T00:01:18"/>
    <m/>
    <m/>
    <m/>
    <m/>
    <m/>
    <s v="Data Analyst"/>
    <x v="1"/>
    <s v="86k-105k"/>
    <n v="96"/>
    <s v="Tech"/>
    <s v="Python"/>
    <x v="0"/>
    <n v="10"/>
    <n v="8"/>
    <n v="8"/>
    <n v="7"/>
    <n v="7"/>
    <s v="Neither easy nor difficult"/>
    <s v="Other"/>
    <s v="Female"/>
    <n v="23"/>
    <s v="United States"/>
    <s v="Bachelors"/>
    <s v="Asian or Asian American"/>
  </r>
  <r>
    <s v="62a39214f8f756164585c6b6"/>
    <s v="anonymous"/>
    <d v="2022-06-10T00:00:00"/>
    <d v="1899-12-30T14:48:00"/>
    <d v="1899-12-30T00:03:06"/>
    <m/>
    <m/>
    <m/>
    <m/>
    <m/>
    <s v="Other"/>
    <x v="1"/>
    <s v="41k-65k"/>
    <n v="53"/>
    <s v="Finance"/>
    <s v="Python"/>
    <x v="6"/>
    <n v="3"/>
    <n v="3"/>
    <n v="0"/>
    <n v="0"/>
    <n v="1"/>
    <s v="Difficult"/>
    <s v="Good Work/Life Balance"/>
    <s v="Male"/>
    <n v="25"/>
    <s v="India"/>
    <s v="Bachelors"/>
    <s v="Asian or Asian American"/>
  </r>
  <r>
    <s v="62a39297b4da29969c638679"/>
    <s v="anonymous"/>
    <d v="2022-06-10T00:00:00"/>
    <d v="1899-12-30T14:51:00"/>
    <d v="1899-12-30T00:01:36"/>
    <m/>
    <m/>
    <m/>
    <m/>
    <m/>
    <s v="Data Engineer"/>
    <x v="0"/>
    <s v="86k-105k"/>
    <n v="96"/>
    <s v="Other"/>
    <s v="Python"/>
    <x v="10"/>
    <n v="7"/>
    <n v="10"/>
    <n v="9"/>
    <n v="10"/>
    <n v="10"/>
    <s v="Easy"/>
    <s v="Better Salary"/>
    <s v="Male"/>
    <n v="27"/>
    <s v="United States"/>
    <s v="Masters"/>
    <s v="White or Caucasian"/>
  </r>
  <r>
    <s v="62a393330a77c1a77f6662e4"/>
    <s v="anonymous"/>
    <d v="2022-06-10T00:00:00"/>
    <d v="1899-12-30T14:53:00"/>
    <d v="1899-12-30T00:01:54"/>
    <m/>
    <m/>
    <m/>
    <m/>
    <m/>
    <s v="Data Analyst"/>
    <x v="1"/>
    <s v="0-40k"/>
    <n v="20"/>
    <s v="Tech"/>
    <s v="Python"/>
    <x v="6"/>
    <n v="8"/>
    <n v="7"/>
    <n v="5"/>
    <n v="8"/>
    <n v="7"/>
    <s v="Neither easy nor difficult"/>
    <s v="Better Salary"/>
    <s v="Male"/>
    <n v="22"/>
    <s v="India"/>
    <s v="Bachelors"/>
    <s v="Other"/>
  </r>
  <r>
    <s v="62a3944024a262602738cb07"/>
    <s v="anonymous"/>
    <d v="2022-06-10T00:00:00"/>
    <d v="1899-12-30T14:58:00"/>
    <d v="1899-12-30T00:02:02"/>
    <m/>
    <m/>
    <m/>
    <m/>
    <m/>
    <s v="Data Analyst"/>
    <x v="0"/>
    <s v="0-40k"/>
    <n v="20"/>
    <s v="Other"/>
    <s v="Python"/>
    <x v="9"/>
    <n v="3"/>
    <n v="5"/>
    <n v="7"/>
    <n v="5"/>
    <n v="7"/>
    <s v="Neither easy nor difficult"/>
    <s v="Good Work/Life Balance"/>
    <s v="Male"/>
    <n v="22"/>
    <s v="India"/>
    <s v="Bachelors"/>
    <s v="Asian or Asian American"/>
  </r>
  <r>
    <s v="62a3951ed8c00e9f541a75d1"/>
    <s v="anonymous"/>
    <d v="2022-06-10T00:00:00"/>
    <d v="1899-12-30T15:01:00"/>
    <d v="1899-12-30T00:01:41"/>
    <m/>
    <m/>
    <m/>
    <m/>
    <m/>
    <s v="Other"/>
    <x v="1"/>
    <s v="106k-125k"/>
    <n v="116"/>
    <s v="Other"/>
    <s v="Java"/>
    <x v="7"/>
    <n v="7"/>
    <n v="4"/>
    <n v="5"/>
    <n v="5"/>
    <n v="4"/>
    <s v="Neither easy nor difficult"/>
    <s v="Better Salary"/>
    <s v="Male"/>
    <n v="43"/>
    <s v="United States"/>
    <s v="Masters"/>
    <s v="Asian or Asian American"/>
  </r>
  <r>
    <s v="62a3958fcec54911e9caf827"/>
    <s v="anonymous"/>
    <d v="2022-06-10T00:00:00"/>
    <d v="1899-12-30T15:03:00"/>
    <d v="1899-12-30T00:05:13"/>
    <m/>
    <m/>
    <m/>
    <m/>
    <m/>
    <s v="Other"/>
    <x v="0"/>
    <s v="0-40k"/>
    <n v="20"/>
    <s v="Tech"/>
    <s v="Python"/>
    <x v="6"/>
    <n v="5"/>
    <n v="8"/>
    <n v="4"/>
    <n v="5"/>
    <n v="5"/>
    <s v="Difficult"/>
    <s v="Better Salary"/>
    <s v="Female"/>
    <n v="32"/>
    <s v="United States"/>
    <s v="Bachelors"/>
    <s v="Asian or Asian American"/>
  </r>
  <r>
    <s v="62a3970ebae91e4b8b839495"/>
    <s v="anonymous"/>
    <d v="2022-06-10T00:00:00"/>
    <d v="1899-12-30T15:10:00"/>
    <d v="1899-12-30T00:01:06"/>
    <m/>
    <m/>
    <m/>
    <m/>
    <m/>
    <s v="Student"/>
    <x v="0"/>
    <s v="66k-85k"/>
    <n v="76"/>
    <s v="Healthcare"/>
    <s v="Other"/>
    <x v="11"/>
    <m/>
    <m/>
    <m/>
    <m/>
    <n v="0"/>
    <s v="Difficult"/>
    <s v="Good Work/Life Balance"/>
    <s v="Female"/>
    <n v="42"/>
    <s v="United States"/>
    <s v="Masters"/>
    <s v="Asian or Asian American"/>
  </r>
  <r>
    <s v="62a3976ecf2555431730af5e"/>
    <s v="anonymous"/>
    <d v="2022-06-10T00:00:00"/>
    <d v="1899-12-30T15:11:00"/>
    <d v="1899-12-30T00:01:40"/>
    <m/>
    <m/>
    <m/>
    <m/>
    <m/>
    <s v="Other"/>
    <x v="1"/>
    <s v="66k-85k"/>
    <n v="76"/>
    <s v="Other"/>
    <s v="Python"/>
    <x v="5"/>
    <n v="6"/>
    <n v="2"/>
    <n v="3"/>
    <n v="3"/>
    <n v="2"/>
    <s v="Very Difficult"/>
    <s v="Remote Work"/>
    <s v="Male"/>
    <n v="31"/>
    <s v="United States"/>
    <s v="Bachelors"/>
    <s v="Hispanic or Latino"/>
  </r>
  <r>
    <s v="62a397fb5d257a28a30e279a"/>
    <s v="anonymous"/>
    <d v="2022-06-10T00:00:00"/>
    <d v="1899-12-30T15:14:00"/>
    <d v="1899-12-30T00:01:20"/>
    <m/>
    <m/>
    <m/>
    <m/>
    <m/>
    <s v="Data Engineer"/>
    <x v="1"/>
    <s v="0-40k"/>
    <n v="20"/>
    <s v="Other"/>
    <s v="Python"/>
    <x v="2"/>
    <n v="10"/>
    <n v="10"/>
    <n v="5"/>
    <n v="0"/>
    <n v="3"/>
    <s v="Neither easy nor difficult"/>
    <s v="Better Salary"/>
    <s v="Male"/>
    <n v="25"/>
    <s v="United Kingdom"/>
    <s v="Bachelors"/>
    <s v="White or Caucasian"/>
  </r>
  <r>
    <s v="62a3980c7dc029e2d66c9a81"/>
    <s v="anonymous"/>
    <d v="2022-06-10T00:00:00"/>
    <d v="1899-12-30T15:14:00"/>
    <d v="1899-12-30T00:01:49"/>
    <m/>
    <m/>
    <m/>
    <m/>
    <m/>
    <s v="Data Analyst"/>
    <x v="1"/>
    <s v="41k-65k"/>
    <n v="53"/>
    <s v="Agriculture"/>
    <s v="Other"/>
    <x v="6"/>
    <n v="5"/>
    <n v="5"/>
    <n v="5"/>
    <n v="3"/>
    <n v="2"/>
    <s v="Neither easy nor difficult"/>
    <s v="Better Salary"/>
    <s v="Female"/>
    <n v="25"/>
    <s v="United States"/>
    <s v="Masters"/>
    <s v="Asian or Asian American"/>
  </r>
  <r>
    <s v="62a3980e0f8c8599d5afc32c"/>
    <s v="anonymous"/>
    <d v="2022-06-10T00:00:00"/>
    <d v="1899-12-30T15:14:00"/>
    <d v="1899-12-30T00:01:27"/>
    <m/>
    <m/>
    <m/>
    <m/>
    <m/>
    <s v="Data Analyst"/>
    <x v="0"/>
    <s v="106k-125k"/>
    <n v="116"/>
    <s v="Other"/>
    <s v="Other"/>
    <x v="0"/>
    <n v="9"/>
    <n v="9"/>
    <n v="6"/>
    <n v="9"/>
    <n v="8"/>
    <s v="Difficult"/>
    <s v="Good Work/Life Balance"/>
    <s v="Male"/>
    <n v="31"/>
    <s v="United States"/>
    <s v="Masters"/>
    <s v="Asian or Asian American"/>
  </r>
  <r>
    <s v="62a39a340f8c8599d5afc6ce"/>
    <s v="anonymous"/>
    <d v="2022-06-10T00:00:00"/>
    <d v="1899-12-30T15:23:00"/>
    <d v="1899-12-30T00:01:23"/>
    <m/>
    <m/>
    <m/>
    <m/>
    <m/>
    <s v="Data Scientist"/>
    <x v="0"/>
    <s v="0-40k"/>
    <n v="20"/>
    <s v="Education"/>
    <s v="Python"/>
    <x v="6"/>
    <n v="3"/>
    <n v="1"/>
    <n v="1"/>
    <n v="1"/>
    <n v="6"/>
    <s v="Difficult"/>
    <s v="Better Salary"/>
    <s v="Male"/>
    <n v="36"/>
    <s v="Other"/>
    <s v="Masters"/>
    <s v="White or Caucasian"/>
  </r>
  <r>
    <s v="62a39a95bc6861bf3177751d"/>
    <s v="anonymous"/>
    <d v="2022-06-10T00:00:00"/>
    <d v="1899-12-30T15:25:00"/>
    <d v="1899-12-30T00:02:24"/>
    <m/>
    <m/>
    <m/>
    <m/>
    <m/>
    <s v="Other"/>
    <x v="1"/>
    <s v="41k-65k"/>
    <n v="53"/>
    <s v="Healthcare"/>
    <s v="Python"/>
    <x v="9"/>
    <n v="8"/>
    <n v="8"/>
    <n v="8"/>
    <n v="8"/>
    <n v="10"/>
    <s v="Neither easy nor difficult"/>
    <s v="Good Work/Life Balance"/>
    <s v="Female"/>
    <n v="35"/>
    <s v="Other"/>
    <s v="Masters"/>
    <s v="White or Caucasian"/>
  </r>
  <r>
    <s v="62a39b315d257a28a30e2cae"/>
    <s v="anonymous"/>
    <d v="2022-06-10T00:00:00"/>
    <d v="1899-12-30T15:27:00"/>
    <d v="1899-12-30T00:01:40"/>
    <m/>
    <m/>
    <m/>
    <m/>
    <m/>
    <s v="Data Analyst"/>
    <x v="0"/>
    <s v="66k-85k"/>
    <n v="76"/>
    <s v="Other"/>
    <s v="R"/>
    <x v="9"/>
    <n v="10"/>
    <n v="10"/>
    <n v="10"/>
    <n v="9"/>
    <n v="8"/>
    <s v="Easy"/>
    <s v="Remote Work"/>
    <s v="Male"/>
    <n v="28"/>
    <s v="United States"/>
    <s v="Bachelors"/>
    <s v="White or Caucasian"/>
  </r>
  <r>
    <s v="62a39b6cf408bae018ede929"/>
    <s v="anonymous"/>
    <d v="2022-06-10T00:00:00"/>
    <d v="1899-12-30T15:28:00"/>
    <d v="1899-12-30T00:01:55"/>
    <m/>
    <m/>
    <m/>
    <m/>
    <m/>
    <s v="Data Analyst"/>
    <x v="1"/>
    <s v="0-40k"/>
    <n v="20"/>
    <s v="Other"/>
    <s v="Python"/>
    <x v="10"/>
    <n v="8"/>
    <n v="9"/>
    <n v="9"/>
    <n v="8"/>
    <n v="7"/>
    <s v="Neither easy nor difficult"/>
    <s v="Better Salary"/>
    <s v="Male"/>
    <n v="27"/>
    <s v="Other"/>
    <s v="Bachelors"/>
    <s v="Hispanic or Latino"/>
  </r>
  <r>
    <s v="62a39bd324a262602738d725"/>
    <s v="anonymous"/>
    <d v="2022-06-10T00:00:00"/>
    <d v="1899-12-30T15:30:00"/>
    <d v="1899-12-30T00:01:23"/>
    <m/>
    <m/>
    <m/>
    <m/>
    <m/>
    <s v="Data Analyst"/>
    <x v="0"/>
    <s v="0-40k"/>
    <n v="20"/>
    <s v="Other"/>
    <s v="Python"/>
    <x v="7"/>
    <n v="4"/>
    <n v="7"/>
    <n v="4"/>
    <n v="8"/>
    <n v="10"/>
    <s v="Easy"/>
    <s v="Good Work/Life Balance"/>
    <s v="Male"/>
    <n v="25"/>
    <s v="Other"/>
    <s v="Bachelors"/>
    <s v="Hispanic or Latino"/>
  </r>
  <r>
    <s v="62a39e03f408bae018eded39"/>
    <s v="anonymous"/>
    <d v="2022-06-10T00:00:00"/>
    <d v="1899-12-30T15:39:00"/>
    <d v="1899-12-30T00:01:59"/>
    <m/>
    <m/>
    <m/>
    <m/>
    <m/>
    <s v="Data Analyst"/>
    <x v="1"/>
    <s v="0-40k"/>
    <n v="20"/>
    <s v="Other"/>
    <s v="Python"/>
    <x v="9"/>
    <n v="6"/>
    <n v="10"/>
    <n v="8"/>
    <n v="6"/>
    <n v="8"/>
    <s v="Neither easy nor difficult"/>
    <s v="Better Salary"/>
    <s v="Male"/>
    <n v="25"/>
    <s v="Other"/>
    <s v="Bachelors"/>
    <s v="White or Caucasian"/>
  </r>
  <r>
    <s v="62a39e69d8c00e9f541a8358"/>
    <s v="anonymous"/>
    <d v="2022-06-10T00:00:00"/>
    <d v="1899-12-30T15:41:00"/>
    <d v="1899-12-30T00:01:10"/>
    <m/>
    <m/>
    <m/>
    <m/>
    <m/>
    <s v="Other"/>
    <x v="1"/>
    <s v="41k-65k"/>
    <n v="53"/>
    <s v="Other"/>
    <s v="R"/>
    <x v="8"/>
    <n v="5"/>
    <n v="5"/>
    <n v="5"/>
    <n v="5"/>
    <n v="5"/>
    <s v="Difficult"/>
    <s v="Good Work/Life Balance"/>
    <s v="Male"/>
    <n v="22"/>
    <s v="United States"/>
    <s v="Masters"/>
    <s v="White or Caucasian"/>
  </r>
  <r>
    <s v="62a3a0bcf8f756164585daf7"/>
    <s v="anonymous"/>
    <d v="2022-06-10T00:00:00"/>
    <d v="1899-12-30T15:51:00"/>
    <d v="1899-12-30T00:03:49"/>
    <m/>
    <m/>
    <m/>
    <m/>
    <m/>
    <s v="Data Analyst"/>
    <x v="0"/>
    <s v="41k-65k"/>
    <n v="53"/>
    <s v="Healthcare"/>
    <s v="Other"/>
    <x v="7"/>
    <n v="8"/>
    <n v="8"/>
    <n v="4"/>
    <n v="6"/>
    <n v="8"/>
    <s v="Neither easy nor difficult"/>
    <s v="Good Culture"/>
    <s v="Male"/>
    <n v="38"/>
    <s v="Other"/>
    <s v="High School"/>
    <s v="White or Caucasian"/>
  </r>
  <r>
    <s v="62a3a1a62e54c9003e53dc35"/>
    <s v="anonymous"/>
    <d v="2022-06-10T00:00:00"/>
    <d v="1899-12-30T15:55:00"/>
    <d v="1899-12-30T00:01:47"/>
    <m/>
    <m/>
    <m/>
    <m/>
    <m/>
    <s v="Data Analyst"/>
    <x v="0"/>
    <s v="0-40k"/>
    <n v="20"/>
    <s v="Education"/>
    <s v="Python"/>
    <x v="2"/>
    <n v="0"/>
    <n v="5"/>
    <n v="0"/>
    <n v="0"/>
    <n v="0"/>
    <s v="Difficult"/>
    <s v="Good Culture"/>
    <s v="Male"/>
    <n v="27"/>
    <s v="Other"/>
    <s v="Bachelors"/>
    <s v="Black or African American"/>
  </r>
  <r>
    <s v="62a3a231b4da29969c639b2c"/>
    <s v="anonymous"/>
    <d v="2022-06-10T00:00:00"/>
    <d v="1899-12-30T15:57:00"/>
    <d v="1899-12-30T00:02:55"/>
    <m/>
    <m/>
    <m/>
    <m/>
    <m/>
    <s v="Data Analyst"/>
    <x v="0"/>
    <s v="86k-105k"/>
    <n v="96"/>
    <s v="Other"/>
    <s v="Other"/>
    <x v="5"/>
    <n v="4"/>
    <n v="2"/>
    <n v="2"/>
    <n v="2"/>
    <n v="2"/>
    <s v="Easy"/>
    <s v="Remote Work"/>
    <s v="Female"/>
    <n v="34"/>
    <s v="Canada"/>
    <s v="Bachelors"/>
    <s v="Black or African American"/>
  </r>
  <r>
    <s v="62a3a3800f8c8599d5afd4db"/>
    <s v="anonymous"/>
    <d v="2022-06-10T00:00:00"/>
    <d v="1899-12-30T16:03:00"/>
    <d v="1899-12-30T00:01:45"/>
    <m/>
    <m/>
    <m/>
    <m/>
    <m/>
    <s v="Data Analyst"/>
    <x v="0"/>
    <s v="66k-85k"/>
    <n v="76"/>
    <s v="Other"/>
    <s v="Python"/>
    <x v="0"/>
    <n v="10"/>
    <n v="10"/>
    <n v="9"/>
    <n v="8"/>
    <n v="10"/>
    <s v="Difficult"/>
    <s v="Better Salary"/>
    <s v="Female"/>
    <n v="31"/>
    <s v="United States"/>
    <s v="Bachelors"/>
    <s v="White or Caucasian"/>
  </r>
  <r>
    <s v="62a3a4fdbae91e4b8b83ab6f"/>
    <s v="anonymous"/>
    <d v="2022-06-10T00:00:00"/>
    <d v="1899-12-30T16:09:00"/>
    <d v="1899-12-30T00:03:52"/>
    <m/>
    <m/>
    <m/>
    <m/>
    <m/>
    <s v="Data Analyst"/>
    <x v="0"/>
    <s v="41k-65k"/>
    <n v="53"/>
    <s v="Tech"/>
    <s v="Python"/>
    <x v="5"/>
    <n v="9"/>
    <n v="8"/>
    <n v="8"/>
    <n v="6"/>
    <n v="10"/>
    <s v="Neither easy nor difficult"/>
    <s v="Better Salary"/>
    <s v="Female"/>
    <n v="33"/>
    <s v="Canada"/>
    <s v="Masters"/>
    <s v="Black or African American"/>
  </r>
  <r>
    <s v="62a3a7f50a77c1a77f668221"/>
    <s v="anonymous"/>
    <d v="2022-06-10T00:00:00"/>
    <d v="1899-12-30T16:22:00"/>
    <d v="1899-12-30T00:00:59"/>
    <m/>
    <m/>
    <m/>
    <m/>
    <m/>
    <s v="Student"/>
    <x v="0"/>
    <s v="0-40k"/>
    <n v="20"/>
    <s v="Tech"/>
    <s v="Python"/>
    <x v="4"/>
    <n v="5"/>
    <n v="5"/>
    <n v="5"/>
    <n v="5"/>
    <n v="5"/>
    <s v="Very Difficult"/>
    <s v="Remote Work"/>
    <s v="Male"/>
    <n v="23"/>
    <s v="United States"/>
    <s v="Bachelors"/>
    <s v="Asian or Asian American"/>
  </r>
  <r>
    <s v="62a3a90f24a262602738e800"/>
    <s v="anonymous"/>
    <d v="2022-06-10T00:00:00"/>
    <d v="1899-12-30T16:26:00"/>
    <d v="1899-12-30T00:01:26"/>
    <m/>
    <m/>
    <m/>
    <m/>
    <m/>
    <s v="Data Analyst"/>
    <x v="0"/>
    <s v="41k-65k"/>
    <n v="53"/>
    <s v="Healthcare"/>
    <s v="Other"/>
    <x v="6"/>
    <n v="10"/>
    <n v="9"/>
    <n v="10"/>
    <n v="5"/>
    <n v="0"/>
    <s v="Neither easy nor difficult"/>
    <s v="Better Salary"/>
    <s v="Female"/>
    <n v="25"/>
    <s v="United States"/>
    <s v="Bachelors"/>
    <s v="Asian or Asian American"/>
  </r>
  <r>
    <s v="62a3a9dbd8c00e9f541a93eb"/>
    <s v="anonymous"/>
    <d v="2022-06-10T00:00:00"/>
    <d v="1899-12-30T16:30:00"/>
    <d v="1899-12-30T00:01:54"/>
    <m/>
    <m/>
    <m/>
    <m/>
    <m/>
    <s v="Data Analyst"/>
    <x v="0"/>
    <s v="0-40k"/>
    <n v="20"/>
    <s v="Tech"/>
    <s v="Python"/>
    <x v="5"/>
    <n v="4"/>
    <n v="4"/>
    <n v="5"/>
    <n v="2"/>
    <n v="1"/>
    <s v="Difficult"/>
    <s v="Better Salary"/>
    <s v="Male"/>
    <n v="29"/>
    <s v="Other"/>
    <s v="Masters"/>
    <s v="White or Caucasian"/>
  </r>
  <r>
    <s v="62a3aaa3cec54911e9cb1724"/>
    <s v="anonymous"/>
    <d v="2022-06-10T00:00:00"/>
    <d v="1899-12-30T16:33:00"/>
    <d v="1899-12-30T00:02:16"/>
    <m/>
    <m/>
    <m/>
    <m/>
    <m/>
    <s v="Other"/>
    <x v="0"/>
    <s v="41k-65k"/>
    <n v="53"/>
    <s v="Healthcare"/>
    <s v="R"/>
    <x v="8"/>
    <n v="7"/>
    <n v="9"/>
    <n v="8"/>
    <n v="8"/>
    <n v="8"/>
    <s v="Neither easy nor difficult"/>
    <s v="Better Salary"/>
    <s v="Female"/>
    <n v="29"/>
    <s v="United States"/>
    <s v="Masters"/>
    <s v="Black or African American"/>
  </r>
  <r>
    <s v="62a3ab320f8c8599d5afdfa8"/>
    <s v="anonymous"/>
    <d v="2022-06-10T00:00:00"/>
    <d v="1899-12-30T16:36:00"/>
    <d v="1899-12-30T00:01:45"/>
    <m/>
    <m/>
    <m/>
    <m/>
    <m/>
    <s v="Data Analyst"/>
    <x v="0"/>
    <s v="0-40k"/>
    <n v="20"/>
    <s v="Tech"/>
    <s v="R"/>
    <x v="6"/>
    <n v="4"/>
    <n v="4"/>
    <n v="4"/>
    <n v="4"/>
    <n v="2"/>
    <s v="Easy"/>
    <s v="Better Salary"/>
    <s v="Male"/>
    <n v="31"/>
    <s v="India"/>
    <s v="Masters"/>
    <s v="Asian or Asian American"/>
  </r>
  <r>
    <s v="62a3abacd8c00e9f541a96eb"/>
    <s v="anonymous"/>
    <d v="2022-06-10T00:00:00"/>
    <d v="1899-12-30T16:38:00"/>
    <d v="1899-12-30T00:01:33"/>
    <m/>
    <m/>
    <m/>
    <m/>
    <m/>
    <s v="Student"/>
    <x v="1"/>
    <s v="0-40k"/>
    <n v="20"/>
    <s v="Real Estate"/>
    <s v="R"/>
    <x v="2"/>
    <n v="5"/>
    <n v="0"/>
    <n v="0"/>
    <n v="0"/>
    <n v="0"/>
    <s v="Very Difficult"/>
    <s v="Remote Work"/>
    <s v="Male"/>
    <n v="34"/>
    <s v="Other"/>
    <s v="High School"/>
    <s v="Black or African American"/>
  </r>
  <r>
    <s v="62a3ac4bf8f756164585ea83"/>
    <s v="anonymous"/>
    <d v="2022-06-10T00:00:00"/>
    <d v="1899-12-30T16:40:00"/>
    <d v="1899-12-30T00:02:04"/>
    <m/>
    <m/>
    <m/>
    <m/>
    <m/>
    <s v="Data Analyst"/>
    <x v="0"/>
    <s v="0-40k"/>
    <n v="20"/>
    <s v="Tech"/>
    <s v="Python"/>
    <x v="6"/>
    <n v="2"/>
    <n v="4"/>
    <n v="3"/>
    <n v="7"/>
    <n v="8"/>
    <s v="Easy"/>
    <s v="Good Work/Life Balance"/>
    <s v="Male"/>
    <n v="26"/>
    <s v="Other"/>
    <s v="Bachelors"/>
    <s v="Other"/>
  </r>
  <r>
    <s v="62a3ad35cec54911e9cb1b5c"/>
    <s v="anonymous"/>
    <d v="2022-06-10T00:00:00"/>
    <d v="1899-12-30T16:44:00"/>
    <d v="1899-12-30T00:01:34"/>
    <m/>
    <m/>
    <m/>
    <m/>
    <m/>
    <s v="Other"/>
    <x v="1"/>
    <s v="86k-105k"/>
    <n v="96"/>
    <s v="Healthcare"/>
    <s v="Python"/>
    <x v="5"/>
    <n v="6"/>
    <n v="5"/>
    <n v="6"/>
    <n v="6"/>
    <n v="4"/>
    <s v="Neither easy nor difficult"/>
    <s v="Remote Work"/>
    <s v="Female"/>
    <n v="26"/>
    <s v="United States"/>
    <s v="Bachelors"/>
    <s v="White or Caucasian"/>
  </r>
  <r>
    <s v="62a3ae69bc6861bf3177900d"/>
    <s v="anonymous"/>
    <d v="2022-06-10T00:00:00"/>
    <d v="1899-12-30T16:49:00"/>
    <d v="1899-12-30T00:02:55"/>
    <m/>
    <m/>
    <m/>
    <m/>
    <m/>
    <s v="Other"/>
    <x v="0"/>
    <s v="41k-65k"/>
    <n v="53"/>
    <s v="Other"/>
    <s v="Other"/>
    <x v="6"/>
    <n v="6"/>
    <n v="9"/>
    <n v="6"/>
    <n v="5"/>
    <n v="10"/>
    <s v="Difficult"/>
    <s v="Other"/>
    <s v="Male"/>
    <n v="27"/>
    <s v="United States"/>
    <s v="Masters"/>
    <s v="Black or African American"/>
  </r>
  <r>
    <s v="62a3af26cec54911e9cb1f3a"/>
    <s v="anonymous"/>
    <d v="2022-06-10T00:00:00"/>
    <d v="1899-12-30T16:52:00"/>
    <d v="1899-12-30T00:01:42"/>
    <m/>
    <m/>
    <m/>
    <m/>
    <m/>
    <s v="Data Analyst"/>
    <x v="0"/>
    <s v="66k-85k"/>
    <n v="76"/>
    <s v="Other"/>
    <s v="Python"/>
    <x v="10"/>
    <n v="5"/>
    <n v="9"/>
    <n v="6"/>
    <n v="6"/>
    <n v="10"/>
    <s v="Neither easy nor difficult"/>
    <s v="Remote Work"/>
    <s v="Male"/>
    <n v="26"/>
    <s v="United States"/>
    <s v="Bachelors"/>
    <s v="White or Caucasian"/>
  </r>
  <r>
    <s v="62a3af66f8f756164585eeb8"/>
    <s v="anonymous"/>
    <d v="2022-06-10T00:00:00"/>
    <d v="1899-12-30T16:53:00"/>
    <d v="1899-12-30T00:03:01"/>
    <m/>
    <m/>
    <m/>
    <m/>
    <m/>
    <s v="Student"/>
    <x v="0"/>
    <s v="0-40k"/>
    <n v="20"/>
    <s v="Tech"/>
    <s v="Python"/>
    <x v="5"/>
    <n v="5"/>
    <n v="4"/>
    <n v="4"/>
    <n v="3"/>
    <n v="4"/>
    <s v="Very Difficult"/>
    <s v="Better Salary"/>
    <s v="Female"/>
    <n v="26"/>
    <s v="United States"/>
    <s v="Masters"/>
    <s v="Asian or Asian American"/>
  </r>
  <r>
    <s v="62a3b135b4da29969c63b1ed"/>
    <s v="anonymous"/>
    <d v="2022-06-10T00:00:00"/>
    <d v="1899-12-30T17:01:00"/>
    <d v="1899-12-30T00:01:18"/>
    <m/>
    <m/>
    <m/>
    <m/>
    <m/>
    <s v="Data Analyst"/>
    <x v="0"/>
    <s v="41k-65k"/>
    <n v="53"/>
    <s v="Finance"/>
    <s v="R"/>
    <x v="4"/>
    <n v="5"/>
    <n v="5"/>
    <n v="5"/>
    <n v="4"/>
    <n v="5"/>
    <s v="Easy"/>
    <s v="Better Salary"/>
    <s v="Male"/>
    <n v="24"/>
    <s v="United States"/>
    <s v="Bachelors"/>
    <s v="White or Caucasian"/>
  </r>
  <r>
    <s v="62a3b255d8c00e9f541a9fd5"/>
    <s v="anonymous"/>
    <d v="2022-06-10T00:00:00"/>
    <d v="1899-12-30T17:06:00"/>
    <d v="1899-12-30T00:02:18"/>
    <m/>
    <m/>
    <m/>
    <m/>
    <m/>
    <s v="Data Analyst"/>
    <x v="0"/>
    <s v="86k-105k"/>
    <n v="96"/>
    <s v="Other"/>
    <s v="Python"/>
    <x v="5"/>
    <n v="6"/>
    <n v="3"/>
    <n v="4"/>
    <n v="4"/>
    <n v="2"/>
    <s v="Easy"/>
    <s v="Better Salary"/>
    <s v="Female"/>
    <n v="28"/>
    <s v="Other"/>
    <s v="Masters"/>
    <s v="Other"/>
  </r>
  <r>
    <s v="62a3b314f408bae018ee0938"/>
    <s v="anonymous"/>
    <d v="2022-06-10T00:00:00"/>
    <d v="1899-12-30T17:09:00"/>
    <d v="1899-12-30T00:01:18"/>
    <m/>
    <m/>
    <m/>
    <m/>
    <m/>
    <s v="Data Analyst"/>
    <x v="0"/>
    <s v="106k-125k"/>
    <n v="116"/>
    <s v="Other"/>
    <s v="R"/>
    <x v="10"/>
    <n v="8"/>
    <n v="10"/>
    <n v="9"/>
    <n v="7"/>
    <n v="5"/>
    <s v="Easy"/>
    <s v="Better Salary"/>
    <s v="Male"/>
    <n v="29"/>
    <s v="United States"/>
    <s v="Bachelors"/>
    <s v="White or Caucasian"/>
  </r>
  <r>
    <s v="62a3b3f6bc6861bf3177973b"/>
    <s v="anonymous"/>
    <d v="2022-06-10T00:00:00"/>
    <d v="1899-12-30T17:13:00"/>
    <d v="1899-12-30T00:01:02"/>
    <m/>
    <m/>
    <m/>
    <m/>
    <m/>
    <s v="Data Analyst"/>
    <x v="0"/>
    <s v="66k-85k"/>
    <n v="76"/>
    <s v="Finance"/>
    <s v="Python"/>
    <x v="6"/>
    <n v="2"/>
    <n v="1"/>
    <n v="1"/>
    <n v="0"/>
    <n v="2"/>
    <s v="Very Difficult"/>
    <s v="Better Salary"/>
    <s v="Female"/>
    <n v="26"/>
    <s v="United States"/>
    <s v="Masters"/>
    <s v="Asian or Asian American"/>
  </r>
  <r>
    <s v="62a3ba4dbc6861bf31779f24"/>
    <s v="anonymous"/>
    <d v="2022-06-10T00:00:00"/>
    <d v="1899-12-30T17:40:00"/>
    <d v="1899-12-30T00:01:19"/>
    <m/>
    <m/>
    <m/>
    <m/>
    <m/>
    <s v="Data Analyst"/>
    <x v="0"/>
    <s v="41k-65k"/>
    <n v="53"/>
    <s v="Other"/>
    <s v="Python"/>
    <x v="6"/>
    <n v="5"/>
    <n v="3"/>
    <n v="3"/>
    <n v="1"/>
    <n v="1"/>
    <s v="Neither easy nor difficult"/>
    <s v="Better Salary"/>
    <s v="Male"/>
    <n v="28"/>
    <s v="United Kingdom"/>
    <s v="Bachelors"/>
    <s v="White or Caucasian"/>
  </r>
  <r>
    <s v="62a3baa624a262602738ff27"/>
    <s v="anonymous"/>
    <d v="2022-06-10T00:00:00"/>
    <d v="1899-12-30T17:41:00"/>
    <d v="1899-12-30T00:04:19"/>
    <m/>
    <m/>
    <m/>
    <m/>
    <m/>
    <s v="Data Analyst"/>
    <x v="1"/>
    <s v="0-40k"/>
    <n v="20"/>
    <s v="Finance"/>
    <s v="Python"/>
    <x v="9"/>
    <n v="8"/>
    <n v="7"/>
    <n v="6"/>
    <n v="2"/>
    <n v="4"/>
    <s v="Easy"/>
    <s v="Other"/>
    <s v="Male"/>
    <n v="25"/>
    <s v="Other"/>
    <s v="Masters"/>
    <s v="White or Caucasian"/>
  </r>
  <r>
    <s v="62a3bc00d8c00e9f541aad66"/>
    <s v="anonymous"/>
    <d v="2022-06-10T00:00:00"/>
    <d v="1899-12-30T17:47:00"/>
    <d v="1899-12-30T00:01:30"/>
    <m/>
    <m/>
    <m/>
    <m/>
    <m/>
    <s v="Data Analyst"/>
    <x v="0"/>
    <s v="66k-85k"/>
    <n v="76"/>
    <s v="Finance"/>
    <s v="R"/>
    <x v="8"/>
    <n v="7"/>
    <n v="7"/>
    <n v="3"/>
    <n v="7"/>
    <n v="9"/>
    <s v="Difficult"/>
    <s v="Better Salary"/>
    <s v="Female"/>
    <n v="26"/>
    <s v="United States"/>
    <s v="Bachelors"/>
    <s v="Asian or Asian American"/>
  </r>
  <r>
    <s v="62a3bf1b0a77c1a77f66a347"/>
    <s v="anonymous"/>
    <d v="2022-06-10T00:00:00"/>
    <d v="1899-12-30T18:00:00"/>
    <d v="1899-12-30T00:05:36"/>
    <m/>
    <m/>
    <m/>
    <m/>
    <m/>
    <s v="Data Engineer"/>
    <x v="0"/>
    <s v="125k-150k"/>
    <n v="138"/>
    <s v="Healthcare"/>
    <s v="Python"/>
    <x v="9"/>
    <n v="3"/>
    <n v="9"/>
    <n v="5"/>
    <n v="8"/>
    <n v="8"/>
    <s v="Neither easy nor difficult"/>
    <s v="Remote Work"/>
    <s v="Female"/>
    <n v="38"/>
    <s v="United States"/>
    <s v="Masters"/>
    <s v="White or Caucasian"/>
  </r>
  <r>
    <s v="62a3c021f8f756164586043f"/>
    <s v="anonymous"/>
    <d v="2022-06-10T00:00:00"/>
    <d v="1899-12-30T18:05:00"/>
    <d v="1899-12-30T00:02:00"/>
    <m/>
    <m/>
    <m/>
    <m/>
    <m/>
    <s v="Other"/>
    <x v="0"/>
    <s v="0-40k"/>
    <n v="20"/>
    <s v="Other"/>
    <s v="Other"/>
    <x v="2"/>
    <n v="3"/>
    <n v="3"/>
    <n v="3"/>
    <n v="4"/>
    <n v="4"/>
    <s v="Neither easy nor difficult"/>
    <s v="Better Salary"/>
    <s v="Female"/>
    <n v="20"/>
    <s v="Other"/>
    <s v="High School"/>
    <s v="Black or African American"/>
  </r>
  <r>
    <s v="62a3c1b1bc6861bf3177aa8c"/>
    <s v="anonymous"/>
    <d v="2022-06-10T00:00:00"/>
    <d v="1899-12-30T18:12:00"/>
    <d v="1899-12-30T00:02:04"/>
    <m/>
    <m/>
    <m/>
    <m/>
    <m/>
    <s v="Data Analyst"/>
    <x v="1"/>
    <s v="66k-85k"/>
    <n v="76"/>
    <s v="Education"/>
    <s v="Other"/>
    <x v="5"/>
    <n v="6"/>
    <n v="7"/>
    <n v="7"/>
    <n v="2"/>
    <n v="2"/>
    <s v="Neither easy nor difficult"/>
    <s v="Remote Work"/>
    <s v="Female"/>
    <n v="45"/>
    <s v="United States"/>
    <s v="Masters"/>
    <s v="Black or African American"/>
  </r>
  <r>
    <s v="62a3c30324a26260273909b9"/>
    <s v="anonymous"/>
    <d v="2022-06-10T00:00:00"/>
    <d v="1899-12-30T18:17:00"/>
    <d v="1899-12-30T00:01:18"/>
    <m/>
    <m/>
    <m/>
    <m/>
    <m/>
    <s v="Data Analyst"/>
    <x v="1"/>
    <s v="86k-105k"/>
    <n v="96"/>
    <s v="Other"/>
    <s v="Python"/>
    <x v="8"/>
    <n v="3"/>
    <n v="5"/>
    <n v="6"/>
    <n v="6"/>
    <n v="4"/>
    <s v="Difficult"/>
    <s v="Good Work/Life Balance"/>
    <s v="Male"/>
    <n v="27"/>
    <s v="Canada"/>
    <s v="Masters"/>
    <s v="Other"/>
  </r>
  <r>
    <s v="62a3c476bc6861bf3177ad9d"/>
    <s v="anonymous"/>
    <d v="2022-06-10T00:00:00"/>
    <d v="1899-12-30T18:23:00"/>
    <d v="1899-12-30T00:02:58"/>
    <m/>
    <m/>
    <m/>
    <m/>
    <m/>
    <s v="Data Analyst"/>
    <x v="0"/>
    <s v="41k-65k"/>
    <n v="53"/>
    <s v="Other"/>
    <s v="Python"/>
    <x v="6"/>
    <n v="7"/>
    <n v="7"/>
    <n v="7"/>
    <n v="7"/>
    <n v="6"/>
    <s v="Difficult"/>
    <s v="Good Culture"/>
    <s v="Male"/>
    <n v="28"/>
    <s v="Canada"/>
    <s v="Masters"/>
    <s v="Asian or Asian American"/>
  </r>
  <r>
    <s v="62a3c5f2cec54911e9cb3d9b"/>
    <s v="anonymous"/>
    <d v="2022-06-10T00:00:00"/>
    <d v="1899-12-30T18:30:00"/>
    <d v="1899-12-30T00:04:30"/>
    <m/>
    <m/>
    <m/>
    <m/>
    <m/>
    <s v="Student"/>
    <x v="0"/>
    <s v="0-40k"/>
    <n v="20"/>
    <s v="Other"/>
    <s v="R"/>
    <x v="4"/>
    <n v="10"/>
    <n v="10"/>
    <n v="10"/>
    <n v="10"/>
    <n v="3"/>
    <s v="Neither easy nor difficult"/>
    <s v="Remote Work"/>
    <s v="Female"/>
    <n v="29"/>
    <s v="Other"/>
    <s v="Bachelors"/>
    <s v="Other"/>
  </r>
  <r>
    <s v="62a3c7f1bc6861bf3177b06e"/>
    <s v="anonymous"/>
    <d v="2022-06-10T00:00:00"/>
    <d v="1899-12-30T18:38:00"/>
    <d v="1899-12-30T00:01:57"/>
    <m/>
    <m/>
    <m/>
    <m/>
    <m/>
    <s v="Other"/>
    <x v="1"/>
    <s v="41k-65k"/>
    <n v="53"/>
    <s v="Tech"/>
    <s v="C/C++"/>
    <x v="7"/>
    <n v="7"/>
    <n v="7"/>
    <n v="7"/>
    <n v="7"/>
    <n v="7"/>
    <s v="Neither easy nor difficult"/>
    <s v="Better Salary"/>
    <s v="Female"/>
    <n v="43"/>
    <s v="Other"/>
    <s v="High School"/>
    <s v="Asian or Asian American"/>
  </r>
  <r>
    <s v="62a3c8652e54c9003e54103e"/>
    <s v="anonymous"/>
    <d v="2022-06-10T00:00:00"/>
    <d v="1899-12-30T18:40:00"/>
    <d v="1899-12-30T00:02:27"/>
    <m/>
    <m/>
    <m/>
    <m/>
    <m/>
    <s v="Data Analyst"/>
    <x v="0"/>
    <s v="0-40k"/>
    <n v="20"/>
    <s v="Finance"/>
    <s v="Python"/>
    <x v="2"/>
    <n v="5"/>
    <n v="9"/>
    <n v="9"/>
    <n v="0"/>
    <n v="10"/>
    <s v="Neither easy nor difficult"/>
    <s v="Remote Work"/>
    <s v="Male"/>
    <n v="26"/>
    <s v="Other"/>
    <s v="Bachelors"/>
    <s v="Black or African American"/>
  </r>
  <r>
    <s v="62a3ca44bae91e4b8b83dcd4"/>
    <s v="anonymous"/>
    <d v="2022-06-10T00:00:00"/>
    <d v="1899-12-30T18:48:00"/>
    <d v="1899-12-30T00:04:17"/>
    <m/>
    <m/>
    <m/>
    <m/>
    <m/>
    <s v="Student"/>
    <x v="1"/>
    <s v="41k-65k"/>
    <n v="53"/>
    <s v="Tech"/>
    <s v="Other"/>
    <x v="7"/>
    <n v="8"/>
    <n v="7"/>
    <n v="7"/>
    <n v="8"/>
    <n v="7"/>
    <s v="Neither easy nor difficult"/>
    <s v="Other"/>
    <s v="Female"/>
    <n v="47"/>
    <s v="United States"/>
    <s v="Bachelors"/>
    <s v="Black or African American"/>
  </r>
  <r>
    <s v="62a3cafff8d5efcc22f8b5cb"/>
    <s v="anonymous"/>
    <d v="2022-06-10T00:00:00"/>
    <d v="1899-12-30T18:51:00"/>
    <d v="1899-12-30T00:01:42"/>
    <m/>
    <m/>
    <m/>
    <m/>
    <m/>
    <s v="Student"/>
    <x v="0"/>
    <s v="0-40k"/>
    <n v="20"/>
    <s v="Finance"/>
    <s v="Python"/>
    <x v="11"/>
    <m/>
    <m/>
    <n v="8"/>
    <n v="10"/>
    <n v="10"/>
    <s v="Easy"/>
    <s v="Remote Work"/>
    <s v="Male"/>
    <n v="23"/>
    <s v="Other"/>
    <s v="Bachelors"/>
    <s v="Black or African American"/>
  </r>
  <r>
    <s v="62a3cbfef8d5efcc22f8b6f1"/>
    <s v="anonymous"/>
    <d v="2022-06-10T00:00:00"/>
    <d v="1899-12-30T18:55:00"/>
    <d v="1899-12-30T00:01:20"/>
    <m/>
    <m/>
    <m/>
    <m/>
    <m/>
    <s v="Data Analyst"/>
    <x v="0"/>
    <s v="0-40k"/>
    <n v="20"/>
    <s v="Tech"/>
    <s v="Python"/>
    <x v="2"/>
    <n v="1"/>
    <n v="1"/>
    <n v="1"/>
    <n v="1"/>
    <n v="2"/>
    <s v="Very Difficult"/>
    <s v="Better Salary"/>
    <s v="Male"/>
    <n v="25"/>
    <s v="Other"/>
    <s v="Bachelors"/>
    <s v="Other"/>
  </r>
  <r>
    <s v="62a3cde8f8f7561645861366"/>
    <s v="anonymous"/>
    <d v="2022-06-10T00:00:00"/>
    <d v="1899-12-30T19:04:00"/>
    <d v="1899-12-30T00:02:02"/>
    <m/>
    <m/>
    <m/>
    <m/>
    <m/>
    <s v="Other"/>
    <x v="1"/>
    <s v="0-40k"/>
    <n v="20"/>
    <s v="Finance"/>
    <s v="Python"/>
    <x v="9"/>
    <n v="6"/>
    <n v="3"/>
    <n v="7"/>
    <n v="2"/>
    <n v="4"/>
    <s v="Very Difficult"/>
    <s v="Other"/>
    <s v="Male"/>
    <n v="32"/>
    <s v="Other"/>
    <s v="Masters"/>
    <s v="White or Caucasian"/>
  </r>
  <r>
    <s v="62a3cfed0f8c8599d5b00b12"/>
    <s v="anonymous"/>
    <d v="2022-06-10T00:00:00"/>
    <d v="1899-12-30T19:12:00"/>
    <d v="1899-12-30T00:01:09"/>
    <m/>
    <m/>
    <m/>
    <m/>
    <m/>
    <s v="Data Analyst"/>
    <x v="0"/>
    <s v="0-40k"/>
    <n v="20"/>
    <s v="Finance"/>
    <s v="Python"/>
    <x v="1"/>
    <n v="10"/>
    <n v="10"/>
    <n v="5"/>
    <n v="3"/>
    <n v="1"/>
    <s v="Neither easy nor difficult"/>
    <s v="Better Salary"/>
    <s v="Female"/>
    <n v="25"/>
    <s v="United States"/>
    <s v="Bachelors"/>
    <s v="White or Caucasian"/>
  </r>
  <r>
    <s v="62a3d21ef3072dd8926314d1"/>
    <s v="anonymous"/>
    <d v="2022-06-10T00:00:00"/>
    <d v="1899-12-30T19:22:00"/>
    <d v="1899-12-30T00:02:40"/>
    <m/>
    <m/>
    <m/>
    <m/>
    <m/>
    <s v="Data Analyst"/>
    <x v="1"/>
    <s v="0-40k"/>
    <n v="20"/>
    <s v="Finance"/>
    <s v="Python"/>
    <x v="1"/>
    <n v="2"/>
    <n v="10"/>
    <n v="1"/>
    <n v="2"/>
    <n v="8"/>
    <s v="Difficult"/>
    <s v="Remote Work"/>
    <s v="Female"/>
    <n v="29"/>
    <s v="Other"/>
    <s v="Bachelors"/>
    <s v="Hispanic or Latino"/>
  </r>
  <r>
    <s v="62a3d37c0a77c1a77f66bc0e"/>
    <s v="anonymous"/>
    <d v="2022-06-10T00:00:00"/>
    <d v="1899-12-30T19:27:00"/>
    <d v="1899-12-30T00:01:11"/>
    <m/>
    <m/>
    <m/>
    <m/>
    <m/>
    <s v="Data Analyst"/>
    <x v="1"/>
    <s v="41k-65k"/>
    <n v="53"/>
    <s v="Healthcare"/>
    <s v="Other"/>
    <x v="6"/>
    <n v="7"/>
    <n v="5"/>
    <n v="5"/>
    <n v="3"/>
    <n v="3"/>
    <s v="Neither easy nor difficult"/>
    <s v="Better Salary"/>
    <s v="Female"/>
    <n v="33"/>
    <s v="United States"/>
    <s v="Bachelors"/>
    <s v="Asian or Asian American"/>
  </r>
  <r>
    <s v="62a3d8dbf8f7561645861f9d"/>
    <s v="anonymous"/>
    <d v="2022-06-10T00:00:00"/>
    <d v="1899-12-30T19:50:00"/>
    <d v="1899-12-30T00:04:51"/>
    <m/>
    <m/>
    <m/>
    <m/>
    <m/>
    <s v="Data Analyst"/>
    <x v="1"/>
    <s v="106k-125k"/>
    <n v="116"/>
    <s v="Education"/>
    <s v="Python"/>
    <x v="9"/>
    <n v="10"/>
    <n v="10"/>
    <n v="10"/>
    <n v="7"/>
    <n v="6"/>
    <s v="Easy"/>
    <s v="Other"/>
    <s v="Male"/>
    <n v="36"/>
    <s v="United States"/>
    <s v="Masters"/>
    <s v="Asian or Asian American"/>
  </r>
  <r>
    <s v="62a3d9697dc029e2d66cf087"/>
    <s v="anonymous"/>
    <d v="2022-06-10T00:00:00"/>
    <d v="1899-12-30T19:53:00"/>
    <d v="1899-12-30T00:01:32"/>
    <m/>
    <m/>
    <m/>
    <m/>
    <m/>
    <s v="Data Analyst"/>
    <x v="0"/>
    <s v="41k-65k"/>
    <n v="53"/>
    <s v="Healthcare"/>
    <s v="Python"/>
    <x v="5"/>
    <n v="10"/>
    <n v="9"/>
    <n v="3"/>
    <n v="0"/>
    <n v="10"/>
    <s v="Difficult"/>
    <s v="Good Work/Life Balance"/>
    <s v="Male"/>
    <n v="25"/>
    <s v="United States"/>
    <s v="Bachelors"/>
    <s v="White or Caucasian"/>
  </r>
  <r>
    <s v="62a3dac9f3072dd892631e12"/>
    <s v="anonymous"/>
    <d v="2022-06-10T00:00:00"/>
    <d v="1899-12-30T19:59:00"/>
    <d v="1899-12-30T00:03:19"/>
    <m/>
    <m/>
    <m/>
    <m/>
    <m/>
    <s v="Data Scientist"/>
    <x v="1"/>
    <s v="150k-225k"/>
    <n v="188"/>
    <s v="Other"/>
    <s v="Python"/>
    <x v="10"/>
    <n v="7"/>
    <n v="8"/>
    <n v="7"/>
    <n v="7"/>
    <n v="8"/>
    <s v="Neither easy nor difficult"/>
    <s v="Good Work/Life Balance"/>
    <s v="Male"/>
    <n v="38"/>
    <s v="United States"/>
    <s v="Masters"/>
    <s v="White or Caucasian"/>
  </r>
  <r>
    <s v="62a3dc3ab4da29969c63e3d7"/>
    <s v="anonymous"/>
    <d v="2022-06-10T00:00:00"/>
    <d v="1899-12-30T20:05:00"/>
    <d v="1899-12-30T00:03:42"/>
    <m/>
    <m/>
    <m/>
    <m/>
    <m/>
    <s v="Data Analyst"/>
    <x v="0"/>
    <s v="66k-85k"/>
    <n v="76"/>
    <s v="Other"/>
    <s v="R"/>
    <x v="6"/>
    <n v="2"/>
    <n v="6"/>
    <n v="6"/>
    <n v="5"/>
    <n v="4"/>
    <s v="Difficult"/>
    <s v="Good Work/Life Balance"/>
    <s v="Male"/>
    <n v="30"/>
    <s v="United States"/>
    <s v="Masters"/>
    <s v="Other"/>
  </r>
  <r>
    <s v="62a3e2abf8f75616458628d1"/>
    <s v="anonymous"/>
    <d v="2022-06-10T00:00:00"/>
    <d v="1899-12-30T20:32:00"/>
    <d v="1899-12-30T00:01:48"/>
    <m/>
    <m/>
    <m/>
    <m/>
    <m/>
    <s v="Data Analyst"/>
    <x v="0"/>
    <s v="41k-65k"/>
    <n v="53"/>
    <s v="Tech"/>
    <s v="Python"/>
    <x v="6"/>
    <n v="5"/>
    <n v="6"/>
    <n v="6"/>
    <n v="6"/>
    <n v="7"/>
    <s v="Difficult"/>
    <s v="Good Culture"/>
    <s v="Male"/>
    <n v="35"/>
    <s v="United States"/>
    <s v="Masters"/>
    <s v="Black or African American"/>
  </r>
  <r>
    <s v="62a3e32bd8c00e9f541ad5f0"/>
    <s v="anonymous"/>
    <d v="2022-06-10T00:00:00"/>
    <d v="1899-12-30T20:34:00"/>
    <d v="1899-12-30T00:01:44"/>
    <m/>
    <m/>
    <m/>
    <m/>
    <m/>
    <s v="Other"/>
    <x v="1"/>
    <s v="41k-65k"/>
    <n v="53"/>
    <s v="Education"/>
    <s v="Other"/>
    <x v="2"/>
    <n v="1"/>
    <n v="10"/>
    <n v="5"/>
    <n v="0"/>
    <n v="0"/>
    <s v="Difficult"/>
    <s v="Better Salary"/>
    <s v="Female"/>
    <n v="42"/>
    <s v="United States"/>
    <s v="Bachelors"/>
    <s v="White or Caucasian"/>
  </r>
  <r>
    <s v="62a3ecf7bc6861bf3177d5c2"/>
    <s v="anonymous"/>
    <d v="2022-06-10T00:00:00"/>
    <d v="1899-12-30T21:16:00"/>
    <d v="1899-12-30T00:01:40"/>
    <m/>
    <m/>
    <m/>
    <m/>
    <m/>
    <s v="Data Analyst"/>
    <x v="0"/>
    <s v="66k-85k"/>
    <n v="76"/>
    <s v="Healthcare"/>
    <s v="Python"/>
    <x v="6"/>
    <n v="5"/>
    <n v="4"/>
    <n v="6"/>
    <n v="4"/>
    <n v="6"/>
    <s v="Easy"/>
    <s v="Remote Work"/>
    <s v="Male"/>
    <n v="30"/>
    <s v="United States"/>
    <s v="Masters"/>
    <s v="White or Caucasian"/>
  </r>
  <r>
    <s v="62a3eea9bae91e4b8b8401a4"/>
    <s v="anonymous"/>
    <d v="2022-06-10T00:00:00"/>
    <d v="1899-12-30T21:23:00"/>
    <d v="1899-12-30T00:01:57"/>
    <m/>
    <m/>
    <m/>
    <m/>
    <m/>
    <s v="Student"/>
    <x v="0"/>
    <s v="0-40k"/>
    <n v="20"/>
    <s v="Other"/>
    <s v="Python"/>
    <x v="2"/>
    <n v="0"/>
    <n v="0"/>
    <n v="0"/>
    <n v="0"/>
    <n v="4"/>
    <s v="Very Difficult"/>
    <s v="Better Salary"/>
    <s v="Female"/>
    <n v="25"/>
    <s v="Other"/>
    <s v="Bachelors"/>
    <s v="Black or African American"/>
  </r>
  <r>
    <s v="62a3f39df8d5efcc22f8ddc2"/>
    <s v="anonymous"/>
    <d v="2022-06-10T00:00:00"/>
    <d v="1899-12-30T21:45:00"/>
    <d v="1899-12-30T01:09:45"/>
    <m/>
    <m/>
    <m/>
    <m/>
    <m/>
    <s v="Data Analyst"/>
    <x v="1"/>
    <s v="86k-105k"/>
    <n v="96"/>
    <s v="Healthcare"/>
    <s v="Python"/>
    <x v="8"/>
    <n v="9"/>
    <n v="5"/>
    <n v="2"/>
    <n v="5"/>
    <n v="1"/>
    <s v="Difficult"/>
    <s v="Good Culture"/>
    <s v="Female"/>
    <n v="28"/>
    <s v="United States"/>
    <s v="Bachelors"/>
    <s v="Asian or Asian American"/>
  </r>
  <r>
    <s v="62a3f6a25d257a28a30e9d02"/>
    <s v="anonymous"/>
    <d v="2022-06-10T00:00:00"/>
    <d v="1899-12-30T21:57:00"/>
    <d v="1899-12-30T00:04:54"/>
    <m/>
    <m/>
    <m/>
    <m/>
    <m/>
    <s v="Data Analyst"/>
    <x v="0"/>
    <s v="0-40k"/>
    <n v="20"/>
    <s v="Other"/>
    <s v="Python"/>
    <x v="8"/>
    <n v="10"/>
    <n v="8"/>
    <n v="5"/>
    <n v="7"/>
    <n v="10"/>
    <s v="Very Difficult"/>
    <s v="Other"/>
    <s v="Male"/>
    <n v="28"/>
    <s v="Canada"/>
    <s v="Bachelors"/>
    <s v="Asian or Asian American"/>
  </r>
  <r>
    <s v="62a3f6d9bae91e4b8b8408ca"/>
    <s v="anonymous"/>
    <d v="2022-06-10T00:00:00"/>
    <d v="1899-12-30T21:58:00"/>
    <d v="1899-12-30T00:00:59"/>
    <m/>
    <m/>
    <m/>
    <m/>
    <m/>
    <s v="Student"/>
    <x v="1"/>
    <s v="0-40k"/>
    <n v="20"/>
    <s v="Other"/>
    <s v="Other"/>
    <x v="2"/>
    <n v="0"/>
    <n v="0"/>
    <n v="0"/>
    <n v="0"/>
    <n v="0"/>
    <s v="Neither easy nor difficult"/>
    <s v="Better Salary"/>
    <s v="Male"/>
    <n v="20"/>
    <s v="Other"/>
    <s v="High School"/>
    <s v="Asian or Asian American"/>
  </r>
  <r>
    <s v="62a3fc7c7dc029e2d66d10e8"/>
    <s v="anonymous"/>
    <d v="2022-06-10T00:00:00"/>
    <d v="1899-12-30T22:22:00"/>
    <d v="1899-12-30T00:02:26"/>
    <m/>
    <m/>
    <m/>
    <m/>
    <m/>
    <s v="Data Analyst"/>
    <x v="0"/>
    <s v="106k-125k"/>
    <n v="116"/>
    <s v="Construction"/>
    <s v="Other"/>
    <x v="7"/>
    <n v="8"/>
    <n v="7"/>
    <n v="7"/>
    <n v="10"/>
    <n v="10"/>
    <s v="Easy"/>
    <s v="Good Culture"/>
    <s v="Male"/>
    <n v="33"/>
    <s v="United States"/>
    <s v="Masters"/>
    <s v="Hispanic or Latino"/>
  </r>
  <r>
    <s v="62a3fe0d5d257a28a30ea3c8"/>
    <s v="anonymous"/>
    <d v="2022-06-10T00:00:00"/>
    <d v="1899-12-30T22:29:00"/>
    <d v="1899-12-30T00:12:09"/>
    <m/>
    <m/>
    <m/>
    <m/>
    <m/>
    <s v="Data Analyst"/>
    <x v="1"/>
    <s v="66k-85k"/>
    <n v="76"/>
    <s v="Tech"/>
    <s v="Python"/>
    <x v="10"/>
    <n v="6"/>
    <n v="7"/>
    <n v="7"/>
    <n v="8"/>
    <n v="8"/>
    <s v="Easy"/>
    <s v="Better Salary"/>
    <s v="Male"/>
    <n v="23"/>
    <s v="United States"/>
    <s v="Associates"/>
    <s v="White or Caucasian"/>
  </r>
  <r>
    <s v="62a3fea50a77c1a77f66e41b"/>
    <s v="anonymous"/>
    <d v="2022-06-10T00:00:00"/>
    <d v="1899-12-30T22:32:00"/>
    <d v="1899-12-30T00:00:43"/>
    <m/>
    <m/>
    <m/>
    <m/>
    <m/>
    <s v="Data Analyst"/>
    <x v="0"/>
    <s v="0-40k"/>
    <n v="20"/>
    <s v="Healthcare"/>
    <s v="R"/>
    <x v="5"/>
    <n v="5"/>
    <n v="7"/>
    <n v="7"/>
    <n v="5"/>
    <n v="7"/>
    <s v="Neither easy nor difficult"/>
    <s v="Better Salary"/>
    <s v="Female"/>
    <n v="35"/>
    <s v="Other"/>
    <s v="Bachelors"/>
    <s v="Hispanic or Latino"/>
  </r>
  <r>
    <s v="62a40276bc6861bf3177e6fd"/>
    <s v="anonymous"/>
    <d v="2022-06-10T00:00:00"/>
    <d v="1899-12-30T22:48:00"/>
    <d v="1899-12-30T00:04:01"/>
    <m/>
    <m/>
    <m/>
    <m/>
    <m/>
    <s v="Student"/>
    <x v="0"/>
    <s v="0-40k"/>
    <n v="20"/>
    <s v="Other"/>
    <s v="Python"/>
    <x v="4"/>
    <n v="2"/>
    <n v="3"/>
    <n v="3"/>
    <n v="2"/>
    <n v="3"/>
    <s v="Difficult"/>
    <s v="Good Work/Life Balance"/>
    <s v="Male"/>
    <n v="22"/>
    <s v="India"/>
    <s v="Bachelors"/>
    <s v="Asian or Asian American"/>
  </r>
  <r>
    <s v="62a403bbf8d5efcc22f8eb18"/>
    <s v="anonymous"/>
    <d v="2022-06-10T00:00:00"/>
    <d v="1899-12-30T22:53:00"/>
    <d v="1899-12-30T00:02:40"/>
    <m/>
    <m/>
    <m/>
    <m/>
    <m/>
    <s v="Data Analyst"/>
    <x v="0"/>
    <s v="0-40k"/>
    <n v="20"/>
    <s v="Tech"/>
    <s v="Python"/>
    <x v="8"/>
    <n v="10"/>
    <n v="5"/>
    <n v="6"/>
    <n v="6"/>
    <n v="8"/>
    <s v="Very Difficult"/>
    <s v="Better Salary"/>
    <s v="Male"/>
    <n v="33"/>
    <s v="India"/>
    <s v="Bachelors"/>
    <s v="Asian or Asian American"/>
  </r>
  <r>
    <s v="62a403d30f8c8599d5b03d65"/>
    <s v="anonymous"/>
    <d v="2022-06-10T00:00:00"/>
    <d v="1899-12-30T22:54:00"/>
    <d v="1899-12-30T00:00:59"/>
    <m/>
    <m/>
    <m/>
    <m/>
    <m/>
    <s v="Data Engineer"/>
    <x v="1"/>
    <s v="0-40k"/>
    <n v="20"/>
    <s v="Real Estate"/>
    <s v="Python"/>
    <x v="1"/>
    <n v="7"/>
    <n v="7"/>
    <n v="7"/>
    <n v="1"/>
    <n v="2"/>
    <s v="Very Easy"/>
    <s v="Better Salary"/>
    <s v="Male"/>
    <n v="22"/>
    <s v="United States"/>
    <s v="Bachelors"/>
    <s v="White or Caucasian"/>
  </r>
  <r>
    <s v="62a4044acf25554317312a81"/>
    <s v="anonymous"/>
    <d v="2022-06-10T00:00:00"/>
    <d v="1899-12-30T22:56:00"/>
    <d v="1899-12-30T00:03:27"/>
    <m/>
    <m/>
    <m/>
    <m/>
    <m/>
    <s v="Data Analyst"/>
    <x v="0"/>
    <s v="86k-105k"/>
    <n v="96"/>
    <s v="Other"/>
    <s v="R"/>
    <x v="7"/>
    <n v="8"/>
    <n v="8"/>
    <n v="7"/>
    <n v="5"/>
    <n v="9"/>
    <s v="Neither easy nor difficult"/>
    <s v="Remote Work"/>
    <s v="Male"/>
    <n v="35"/>
    <s v="United States"/>
    <s v="Bachelors"/>
    <s v="White or Caucasian"/>
  </r>
  <r>
    <s v="62a4061bf408bae018ee5deb"/>
    <s v="anonymous"/>
    <d v="2022-06-10T00:00:00"/>
    <d v="1899-12-30T23:03:00"/>
    <d v="1899-12-30T00:02:55"/>
    <m/>
    <m/>
    <m/>
    <m/>
    <m/>
    <s v="Data Analyst"/>
    <x v="0"/>
    <s v="66k-85k"/>
    <n v="76"/>
    <s v="Agriculture"/>
    <s v="Other"/>
    <x v="10"/>
    <n v="5"/>
    <n v="6"/>
    <n v="4"/>
    <n v="4"/>
    <n v="8"/>
    <s v="Easy"/>
    <s v="Good Work/Life Balance"/>
    <s v="Female"/>
    <n v="37"/>
    <s v="United States"/>
    <s v="Masters"/>
    <s v="White or Caucasian"/>
  </r>
  <r>
    <s v="62a40726575fa3a5ae89d990"/>
    <s v="anonymous"/>
    <d v="2022-06-10T00:00:00"/>
    <d v="1899-12-30T23:08:00"/>
    <d v="1899-12-30T00:00:51"/>
    <m/>
    <m/>
    <m/>
    <m/>
    <m/>
    <s v="Student"/>
    <x v="0"/>
    <s v="0-40k"/>
    <n v="20"/>
    <s v="Finance"/>
    <s v="Python"/>
    <x v="5"/>
    <m/>
    <m/>
    <m/>
    <m/>
    <m/>
    <s v="Very Easy"/>
    <s v="Better Salary"/>
    <s v="Male"/>
    <n v="22"/>
    <s v="United States"/>
    <s v="Associates"/>
    <s v="Other"/>
  </r>
  <r>
    <s v="62a4098124a2626027394ddc"/>
    <s v="anonymous"/>
    <d v="2022-06-10T00:00:00"/>
    <d v="1899-12-30T23:18:00"/>
    <d v="1899-12-30T00:02:12"/>
    <m/>
    <m/>
    <m/>
    <m/>
    <m/>
    <s v="Data Analyst"/>
    <x v="0"/>
    <s v="66k-85k"/>
    <n v="76"/>
    <s v="Healthcare"/>
    <s v="Python"/>
    <x v="3"/>
    <n v="10"/>
    <n v="10"/>
    <n v="7"/>
    <n v="10"/>
    <n v="10"/>
    <s v="Neither easy nor difficult"/>
    <s v="Better Salary"/>
    <s v="Male"/>
    <n v="36"/>
    <s v="United States"/>
    <s v="Masters"/>
    <s v="White or Caucasian"/>
  </r>
  <r>
    <s v="62a40c99575fa3a5ae89de4b"/>
    <s v="anonymous"/>
    <d v="2022-06-10T00:00:00"/>
    <d v="1899-12-30T23:31:00"/>
    <d v="1899-12-30T00:02:29"/>
    <m/>
    <m/>
    <m/>
    <m/>
    <m/>
    <s v="Data Scientist"/>
    <x v="0"/>
    <s v="86k-105k"/>
    <n v="96"/>
    <s v="Other"/>
    <s v="Python"/>
    <x v="9"/>
    <n v="5"/>
    <n v="8"/>
    <n v="8"/>
    <n v="7"/>
    <n v="9"/>
    <s v="Easy"/>
    <s v="Good Work/Life Balance"/>
    <s v="Male"/>
    <n v="26"/>
    <s v="India"/>
    <s v="Bachelors"/>
    <s v="Hispanic or Latino"/>
  </r>
  <r>
    <s v="62a40d86d8c00e9f541afb5e"/>
    <s v="anonymous"/>
    <d v="2022-06-10T00:00:00"/>
    <d v="1899-12-30T23:35:00"/>
    <d v="1899-12-30T00:05:15"/>
    <m/>
    <m/>
    <m/>
    <m/>
    <m/>
    <s v="Data Analyst"/>
    <x v="0"/>
    <s v="0-40k"/>
    <n v="20"/>
    <s v="Other"/>
    <s v="R"/>
    <x v="6"/>
    <n v="2"/>
    <n v="6"/>
    <n v="5"/>
    <n v="5"/>
    <n v="6"/>
    <s v="Neither easy nor difficult"/>
    <s v="Good Culture"/>
    <s v="Female"/>
    <n v="25"/>
    <s v="Other"/>
    <s v="Bachelors"/>
    <s v="Asian or Asian American"/>
  </r>
  <r>
    <s v="62a40da3cf255543173132e2"/>
    <s v="anonymous"/>
    <d v="2022-06-10T00:00:00"/>
    <d v="1899-12-30T23:36:00"/>
    <d v="1899-12-30T00:02:55"/>
    <m/>
    <m/>
    <m/>
    <m/>
    <m/>
    <s v="Data Analyst"/>
    <x v="0"/>
    <s v="41k-65k"/>
    <n v="53"/>
    <s v="Other"/>
    <s v="R"/>
    <x v="5"/>
    <n v="6"/>
    <n v="6"/>
    <n v="5"/>
    <n v="5"/>
    <n v="6"/>
    <s v="Neither easy nor difficult"/>
    <s v="Remote Work"/>
    <s v="Female"/>
    <n v="34"/>
    <s v="United States"/>
    <s v="High School"/>
    <s v="White or Caucasian"/>
  </r>
  <r>
    <s v="62a40dfa5d257a28a30eb110"/>
    <s v="anonymous"/>
    <d v="2022-06-10T00:00:00"/>
    <d v="1899-12-30T23:37:00"/>
    <d v="1899-12-30T00:02:58"/>
    <m/>
    <m/>
    <m/>
    <m/>
    <m/>
    <s v="Data Analyst"/>
    <x v="0"/>
    <s v="0-40k"/>
    <n v="20"/>
    <s v="Other"/>
    <s v="Python"/>
    <x v="5"/>
    <n v="8"/>
    <n v="8"/>
    <n v="8"/>
    <n v="7"/>
    <n v="8"/>
    <s v="Difficult"/>
    <s v="Remote Work"/>
    <s v="Male"/>
    <n v="33"/>
    <s v="Other"/>
    <s v="Bachelors"/>
    <s v="Hispanic or Latino"/>
  </r>
  <r>
    <s v="62a410b5cec54911e9cb8262"/>
    <s v="anonymous"/>
    <d v="2022-06-10T00:00:00"/>
    <d v="1899-12-30T23:49:00"/>
    <d v="1899-12-30T00:02:00"/>
    <m/>
    <m/>
    <m/>
    <m/>
    <m/>
    <s v="Student"/>
    <x v="1"/>
    <s v="41k-65k"/>
    <n v="53"/>
    <s v="Other"/>
    <s v="Python"/>
    <x v="2"/>
    <n v="4"/>
    <n v="0"/>
    <n v="1"/>
    <n v="4"/>
    <n v="2"/>
    <s v="Very Difficult"/>
    <s v="Good Work/Life Balance"/>
    <s v="Male"/>
    <n v="37"/>
    <s v="United States"/>
    <s v="Bachelors"/>
    <s v="White or Caucasian"/>
  </r>
  <r>
    <s v="62a41135bc6861bf3177f3d8"/>
    <s v="anonymous"/>
    <d v="2022-06-10T00:00:00"/>
    <d v="1899-12-30T23:51:00"/>
    <d v="1899-12-30T00:01:27"/>
    <m/>
    <m/>
    <m/>
    <m/>
    <m/>
    <s v="Data Analyst"/>
    <x v="1"/>
    <s v="66k-85k"/>
    <n v="76"/>
    <s v="Other"/>
    <s v="Python"/>
    <x v="8"/>
    <n v="5"/>
    <n v="7"/>
    <n v="6"/>
    <n v="4"/>
    <n v="6"/>
    <s v="Very Easy"/>
    <s v="Better Salary"/>
    <s v="Female"/>
    <n v="54"/>
    <s v="United States"/>
    <s v="High School"/>
    <s v="White or Caucasian"/>
  </r>
  <r>
    <s v="62a41795cec54911e9cb8854"/>
    <s v="anonymous"/>
    <d v="2022-06-11T00:00:00"/>
    <d v="1899-12-30T00:18:00"/>
    <d v="1899-12-30T00:00:59"/>
    <m/>
    <m/>
    <m/>
    <m/>
    <m/>
    <s v="Data Analyst"/>
    <x v="0"/>
    <s v="0-40k"/>
    <n v="20"/>
    <s v="Finance"/>
    <s v="Python"/>
    <x v="4"/>
    <m/>
    <m/>
    <m/>
    <m/>
    <m/>
    <s v="Very Easy"/>
    <s v="Better Salary"/>
    <s v="Male"/>
    <n v="26"/>
    <s v="India"/>
    <s v="Bachelors"/>
    <s v="Asian or Asian American"/>
  </r>
  <r>
    <s v="62a41964d8c00e9f541b061d"/>
    <s v="anonymous"/>
    <d v="2022-06-11T00:00:00"/>
    <d v="1899-12-30T00:26:00"/>
    <d v="1899-12-30T00:01:49"/>
    <m/>
    <m/>
    <m/>
    <m/>
    <m/>
    <s v="Data Analyst"/>
    <x v="1"/>
    <s v="41k-65k"/>
    <n v="53"/>
    <s v="Education"/>
    <s v="R"/>
    <x v="5"/>
    <n v="7"/>
    <n v="7"/>
    <n v="7"/>
    <n v="2"/>
    <n v="7"/>
    <s v="Neither easy nor difficult"/>
    <s v="Better Salary"/>
    <s v="Female"/>
    <n v="27"/>
    <s v="United States"/>
    <s v="Masters"/>
    <s v="Hispanic or Latino"/>
  </r>
  <r>
    <s v="62a41968f8d5efcc22f8fd44"/>
    <s v="anonymous"/>
    <d v="2022-06-11T00:00:00"/>
    <d v="1899-12-30T00:26:00"/>
    <d v="1899-12-30T00:02:20"/>
    <m/>
    <m/>
    <m/>
    <m/>
    <m/>
    <s v="Database Developer"/>
    <x v="0"/>
    <s v="0-40k"/>
    <n v="20"/>
    <s v="Telecommunication"/>
    <s v="Other"/>
    <x v="4"/>
    <n v="3"/>
    <n v="6"/>
    <n v="6"/>
    <n v="3"/>
    <n v="5"/>
    <s v="Difficult"/>
    <s v="Better Salary"/>
    <s v="Male"/>
    <n v="24"/>
    <s v="United Kingdom"/>
    <s v="Bachelors"/>
    <s v="White or Caucasian"/>
  </r>
  <r>
    <s v="62a41e23bc6861bf3177fffb"/>
    <s v="anonymous"/>
    <d v="2022-06-11T00:00:00"/>
    <d v="1899-12-30T00:46:00"/>
    <d v="1899-12-30T00:01:41"/>
    <m/>
    <m/>
    <m/>
    <m/>
    <m/>
    <s v="Data Analyst"/>
    <x v="0"/>
    <s v="0-40k"/>
    <n v="20"/>
    <s v="Finance"/>
    <s v="Python"/>
    <x v="8"/>
    <n v="5"/>
    <n v="5"/>
    <n v="5"/>
    <n v="5"/>
    <n v="10"/>
    <s v="Neither easy nor difficult"/>
    <s v="Better Salary"/>
    <s v="Male"/>
    <n v="24"/>
    <s v="Other"/>
    <s v="Bachelors"/>
    <s v="White or Caucasian"/>
  </r>
  <r>
    <s v="62a421cebc6861bf317803f5"/>
    <s v="anonymous"/>
    <d v="2022-06-11T00:00:00"/>
    <d v="1899-12-30T01:02:00"/>
    <d v="1899-12-30T00:01:29"/>
    <m/>
    <m/>
    <m/>
    <m/>
    <m/>
    <s v="Other"/>
    <x v="0"/>
    <s v="0-40k"/>
    <n v="20"/>
    <s v="Other"/>
    <s v="Python"/>
    <x v="6"/>
    <n v="4"/>
    <n v="5"/>
    <n v="3"/>
    <n v="2"/>
    <n v="3"/>
    <s v="Neither easy nor difficult"/>
    <s v="Better Salary"/>
    <s v="Male"/>
    <n v="27"/>
    <s v="Other"/>
    <s v="Bachelors"/>
    <s v="White or Caucasian"/>
  </r>
  <r>
    <s v="62a42243f8d5efcc22f90c55"/>
    <s v="anonymous"/>
    <d v="2022-06-11T00:00:00"/>
    <d v="1899-12-30T01:04:00"/>
    <d v="1899-12-30T00:01:37"/>
    <m/>
    <m/>
    <m/>
    <m/>
    <m/>
    <s v="Student"/>
    <x v="1"/>
    <s v="0-40k"/>
    <n v="20"/>
    <s v="Other"/>
    <s v="Python"/>
    <x v="2"/>
    <n v="0"/>
    <n v="0"/>
    <n v="0"/>
    <n v="0"/>
    <n v="0"/>
    <s v="Very Difficult"/>
    <s v="Remote Work"/>
    <s v="Male"/>
    <n v="25"/>
    <s v="Other"/>
    <s v="Bachelors"/>
    <s v="Asian or Asian American"/>
  </r>
  <r>
    <s v="62a424ccd8c00e9f541b114e"/>
    <s v="anonymous"/>
    <d v="2022-06-11T00:00:00"/>
    <d v="1899-12-30T01:14:00"/>
    <d v="1899-12-30T00:02:47"/>
    <m/>
    <m/>
    <m/>
    <m/>
    <m/>
    <s v="Data Analyst"/>
    <x v="0"/>
    <s v="0-40k"/>
    <n v="20"/>
    <s v="Tech"/>
    <s v="Python"/>
    <x v="1"/>
    <n v="7"/>
    <n v="7"/>
    <n v="7"/>
    <n v="7"/>
    <n v="1"/>
    <s v="Difficult"/>
    <s v="Better Salary"/>
    <s v="Female"/>
    <n v="28"/>
    <s v="United Kingdom"/>
    <s v="Masters"/>
    <s v="Black or African American"/>
  </r>
  <r>
    <s v="62a42527b4da29969c6423f7"/>
    <s v="anonymous"/>
    <d v="2022-06-11T00:00:00"/>
    <d v="1899-12-30T01:16:00"/>
    <d v="1899-12-30T00:01:23"/>
    <m/>
    <m/>
    <m/>
    <m/>
    <m/>
    <s v="Other"/>
    <x v="1"/>
    <s v="41k-65k"/>
    <n v="53"/>
    <s v="Education"/>
    <s v="Python"/>
    <x v="6"/>
    <n v="6"/>
    <n v="5"/>
    <n v="5"/>
    <n v="3"/>
    <n v="4"/>
    <s v="Easy"/>
    <s v="Remote Work"/>
    <s v="Male"/>
    <n v="21"/>
    <s v="United States"/>
    <s v="Bachelors"/>
    <s v="Asian or Asian American"/>
  </r>
  <r>
    <s v="62a425ec2e54c9003e5467bf"/>
    <s v="anonymous"/>
    <d v="2022-06-11T00:00:00"/>
    <d v="1899-12-30T01:19:00"/>
    <d v="1899-12-30T00:01:15"/>
    <m/>
    <m/>
    <m/>
    <m/>
    <m/>
    <s v="Data Analyst"/>
    <x v="0"/>
    <s v="86k-105k"/>
    <n v="96"/>
    <s v="Healthcare"/>
    <s v="Other"/>
    <x v="5"/>
    <n v="4"/>
    <n v="5"/>
    <n v="5"/>
    <n v="4"/>
    <n v="6"/>
    <s v="Difficult"/>
    <s v="Good Work/Life Balance"/>
    <s v="Female"/>
    <n v="28"/>
    <s v="United States"/>
    <s v="Bachelors"/>
    <s v="White or Caucasian"/>
  </r>
  <r>
    <s v="62a427190a77c1a77f67095c"/>
    <s v="anonymous"/>
    <d v="2022-06-11T00:00:00"/>
    <d v="1899-12-30T01:24:00"/>
    <d v="1899-12-30T00:03:20"/>
    <m/>
    <m/>
    <m/>
    <m/>
    <m/>
    <s v="Data Analyst"/>
    <x v="0"/>
    <s v="0-40k"/>
    <n v="20"/>
    <s v="Tech"/>
    <s v="Python"/>
    <x v="6"/>
    <n v="5"/>
    <n v="5"/>
    <n v="5"/>
    <n v="5"/>
    <n v="2"/>
    <s v="Neither easy nor difficult"/>
    <s v="Remote Work"/>
    <s v="Male"/>
    <n v="30"/>
    <s v="Other"/>
    <s v="Masters"/>
    <s v="Black or African American"/>
  </r>
  <r>
    <s v="62a429f0f3072dd892636396"/>
    <s v="anonymous"/>
    <d v="2022-06-11T00:00:00"/>
    <d v="1899-12-30T01:36:00"/>
    <d v="1899-12-30T00:02:39"/>
    <m/>
    <m/>
    <m/>
    <m/>
    <m/>
    <s v="Data Analyst"/>
    <x v="1"/>
    <s v="0-40k"/>
    <n v="20"/>
    <s v="Education"/>
    <s v="Python"/>
    <x v="2"/>
    <n v="10"/>
    <n v="0"/>
    <n v="9"/>
    <n v="5"/>
    <n v="10"/>
    <s v="Easy"/>
    <s v="Remote Work"/>
    <s v="Male"/>
    <n v="24"/>
    <s v="Other"/>
    <s v="Associates"/>
    <s v="Black or African American"/>
  </r>
  <r>
    <s v="62a42d6ef8d5efcc22f9178a"/>
    <s v="anonymous"/>
    <d v="2022-06-11T00:00:00"/>
    <d v="1899-12-30T01:51:00"/>
    <d v="1899-12-30T00:02:01"/>
    <m/>
    <m/>
    <m/>
    <m/>
    <m/>
    <s v="Data Analyst"/>
    <x v="0"/>
    <s v="0-40k"/>
    <n v="20"/>
    <s v="Healthcare"/>
    <s v="Python"/>
    <x v="7"/>
    <n v="4"/>
    <n v="6"/>
    <n v="5"/>
    <n v="6"/>
    <n v="6"/>
    <s v="Difficult"/>
    <s v="Remote Work"/>
    <s v="Male"/>
    <n v="26"/>
    <s v="India"/>
    <s v="Bachelors"/>
    <s v="Other"/>
  </r>
  <r>
    <s v="62a436fd24a2626027397c93"/>
    <s v="anonymous"/>
    <d v="2022-06-11T00:00:00"/>
    <d v="1899-12-30T02:32:00"/>
    <d v="1899-12-30T00:03:23"/>
    <m/>
    <m/>
    <m/>
    <m/>
    <m/>
    <s v="Data Analyst"/>
    <x v="0"/>
    <s v="0-40k"/>
    <n v="20"/>
    <s v="Tech"/>
    <s v="Python"/>
    <x v="11"/>
    <m/>
    <m/>
    <m/>
    <m/>
    <n v="5"/>
    <s v="Neither easy nor difficult"/>
    <s v="Good Work/Life Balance"/>
    <s v="Female"/>
    <n v="19"/>
    <s v="Other"/>
    <s v="High School"/>
    <s v="Asian or Asian American"/>
  </r>
  <r>
    <s v="62a43e86f408bae018ee913a"/>
    <s v="anonymous"/>
    <d v="2022-06-11T00:00:00"/>
    <d v="1899-12-30T03:04:00"/>
    <d v="1899-12-30T00:04:03"/>
    <m/>
    <m/>
    <m/>
    <m/>
    <m/>
    <s v="Student"/>
    <x v="1"/>
    <s v="0-40k"/>
    <n v="20"/>
    <s v="Other"/>
    <s v="Python"/>
    <x v="8"/>
    <n v="6"/>
    <n v="6"/>
    <n v="5"/>
    <n v="1"/>
    <n v="3"/>
    <s v="Neither easy nor difficult"/>
    <s v="Good Work/Life Balance"/>
    <s v="Female"/>
    <n v="92"/>
    <s v="India"/>
    <s v="Masters"/>
    <s v="Asian or Asian American"/>
  </r>
  <r>
    <s v="62a43ed4f8d5efcc22f92d0a"/>
    <s v="anonymous"/>
    <d v="2022-06-11T00:00:00"/>
    <d v="1899-12-30T03:05:00"/>
    <d v="1899-12-30T00:02:33"/>
    <m/>
    <m/>
    <m/>
    <m/>
    <m/>
    <s v="Data Analyst"/>
    <x v="0"/>
    <s v="0-40k"/>
    <n v="20"/>
    <s v="Healthcare"/>
    <s v="Python"/>
    <x v="1"/>
    <n v="8"/>
    <n v="5"/>
    <n v="1"/>
    <n v="7"/>
    <n v="8"/>
    <s v="Neither easy nor difficult"/>
    <s v="Remote Work"/>
    <s v="Male"/>
    <n v="28"/>
    <s v="Other"/>
    <s v="Bachelors"/>
    <s v="Black or African American"/>
  </r>
  <r>
    <s v="62a43f43f408bae018ee9281"/>
    <s v="anonymous"/>
    <d v="2022-06-11T00:00:00"/>
    <d v="1899-12-30T03:07:00"/>
    <d v="1899-12-30T00:01:34"/>
    <m/>
    <m/>
    <m/>
    <m/>
    <m/>
    <s v="Student"/>
    <x v="0"/>
    <s v="0-40k"/>
    <n v="20"/>
    <s v="Education"/>
    <s v="Python"/>
    <x v="2"/>
    <n v="1"/>
    <n v="2"/>
    <n v="2"/>
    <n v="1"/>
    <n v="1"/>
    <s v="Neither easy nor difficult"/>
    <s v="Better Salary"/>
    <s v="Female"/>
    <n v="24"/>
    <s v="India"/>
    <s v="Masters"/>
    <s v="Asian or Asian American"/>
  </r>
  <r>
    <s v="62a440ab575fa3a5ae8a1418"/>
    <s v="anonymous"/>
    <d v="2022-06-11T00:00:00"/>
    <d v="1899-12-30T03:13:00"/>
    <d v="1899-12-30T00:03:39"/>
    <m/>
    <m/>
    <m/>
    <m/>
    <m/>
    <s v="Other"/>
    <x v="1"/>
    <s v="41k-65k"/>
    <n v="53"/>
    <s v="Healthcare"/>
    <s v="Python"/>
    <x v="7"/>
    <n v="10"/>
    <n v="10"/>
    <n v="10"/>
    <n v="5"/>
    <n v="10"/>
    <s v="Easy"/>
    <s v="Better Salary"/>
    <s v="Male"/>
    <n v="25"/>
    <s v="United States"/>
    <s v="Masters"/>
    <s v="Asian or Asian American"/>
  </r>
  <r>
    <s v="62a441e3575fa3a5ae8a1552"/>
    <s v="anonymous"/>
    <d v="2022-06-11T00:00:00"/>
    <d v="1899-12-30T03:18:00"/>
    <d v="1899-12-30T00:04:04"/>
    <m/>
    <m/>
    <m/>
    <m/>
    <m/>
    <s v="Data Analyst"/>
    <x v="0"/>
    <s v="41k-65k"/>
    <n v="53"/>
    <s v="Finance"/>
    <s v="Python"/>
    <x v="5"/>
    <n v="5"/>
    <n v="5"/>
    <n v="5"/>
    <n v="6"/>
    <n v="6"/>
    <s v="Neither easy nor difficult"/>
    <s v="Good Work/Life Balance"/>
    <s v="Male"/>
    <n v="42"/>
    <s v="United Kingdom"/>
    <s v="Masters"/>
    <s v="Black or African American"/>
  </r>
  <r>
    <s v="62a446faf8f7561645868c60"/>
    <s v="anonymous"/>
    <d v="2022-06-11T00:00:00"/>
    <d v="1899-12-30T03:40:00"/>
    <d v="1899-12-30T00:01:05"/>
    <m/>
    <m/>
    <m/>
    <m/>
    <m/>
    <s v="Data Analyst"/>
    <x v="0"/>
    <s v="0-40k"/>
    <n v="20"/>
    <s v="Tech"/>
    <s v="Python"/>
    <x v="4"/>
    <n v="3"/>
    <n v="3"/>
    <n v="3"/>
    <n v="3"/>
    <n v="3"/>
    <s v="Difficult"/>
    <s v="Better Salary"/>
    <s v="Male"/>
    <n v="21"/>
    <s v="India"/>
    <s v="Bachelors"/>
    <s v="Asian or Asian American"/>
  </r>
  <r>
    <s v="62a448832e54c9003e5491c5"/>
    <s v="anonymous"/>
    <d v="2022-06-11T00:00:00"/>
    <d v="1899-12-30T03:47:00"/>
    <d v="1899-12-30T00:02:36"/>
    <m/>
    <m/>
    <m/>
    <m/>
    <m/>
    <s v="Data Analyst"/>
    <x v="1"/>
    <s v="66k-85k"/>
    <n v="76"/>
    <s v="Healthcare"/>
    <s v="Python"/>
    <x v="7"/>
    <n v="8"/>
    <n v="9"/>
    <n v="7"/>
    <n v="7"/>
    <n v="6"/>
    <s v="Easy"/>
    <s v="Better Salary"/>
    <s v="Male"/>
    <n v="24"/>
    <s v="United States"/>
    <s v="Bachelors"/>
    <s v="White or Caucasian"/>
  </r>
  <r>
    <s v="62a44ae2f8f7561645869335"/>
    <s v="anonymous"/>
    <d v="2022-06-11T00:00:00"/>
    <d v="1899-12-30T03:57:00"/>
    <d v="1899-12-30T00:02:32"/>
    <m/>
    <m/>
    <m/>
    <m/>
    <m/>
    <s v="Data Analyst"/>
    <x v="0"/>
    <s v="41k-65k"/>
    <n v="53"/>
    <s v="Healthcare"/>
    <s v="Python"/>
    <x v="5"/>
    <n v="7"/>
    <n v="6"/>
    <n v="6"/>
    <n v="6"/>
    <n v="7"/>
    <s v="Neither easy nor difficult"/>
    <s v="Better Salary"/>
    <s v="Female"/>
    <n v="26"/>
    <s v="United States"/>
    <s v="Bachelors"/>
    <s v="White or Caucasian"/>
  </r>
  <r>
    <s v="62a44bc7bc6861bf31783829"/>
    <s v="anonymous"/>
    <d v="2022-06-11T00:00:00"/>
    <d v="1899-12-30T04:01:00"/>
    <d v="1899-12-30T00:01:16"/>
    <m/>
    <m/>
    <m/>
    <m/>
    <m/>
    <s v="Data Analyst"/>
    <x v="0"/>
    <s v="0-40k"/>
    <n v="20"/>
    <s v="Other"/>
    <s v="Python"/>
    <x v="4"/>
    <n v="8"/>
    <n v="8"/>
    <n v="9"/>
    <n v="8"/>
    <n v="10"/>
    <s v="Difficult"/>
    <s v="Better Salary"/>
    <s v="Male"/>
    <n v="30"/>
    <s v="United Kingdom"/>
    <s v="Bachelors"/>
    <s v="White or Caucasian"/>
  </r>
  <r>
    <s v="62a44ea3f408bae018eea62a"/>
    <s v="anonymous"/>
    <d v="2022-06-11T00:00:00"/>
    <d v="1899-12-30T04:13:00"/>
    <d v="1899-12-30T00:05:51"/>
    <m/>
    <m/>
    <m/>
    <m/>
    <m/>
    <s v="Data Engineer"/>
    <x v="0"/>
    <s v="86k-105k"/>
    <n v="96"/>
    <s v="Other"/>
    <s v="Other"/>
    <x v="9"/>
    <n v="10"/>
    <n v="10"/>
    <n v="10"/>
    <n v="10"/>
    <n v="10"/>
    <s v="Neither easy nor difficult"/>
    <s v="Good Culture"/>
    <s v="Male"/>
    <n v="27"/>
    <s v="United States"/>
    <s v="Bachelors"/>
    <s v="Black or African American"/>
  </r>
  <r>
    <s v="62a4514ff408bae018eea94d"/>
    <s v="anonymous"/>
    <d v="2022-06-11T00:00:00"/>
    <d v="1899-12-30T04:24:00"/>
    <d v="1899-12-30T00:02:01"/>
    <m/>
    <m/>
    <m/>
    <m/>
    <m/>
    <s v="Data Engineer"/>
    <x v="0"/>
    <s v="0-40k"/>
    <n v="20"/>
    <s v="Tech"/>
    <s v="Python"/>
    <x v="2"/>
    <n v="4"/>
    <n v="1"/>
    <n v="0"/>
    <n v="1"/>
    <n v="3"/>
    <s v="Easy"/>
    <s v="Better Salary"/>
    <s v="Male"/>
    <n v="28"/>
    <s v="India"/>
    <s v="Bachelors"/>
    <s v="Asian or Asian American"/>
  </r>
  <r>
    <s v="62a45a140a77c1a77f67469d"/>
    <s v="anonymous"/>
    <d v="2022-06-11T00:00:00"/>
    <d v="1899-12-30T05:02:00"/>
    <d v="1899-12-30T00:02:27"/>
    <m/>
    <m/>
    <m/>
    <m/>
    <m/>
    <s v="Data Analyst"/>
    <x v="1"/>
    <s v="66k-85k"/>
    <n v="76"/>
    <s v="Real Estate"/>
    <s v="Other"/>
    <x v="9"/>
    <n v="8"/>
    <n v="7"/>
    <n v="7"/>
    <n v="5"/>
    <n v="6"/>
    <s v="Easy"/>
    <s v="Better Salary"/>
    <s v="Female"/>
    <n v="29"/>
    <s v="United Kingdom"/>
    <s v="Bachelors"/>
    <s v="White or Caucasian"/>
  </r>
  <r>
    <s v="62a45c8bf3072dd89263a493"/>
    <s v="anonymous"/>
    <d v="2022-06-11T00:00:00"/>
    <d v="1899-12-30T05:12:00"/>
    <d v="1899-12-30T00:02:43"/>
    <m/>
    <m/>
    <m/>
    <m/>
    <m/>
    <s v="Data Analyst"/>
    <x v="1"/>
    <s v="0-40k"/>
    <n v="20"/>
    <s v="Other"/>
    <s v="Python"/>
    <x v="2"/>
    <n v="0"/>
    <n v="0"/>
    <n v="0"/>
    <n v="0"/>
    <n v="0"/>
    <s v="Easy"/>
    <s v="Good Work/Life Balance"/>
    <s v="Female"/>
    <n v="26"/>
    <s v="India"/>
    <s v="Bachelors"/>
    <s v="Asian or Asian American"/>
  </r>
  <r>
    <s v="62a45f8c0f8c8599d5b09d40"/>
    <s v="anonymous"/>
    <d v="2022-06-11T00:00:00"/>
    <d v="1899-12-30T05:25:00"/>
    <d v="1899-12-30T00:02:47"/>
    <m/>
    <m/>
    <m/>
    <m/>
    <m/>
    <s v="Data Engineer"/>
    <x v="0"/>
    <s v="0-40k"/>
    <n v="20"/>
    <s v="Finance"/>
    <s v="Python"/>
    <x v="6"/>
    <n v="3"/>
    <n v="3"/>
    <n v="3"/>
    <n v="3"/>
    <n v="4"/>
    <s v="Neither easy nor difficult"/>
    <s v="Remote Work"/>
    <s v="Male"/>
    <n v="29"/>
    <s v="Other"/>
    <s v="Bachelors"/>
    <s v="Black or African American"/>
  </r>
  <r>
    <s v="62a4604d0a77c1a77f674e29"/>
    <s v="anonymous"/>
    <d v="2022-06-11T00:00:00"/>
    <d v="1899-12-30T05:28:00"/>
    <d v="1899-12-30T00:01:51"/>
    <m/>
    <m/>
    <m/>
    <m/>
    <m/>
    <s v="Other"/>
    <x v="1"/>
    <s v="66k-85k"/>
    <n v="76"/>
    <s v="Finance"/>
    <s v="Other"/>
    <x v="6"/>
    <n v="5"/>
    <n v="7"/>
    <n v="2"/>
    <n v="5"/>
    <n v="7"/>
    <s v="Easy"/>
    <s v="Remote Work"/>
    <s v="Male"/>
    <n v="60"/>
    <s v="United Kingdom"/>
    <s v="Masters"/>
    <s v="White or Caucasian"/>
  </r>
  <r>
    <s v="62a46a66f8d5efcc22f95a7a"/>
    <s v="anonymous"/>
    <d v="2022-06-11T00:00:00"/>
    <d v="1899-12-30T06:11:00"/>
    <d v="1899-12-30T00:01:55"/>
    <m/>
    <m/>
    <m/>
    <m/>
    <m/>
    <s v="Data Analyst"/>
    <x v="0"/>
    <s v="0-40k"/>
    <n v="20"/>
    <s v="Healthcare"/>
    <s v="Python"/>
    <x v="8"/>
    <n v="8"/>
    <n v="8"/>
    <n v="5"/>
    <n v="5"/>
    <n v="6"/>
    <s v="Neither easy nor difficult"/>
    <s v="Better Salary"/>
    <s v="Male"/>
    <n v="25"/>
    <s v="Other"/>
    <s v="Bachelors"/>
    <s v="Black or African American"/>
  </r>
  <r>
    <s v="62a46ad7d8c00e9f541b664a"/>
    <s v="anonymous"/>
    <d v="2022-06-11T00:00:00"/>
    <d v="1899-12-30T06:13:00"/>
    <d v="1899-12-30T00:03:13"/>
    <m/>
    <m/>
    <m/>
    <m/>
    <m/>
    <s v="Other"/>
    <x v="1"/>
    <s v="0-40k"/>
    <n v="20"/>
    <s v="Construction"/>
    <s v="R"/>
    <x v="2"/>
    <n v="0"/>
    <n v="1"/>
    <n v="3"/>
    <n v="2"/>
    <n v="1"/>
    <s v="Neither easy nor difficult"/>
    <s v="Good Work/Life Balance"/>
    <s v="Female"/>
    <n v="37"/>
    <s v="Other"/>
    <s v="Masters"/>
    <s v="Other"/>
  </r>
  <r>
    <s v="62a46dbecf25554317319e48"/>
    <s v="anonymous"/>
    <d v="2022-06-11T00:00:00"/>
    <d v="1899-12-30T06:26:00"/>
    <d v="1899-12-30T00:01:31"/>
    <m/>
    <m/>
    <m/>
    <m/>
    <m/>
    <s v="Data Analyst"/>
    <x v="0"/>
    <s v="66k-85k"/>
    <n v="76"/>
    <s v="Finance"/>
    <s v="Python"/>
    <x v="9"/>
    <n v="8"/>
    <n v="3"/>
    <n v="4"/>
    <n v="5"/>
    <n v="1"/>
    <s v="Neither easy nor difficult"/>
    <s v="Better Salary"/>
    <s v="Female"/>
    <n v="30"/>
    <s v="Canada"/>
    <s v="Bachelors"/>
    <s v="Asian or Asian American"/>
  </r>
  <r>
    <s v="62a475dcf408bae018eed15c"/>
    <s v="anonymous"/>
    <d v="2022-06-11T00:00:00"/>
    <d v="1899-12-30T07:00:00"/>
    <d v="1899-12-30T00:04:48"/>
    <m/>
    <m/>
    <m/>
    <m/>
    <m/>
    <s v="Data Analyst"/>
    <x v="0"/>
    <s v="0-40k"/>
    <n v="20"/>
    <s v="Healthcare"/>
    <s v="Python"/>
    <x v="2"/>
    <n v="1"/>
    <n v="2"/>
    <n v="1"/>
    <n v="0"/>
    <n v="3"/>
    <s v="Neither easy nor difficult"/>
    <s v="Better Salary"/>
    <s v="Female"/>
    <n v="27"/>
    <s v="Other"/>
    <s v="Masters"/>
    <s v="Black or African American"/>
  </r>
  <r>
    <s v="62a477f0b4da29969c64892f"/>
    <s v="anonymous"/>
    <d v="2022-06-11T00:00:00"/>
    <d v="1899-12-30T07:09:00"/>
    <d v="1899-12-30T00:01:04"/>
    <m/>
    <m/>
    <m/>
    <m/>
    <m/>
    <s v="Data Scientist"/>
    <x v="0"/>
    <s v="225k+"/>
    <s v="null"/>
    <s v="Tech"/>
    <s v="R"/>
    <x v="8"/>
    <n v="6"/>
    <n v="5"/>
    <n v="5"/>
    <n v="6"/>
    <n v="6"/>
    <s v="Difficult"/>
    <s v="Other"/>
    <s v="Male"/>
    <n v="31"/>
    <s v="United States"/>
    <s v="PhD"/>
    <s v="White or Caucasian"/>
  </r>
  <r>
    <s v="62a47947cec54911e9cbf6b2"/>
    <s v="anonymous"/>
    <d v="2022-06-11T00:00:00"/>
    <d v="1899-12-30T07:15:00"/>
    <d v="1899-12-30T00:02:11"/>
    <m/>
    <m/>
    <m/>
    <m/>
    <m/>
    <s v="Student"/>
    <x v="1"/>
    <s v="0-40k"/>
    <n v="20"/>
    <s v="Other"/>
    <s v="R"/>
    <x v="3"/>
    <n v="10"/>
    <n v="10"/>
    <n v="10"/>
    <n v="10"/>
    <n v="10"/>
    <s v="Neither easy nor difficult"/>
    <s v="Good Work/Life Balance"/>
    <s v="Male"/>
    <n v="24"/>
    <s v="United Kingdom"/>
    <s v="Masters"/>
    <s v="Asian or Asian American"/>
  </r>
  <r>
    <s v="62a47c587dc029e2d66d9782"/>
    <s v="anonymous"/>
    <d v="2022-06-11T00:00:00"/>
    <d v="1899-12-30T07:28:00"/>
    <d v="1899-12-30T00:03:11"/>
    <m/>
    <m/>
    <m/>
    <m/>
    <m/>
    <s v="Data Analyst"/>
    <x v="1"/>
    <s v="0-40k"/>
    <n v="20"/>
    <s v="Finance"/>
    <s v="Other"/>
    <x v="2"/>
    <n v="6"/>
    <n v="6"/>
    <n v="6"/>
    <n v="5"/>
    <n v="6"/>
    <s v="Neither easy nor difficult"/>
    <s v="Better Salary"/>
    <s v="Female"/>
    <n v="20"/>
    <s v="United States"/>
    <s v="Bachelors"/>
    <s v="Black or African American"/>
  </r>
  <r>
    <s v="62a47e3ef3072dd89263c8c0"/>
    <s v="anonymous"/>
    <d v="2022-06-11T00:00:00"/>
    <d v="1899-12-30T07:36:00"/>
    <d v="1899-12-30T00:02:30"/>
    <m/>
    <m/>
    <m/>
    <m/>
    <m/>
    <s v="Other"/>
    <x v="1"/>
    <s v="0-40k"/>
    <n v="20"/>
    <s v="Tech"/>
    <s v="R"/>
    <x v="4"/>
    <n v="1"/>
    <n v="4"/>
    <n v="1"/>
    <n v="1"/>
    <n v="1"/>
    <s v="Easy"/>
    <s v="Good Work/Life Balance"/>
    <s v="Male"/>
    <n v="24"/>
    <s v="India"/>
    <s v="Bachelors"/>
    <s v="Asian or Asian American"/>
  </r>
  <r>
    <s v="62a47e812e54c9003e54d789"/>
    <s v="anonymous"/>
    <d v="2022-06-11T00:00:00"/>
    <d v="1899-12-30T07:37:00"/>
    <d v="1899-12-30T00:01:32"/>
    <m/>
    <m/>
    <m/>
    <m/>
    <m/>
    <s v="Student"/>
    <x v="0"/>
    <s v="0-40k"/>
    <n v="20"/>
    <s v="Other"/>
    <s v="R"/>
    <x v="6"/>
    <n v="6"/>
    <n v="7"/>
    <n v="6"/>
    <n v="4"/>
    <n v="4"/>
    <s v="Neither easy nor difficult"/>
    <s v="Good Work/Life Balance"/>
    <s v="Male"/>
    <n v="24"/>
    <s v="Other"/>
    <s v="Bachelors"/>
    <s v="White or Caucasian"/>
  </r>
  <r>
    <s v="62a47ea87dc029e2d66d9b60"/>
    <s v="anonymous"/>
    <d v="2022-06-11T00:00:00"/>
    <d v="1899-12-30T07:38:00"/>
    <d v="1899-12-30T00:01:30"/>
    <m/>
    <m/>
    <m/>
    <m/>
    <m/>
    <s v="Student"/>
    <x v="1"/>
    <s v="0-40k"/>
    <n v="20"/>
    <s v="Other"/>
    <s v="R"/>
    <x v="2"/>
    <n v="1"/>
    <n v="3"/>
    <n v="0"/>
    <n v="0"/>
    <n v="0"/>
    <s v="Neither easy nor difficult"/>
    <s v="Good Work/Life Balance"/>
    <s v="Male"/>
    <n v="41"/>
    <s v="Other"/>
    <s v="Bachelors"/>
    <s v="Hispanic or Latino"/>
  </r>
  <r>
    <s v="62a47f1e0a77c1a77f677174"/>
    <s v="anonymous"/>
    <d v="2022-06-11T00:00:00"/>
    <d v="1899-12-30T07:40:00"/>
    <d v="1899-12-30T00:02:12"/>
    <m/>
    <m/>
    <m/>
    <m/>
    <m/>
    <s v="Data Analyst"/>
    <x v="0"/>
    <s v="86k-105k"/>
    <n v="96"/>
    <s v="Tech"/>
    <s v="R"/>
    <x v="10"/>
    <n v="8"/>
    <n v="8"/>
    <n v="8"/>
    <n v="8"/>
    <n v="8"/>
    <s v="Difficult"/>
    <s v="Better Salary"/>
    <s v="Male"/>
    <n v="41"/>
    <s v="United States"/>
    <s v="Bachelors"/>
    <s v="White or Caucasian"/>
  </r>
  <r>
    <s v="62a48566b4da29969c64995a"/>
    <s v="anonymous"/>
    <d v="2022-06-11T00:00:00"/>
    <d v="1899-12-30T08:07:00"/>
    <d v="1899-12-30T00:01:52"/>
    <m/>
    <m/>
    <m/>
    <m/>
    <m/>
    <s v="Other"/>
    <x v="1"/>
    <s v="150k-225k"/>
    <n v="188"/>
    <s v="Other"/>
    <s v="Python"/>
    <x v="0"/>
    <n v="8"/>
    <n v="9"/>
    <n v="10"/>
    <n v="8"/>
    <n v="10"/>
    <s v="Neither easy nor difficult"/>
    <s v="Good Culture"/>
    <s v="Male"/>
    <n v="43"/>
    <s v="United States"/>
    <s v="Bachelors"/>
    <s v="White or Caucasian"/>
  </r>
  <r>
    <s v="62a48612d8c00e9f541b86b8"/>
    <s v="anonymous"/>
    <d v="2022-06-11T00:00:00"/>
    <d v="1899-12-30T08:09:00"/>
    <d v="1899-12-30T00:01:53"/>
    <m/>
    <m/>
    <m/>
    <m/>
    <m/>
    <s v="Data Analyst"/>
    <x v="1"/>
    <s v="66k-85k"/>
    <n v="76"/>
    <s v="Healthcare"/>
    <s v="Python"/>
    <x v="7"/>
    <n v="7"/>
    <n v="8"/>
    <n v="4"/>
    <n v="6"/>
    <n v="9"/>
    <s v="Easy"/>
    <s v="Remote Work"/>
    <s v="Female"/>
    <n v="38"/>
    <s v="United States"/>
    <s v="Bachelors"/>
    <s v="White or Caucasian"/>
  </r>
  <r>
    <s v="62a487167dc029e2d66da73e"/>
    <s v="anonymous"/>
    <d v="2022-06-11T00:00:00"/>
    <d v="1899-12-30T08:14:00"/>
    <d v="1899-12-30T00:01:53"/>
    <m/>
    <m/>
    <m/>
    <m/>
    <m/>
    <s v="Data Analyst"/>
    <x v="0"/>
    <s v="0-40k"/>
    <n v="20"/>
    <s v="Other"/>
    <s v="Python"/>
    <x v="8"/>
    <n v="5"/>
    <n v="5"/>
    <n v="5"/>
    <n v="5"/>
    <n v="6"/>
    <s v="Neither easy nor difficult"/>
    <s v="Better Salary"/>
    <s v="Female"/>
    <n v="28"/>
    <s v="Other"/>
    <s v="Bachelors"/>
    <s v="Asian or Asian American"/>
  </r>
  <r>
    <s v="62a488197dc029e2d66da8a1"/>
    <s v="anonymous"/>
    <d v="2022-06-11T00:00:00"/>
    <d v="1899-12-30T08:18:00"/>
    <d v="1899-12-30T00:01:30"/>
    <m/>
    <m/>
    <m/>
    <m/>
    <m/>
    <s v="Data Analyst"/>
    <x v="0"/>
    <s v="86k-105k"/>
    <n v="96"/>
    <s v="Healthcare"/>
    <s v="Python"/>
    <x v="3"/>
    <n v="8"/>
    <n v="6"/>
    <n v="10"/>
    <n v="7"/>
    <n v="5"/>
    <s v="Neither easy nor difficult"/>
    <s v="Good Culture"/>
    <s v="Female"/>
    <n v="31"/>
    <s v="Other"/>
    <s v="Bachelors"/>
    <s v="Hispanic or Latino"/>
  </r>
  <r>
    <s v="62a48c4c24a262602739e141"/>
    <s v="anonymous"/>
    <d v="2022-06-11T00:00:00"/>
    <d v="1899-12-30T08:36:00"/>
    <d v="1899-12-30T00:01:31"/>
    <m/>
    <m/>
    <m/>
    <m/>
    <m/>
    <s v="Data Analyst"/>
    <x v="0"/>
    <s v="86k-105k"/>
    <n v="96"/>
    <s v="Other"/>
    <s v="Other"/>
    <x v="10"/>
    <n v="7"/>
    <n v="8"/>
    <n v="6"/>
    <n v="7"/>
    <n v="8"/>
    <s v="Difficult"/>
    <s v="Good Work/Life Balance"/>
    <s v="Female"/>
    <n v="28"/>
    <s v="United States"/>
    <s v="Masters"/>
    <s v="White or Caucasian"/>
  </r>
  <r>
    <s v="62a48cbdf408bae018eeeccf"/>
    <s v="anonymous"/>
    <d v="2022-06-11T00:00:00"/>
    <d v="1899-12-30T08:38:00"/>
    <d v="1899-12-30T00:00:55"/>
    <m/>
    <m/>
    <m/>
    <m/>
    <m/>
    <s v="Data Analyst"/>
    <x v="1"/>
    <s v="41k-65k"/>
    <n v="53"/>
    <s v="Healthcare"/>
    <s v="C/C++"/>
    <x v="7"/>
    <n v="8"/>
    <n v="9"/>
    <n v="9"/>
    <n v="4"/>
    <n v="9"/>
    <s v="Easy"/>
    <s v="Remote Work"/>
    <s v="Male"/>
    <n v="23"/>
    <s v="United States"/>
    <s v="Masters"/>
    <s v="Asian or Asian American"/>
  </r>
  <r>
    <s v="62a48d4df8d5efcc22f98308"/>
    <s v="anonymous"/>
    <d v="2022-06-11T00:00:00"/>
    <d v="1899-12-30T08:40:00"/>
    <d v="1899-12-30T00:01:47"/>
    <m/>
    <m/>
    <m/>
    <m/>
    <m/>
    <s v="Data Analyst"/>
    <x v="1"/>
    <s v="41k-65k"/>
    <n v="53"/>
    <s v="Other"/>
    <s v="Python"/>
    <x v="8"/>
    <n v="5"/>
    <n v="4"/>
    <n v="5"/>
    <n v="6"/>
    <n v="6"/>
    <s v="Neither easy nor difficult"/>
    <s v="Better Salary"/>
    <s v="Male"/>
    <n v="25"/>
    <s v="United Kingdom"/>
    <s v="Bachelors"/>
    <s v="Black or African American"/>
  </r>
  <r>
    <s v="62a48d562e54c9003e54ea2b"/>
    <s v="anonymous"/>
    <d v="2022-06-11T00:00:00"/>
    <d v="1899-12-30T08:40:00"/>
    <d v="1899-12-30T00:01:22"/>
    <m/>
    <m/>
    <m/>
    <m/>
    <m/>
    <s v="Other"/>
    <x v="1"/>
    <s v="0-40k"/>
    <n v="20"/>
    <s v="Tech"/>
    <s v="R"/>
    <x v="4"/>
    <n v="5"/>
    <n v="2"/>
    <n v="8"/>
    <n v="9"/>
    <n v="10"/>
    <s v="Difficult"/>
    <s v="Remote Work"/>
    <s v="Male"/>
    <n v="26"/>
    <s v="Other"/>
    <s v="Masters"/>
    <s v="White or Caucasian"/>
  </r>
  <r>
    <s v="62a48da6b4da29969c64a3a5"/>
    <s v="anonymous"/>
    <d v="2022-06-11T00:00:00"/>
    <d v="1899-12-30T08:42:00"/>
    <d v="1899-12-30T00:00:47"/>
    <m/>
    <m/>
    <m/>
    <m/>
    <m/>
    <s v="Data Scientist"/>
    <x v="0"/>
    <s v="125k-150k"/>
    <n v="138"/>
    <s v="Finance"/>
    <s v="Python"/>
    <x v="0"/>
    <n v="4"/>
    <n v="8"/>
    <n v="7"/>
    <n v="5"/>
    <n v="6"/>
    <s v="Difficult"/>
    <s v="Good Work/Life Balance"/>
    <s v="Male"/>
    <n v="35"/>
    <s v="United States"/>
    <s v="Bachelors"/>
    <s v="White or Caucasian"/>
  </r>
  <r>
    <s v="62a49012f408bae018eef16d"/>
    <s v="anonymous"/>
    <d v="2022-06-11T00:00:00"/>
    <d v="1899-12-30T08:52:00"/>
    <d v="1899-12-30T00:01:43"/>
    <m/>
    <m/>
    <m/>
    <m/>
    <m/>
    <s v="Data Analyst"/>
    <x v="0"/>
    <s v="106k-125k"/>
    <n v="116"/>
    <s v="Other"/>
    <s v="R"/>
    <x v="10"/>
    <n v="9"/>
    <n v="9"/>
    <n v="7"/>
    <n v="8"/>
    <n v="8"/>
    <s v="Neither easy nor difficult"/>
    <s v="Remote Work"/>
    <s v="Male"/>
    <n v="30"/>
    <s v="Other"/>
    <s v="Masters"/>
    <s v="White or Caucasian"/>
  </r>
  <r>
    <s v="62a491b3b4da29969c64a89e"/>
    <s v="anonymous"/>
    <d v="2022-06-11T00:00:00"/>
    <d v="1899-12-30T08:59:00"/>
    <d v="1899-12-30T00:01:38"/>
    <m/>
    <m/>
    <m/>
    <m/>
    <m/>
    <s v="Data Analyst"/>
    <x v="0"/>
    <s v="86k-105k"/>
    <n v="96"/>
    <s v="Tech"/>
    <s v="R"/>
    <x v="6"/>
    <m/>
    <m/>
    <m/>
    <m/>
    <m/>
    <s v="Neither easy nor difficult"/>
    <s v="Better Salary"/>
    <s v="Male"/>
    <n v="35"/>
    <s v="United Kingdom"/>
    <s v="Bachelors"/>
    <s v="White or Caucasian"/>
  </r>
  <r>
    <s v="62a4926ef408bae018eef4ee"/>
    <s v="anonymous"/>
    <d v="2022-06-11T00:00:00"/>
    <d v="1899-12-30T09:02:00"/>
    <d v="1899-12-30T00:02:06"/>
    <m/>
    <m/>
    <m/>
    <m/>
    <m/>
    <s v="Data Analyst"/>
    <x v="0"/>
    <s v="0-40k"/>
    <n v="20"/>
    <s v="Telecommunication"/>
    <s v="Python"/>
    <x v="2"/>
    <n v="8"/>
    <n v="5"/>
    <n v="5"/>
    <n v="2"/>
    <n v="2"/>
    <s v="Easy"/>
    <s v="Better Salary"/>
    <s v="Male"/>
    <n v="28"/>
    <s v="Other"/>
    <s v="Bachelors"/>
    <s v="Hispanic or Latino"/>
  </r>
  <r>
    <s v="62a495d724a262602739ee07"/>
    <s v="anonymous"/>
    <d v="2022-06-11T00:00:00"/>
    <d v="1899-12-30T09:17:00"/>
    <d v="1899-12-30T00:02:01"/>
    <m/>
    <m/>
    <m/>
    <m/>
    <m/>
    <s v="Student"/>
    <x v="1"/>
    <s v="0-40k"/>
    <n v="20"/>
    <s v="Tech"/>
    <s v="Python"/>
    <x v="2"/>
    <n v="2"/>
    <n v="3"/>
    <n v="3"/>
    <n v="2"/>
    <n v="3"/>
    <s v="Easy"/>
    <s v="Good Work/Life Balance"/>
    <s v="Female"/>
    <n v="24"/>
    <s v="Other"/>
    <s v="Bachelors"/>
    <s v="Black or African American"/>
  </r>
  <r>
    <s v="62a49b3cb4da29969c64b5dc"/>
    <s v="anonymous"/>
    <d v="2022-06-11T00:00:00"/>
    <d v="1899-12-30T09:40:00"/>
    <d v="1899-12-30T00:04:32"/>
    <m/>
    <m/>
    <m/>
    <m/>
    <m/>
    <s v="Data Analyst"/>
    <x v="0"/>
    <s v="41k-65k"/>
    <n v="53"/>
    <s v="Tech"/>
    <s v="Python"/>
    <x v="10"/>
    <n v="10"/>
    <n v="7"/>
    <n v="5"/>
    <n v="6"/>
    <n v="5"/>
    <s v="Neither easy nor difficult"/>
    <s v="Good Culture"/>
    <s v="Female"/>
    <n v="34"/>
    <s v="United States"/>
    <s v="Bachelors"/>
    <s v="White or Caucasian"/>
  </r>
  <r>
    <s v="62a49e087dc029e2d66dc57e"/>
    <s v="anonymous"/>
    <d v="2022-06-11T00:00:00"/>
    <d v="1899-12-30T09:52:00"/>
    <d v="1899-12-30T00:01:52"/>
    <m/>
    <m/>
    <m/>
    <m/>
    <m/>
    <s v="Data Analyst"/>
    <x v="0"/>
    <s v="41k-65k"/>
    <n v="53"/>
    <s v="Tech"/>
    <s v="Python"/>
    <x v="6"/>
    <n v="5"/>
    <n v="4"/>
    <n v="5"/>
    <n v="3"/>
    <n v="6"/>
    <s v="Neither easy nor difficult"/>
    <s v="Good Work/Life Balance"/>
    <s v="Female"/>
    <n v="31"/>
    <s v="Other"/>
    <s v="Masters"/>
    <s v="White or Caucasian"/>
  </r>
  <r>
    <s v="62a49e47b4da29969c64b9f9"/>
    <s v="anonymous"/>
    <d v="2022-06-11T00:00:00"/>
    <d v="1899-12-30T09:53:00"/>
    <d v="1899-12-30T00:01:06"/>
    <m/>
    <m/>
    <m/>
    <m/>
    <m/>
    <s v="Data Analyst"/>
    <x v="0"/>
    <s v="0-40k"/>
    <n v="20"/>
    <s v="Tech"/>
    <s v="Python"/>
    <x v="2"/>
    <n v="0"/>
    <n v="0"/>
    <n v="0"/>
    <n v="0"/>
    <n v="0"/>
    <s v="Difficult"/>
    <s v="Good Work/Life Balance"/>
    <s v="Male"/>
    <n v="30"/>
    <s v="United Kingdom"/>
    <s v="Masters"/>
    <s v="Asian or Asian American"/>
  </r>
  <r>
    <s v="62a49e5f24a262602739f9af"/>
    <s v="anonymous"/>
    <d v="2022-06-11T00:00:00"/>
    <d v="1899-12-30T09:53:00"/>
    <d v="1899-12-30T00:01:28"/>
    <m/>
    <m/>
    <m/>
    <m/>
    <m/>
    <s v="Data Engineer"/>
    <x v="0"/>
    <s v="86k-105k"/>
    <n v="96"/>
    <s v="Other"/>
    <s v="JavaScript"/>
    <x v="5"/>
    <n v="4"/>
    <n v="1"/>
    <n v="6"/>
    <n v="1"/>
    <n v="5"/>
    <s v="Difficult"/>
    <s v="Better Salary"/>
    <s v="Male"/>
    <n v="40"/>
    <s v="United Kingdom"/>
    <s v="Bachelors"/>
    <s v="White or Caucasian"/>
  </r>
  <r>
    <s v="62a49fe7b4da29969c64bbe1"/>
    <s v="anonymous"/>
    <d v="2022-06-11T00:00:00"/>
    <d v="1899-12-30T10:00:00"/>
    <d v="1899-12-30T00:02:02"/>
    <m/>
    <m/>
    <m/>
    <m/>
    <m/>
    <s v="Data Analyst"/>
    <x v="1"/>
    <s v="41k-65k"/>
    <n v="53"/>
    <s v="Other"/>
    <s v="R"/>
    <x v="5"/>
    <n v="10"/>
    <n v="10"/>
    <n v="10"/>
    <n v="8"/>
    <n v="6"/>
    <s v="Very Difficult"/>
    <s v="Better Salary"/>
    <s v="Male"/>
    <n v="26"/>
    <s v="United States"/>
    <s v="Bachelors"/>
    <s v="Hispanic or Latino"/>
  </r>
  <r>
    <s v="62a4a3d4f8d5efcc22f9a051"/>
    <s v="anonymous"/>
    <d v="2022-06-11T00:00:00"/>
    <d v="1899-12-30T10:16:00"/>
    <d v="1899-12-30T00:01:00"/>
    <m/>
    <m/>
    <m/>
    <m/>
    <m/>
    <s v="Data Analyst"/>
    <x v="1"/>
    <s v="125k-150k"/>
    <n v="138"/>
    <s v="Healthcare"/>
    <s v="R"/>
    <x v="0"/>
    <n v="9"/>
    <n v="6"/>
    <n v="6"/>
    <n v="6"/>
    <n v="7"/>
    <s v="Neither easy nor difficult"/>
    <s v="Good Culture"/>
    <s v="Male"/>
    <n v="25"/>
    <s v="United States"/>
    <s v="Bachelors"/>
    <s v="White or Caucasian"/>
  </r>
  <r>
    <s v="62a4a8cb0a77c1a77f67a405"/>
    <s v="anonymous"/>
    <d v="2022-06-11T00:00:00"/>
    <d v="1899-12-30T10:38:00"/>
    <d v="1899-12-30T00:02:27"/>
    <m/>
    <m/>
    <m/>
    <m/>
    <m/>
    <s v="Data Analyst"/>
    <x v="0"/>
    <s v="0-40k"/>
    <n v="20"/>
    <s v="Other"/>
    <s v="Other"/>
    <x v="11"/>
    <n v="5"/>
    <n v="8"/>
    <n v="4"/>
    <n v="8"/>
    <n v="4"/>
    <s v="Easy"/>
    <s v="Good Culture"/>
    <s v="Male"/>
    <n v="45"/>
    <s v="Other"/>
    <s v="Associates"/>
    <s v="White or Caucasian"/>
  </r>
  <r>
    <s v="62a4abb30f8c8599d5b0fc24"/>
    <s v="anonymous"/>
    <d v="2022-06-11T00:00:00"/>
    <d v="1899-12-30T10:50:00"/>
    <d v="1899-12-30T00:03:12"/>
    <m/>
    <m/>
    <m/>
    <m/>
    <m/>
    <s v="Data Analyst"/>
    <x v="1"/>
    <s v="41k-65k"/>
    <n v="53"/>
    <s v="Finance"/>
    <s v="R"/>
    <x v="7"/>
    <n v="9"/>
    <n v="8"/>
    <n v="6"/>
    <n v="6"/>
    <n v="9"/>
    <s v="Neither easy nor difficult"/>
    <s v="Good Culture"/>
    <s v="Male"/>
    <n v="26"/>
    <s v="United States"/>
    <s v="Masters"/>
    <s v="Black or African American"/>
  </r>
  <r>
    <s v="62a4afd87dc029e2d66ddb24"/>
    <s v="anonymous"/>
    <d v="2022-06-11T00:00:00"/>
    <d v="1899-12-30T11:08:00"/>
    <d v="1899-12-30T00:01:43"/>
    <m/>
    <m/>
    <m/>
    <m/>
    <m/>
    <s v="Data Scientist"/>
    <x v="1"/>
    <s v="0-40k"/>
    <n v="20"/>
    <s v="Finance"/>
    <s v="Python"/>
    <x v="7"/>
    <n v="7"/>
    <n v="8"/>
    <n v="6"/>
    <n v="6"/>
    <n v="4"/>
    <s v="Neither easy nor difficult"/>
    <s v="Good Work/Life Balance"/>
    <s v="Male"/>
    <n v="26"/>
    <s v="India"/>
    <s v="Masters"/>
    <s v="Other"/>
  </r>
  <r>
    <s v="62a4b085cec54911e9cc3afe"/>
    <s v="anonymous"/>
    <d v="2022-06-11T00:00:00"/>
    <d v="1899-12-30T11:11:00"/>
    <d v="1899-12-30T00:02:44"/>
    <m/>
    <m/>
    <m/>
    <m/>
    <m/>
    <s v="Other"/>
    <x v="0"/>
    <s v="0-40k"/>
    <n v="20"/>
    <s v="Finance"/>
    <s v="Python"/>
    <x v="6"/>
    <n v="2"/>
    <n v="4"/>
    <n v="2"/>
    <n v="2"/>
    <n v="3"/>
    <s v="Difficult"/>
    <s v="Better Salary"/>
    <s v="Male"/>
    <n v="23"/>
    <s v="India"/>
    <s v="Masters"/>
    <s v="Asian or Asian American"/>
  </r>
  <r>
    <s v="62a4b23f5d257a28a30f6b8c"/>
    <s v="anonymous"/>
    <d v="2022-06-11T00:00:00"/>
    <d v="1899-12-30T11:18:00"/>
    <d v="1899-12-30T00:00:56"/>
    <m/>
    <m/>
    <m/>
    <m/>
    <m/>
    <s v="Data Engineer"/>
    <x v="0"/>
    <s v="106k-125k"/>
    <n v="116"/>
    <s v="Tech"/>
    <s v="Python"/>
    <x v="5"/>
    <n v="4"/>
    <n v="4"/>
    <n v="4"/>
    <n v="5"/>
    <n v="6"/>
    <s v="Neither easy nor difficult"/>
    <s v="Good Work/Life Balance"/>
    <s v="Male"/>
    <n v="25"/>
    <s v="India"/>
    <s v="Masters"/>
    <s v="Asian or Asian American"/>
  </r>
  <r>
    <s v="62a4b29a5d257a28a30f6c63"/>
    <s v="anonymous"/>
    <d v="2022-06-11T00:00:00"/>
    <d v="1899-12-30T11:19:00"/>
    <d v="1899-12-30T00:01:11"/>
    <m/>
    <m/>
    <m/>
    <m/>
    <m/>
    <s v="Data Analyst"/>
    <x v="0"/>
    <s v="41k-65k"/>
    <n v="53"/>
    <s v="Healthcare"/>
    <s v="R"/>
    <x v="5"/>
    <n v="5"/>
    <n v="6"/>
    <n v="6"/>
    <n v="5"/>
    <n v="6"/>
    <s v="Neither easy nor difficult"/>
    <s v="Better Salary"/>
    <s v="Female"/>
    <n v="33"/>
    <s v="United States"/>
    <s v="High School"/>
    <s v="White or Caucasian"/>
  </r>
  <r>
    <s v="62a4b2e5f8f75616458712af"/>
    <s v="anonymous"/>
    <d v="2022-06-11T00:00:00"/>
    <d v="1899-12-30T11:21:00"/>
    <d v="1899-12-30T00:02:02"/>
    <m/>
    <m/>
    <m/>
    <m/>
    <m/>
    <s v="Other"/>
    <x v="1"/>
    <s v="0-40k"/>
    <n v="20"/>
    <s v="Other"/>
    <s v="Other"/>
    <x v="9"/>
    <n v="3"/>
    <n v="3"/>
    <n v="6"/>
    <n v="6"/>
    <n v="4"/>
    <s v="Very Easy"/>
    <s v="Other"/>
    <s v="Male"/>
    <n v="33"/>
    <s v="India"/>
    <s v="Bachelors"/>
    <s v="Asian or Asian American"/>
  </r>
  <r>
    <s v="62a4b6c30a77c1a77f67b54c"/>
    <s v="anonymous"/>
    <d v="2022-06-11T00:00:00"/>
    <d v="1899-12-30T11:37:00"/>
    <d v="1899-12-30T00:01:13"/>
    <m/>
    <m/>
    <m/>
    <m/>
    <m/>
    <s v="Data Analyst"/>
    <x v="0"/>
    <s v="86k-105k"/>
    <n v="96"/>
    <s v="Healthcare"/>
    <s v="R"/>
    <x v="7"/>
    <n v="8"/>
    <n v="7"/>
    <n v="8"/>
    <n v="3"/>
    <n v="4"/>
    <s v="Easy"/>
    <s v="Good Culture"/>
    <s v="Male"/>
    <n v="27"/>
    <s v="United States"/>
    <s v="Bachelors"/>
    <s v="White or Caucasian"/>
  </r>
  <r>
    <s v="62a4bf07b4da29969c64e4f8"/>
    <s v="anonymous"/>
    <d v="2022-06-11T00:00:00"/>
    <d v="1899-12-30T12:12:00"/>
    <d v="1899-12-30T00:01:59"/>
    <m/>
    <m/>
    <m/>
    <m/>
    <m/>
    <s v="Data Analyst"/>
    <x v="0"/>
    <s v="106k-125k"/>
    <n v="116"/>
    <s v="Tech"/>
    <s v="Python"/>
    <x v="0"/>
    <n v="9"/>
    <n v="9"/>
    <n v="8"/>
    <n v="8"/>
    <n v="9"/>
    <s v="Difficult"/>
    <s v="Remote Work"/>
    <s v="Female"/>
    <n v="28"/>
    <s v="United States"/>
    <s v="Masters"/>
    <s v="Hispanic or Latino"/>
  </r>
  <r>
    <s v="62a4bf3a0a77c1a77f67bef2"/>
    <s v="anonymous"/>
    <d v="2022-06-11T00:00:00"/>
    <d v="1899-12-30T12:13:00"/>
    <d v="1899-12-30T00:03:18"/>
    <m/>
    <m/>
    <m/>
    <m/>
    <m/>
    <s v="Data Analyst"/>
    <x v="0"/>
    <s v="66k-85k"/>
    <n v="76"/>
    <s v="Tech"/>
    <s v="Python"/>
    <x v="8"/>
    <n v="6"/>
    <n v="7"/>
    <n v="6"/>
    <n v="6"/>
    <n v="7"/>
    <s v="Very Easy"/>
    <s v="Better Salary"/>
    <s v="Male"/>
    <n v="32"/>
    <s v="United States"/>
    <s v="Bachelors"/>
    <s v="Hispanic or Latino"/>
  </r>
  <r>
    <s v="62a4c49a575fa3a5ae8aadf4"/>
    <s v="anonymous"/>
    <d v="2022-06-11T00:00:00"/>
    <d v="1899-12-30T12:36:00"/>
    <d v="1899-12-30T00:01:24"/>
    <m/>
    <m/>
    <m/>
    <m/>
    <m/>
    <s v="Data Analyst"/>
    <x v="0"/>
    <s v="0-40k"/>
    <n v="20"/>
    <s v="Tech"/>
    <s v="Python"/>
    <x v="4"/>
    <n v="6"/>
    <n v="3"/>
    <n v="6"/>
    <n v="6"/>
    <n v="7"/>
    <s v="Neither easy nor difficult"/>
    <s v="Better Salary"/>
    <s v="Male"/>
    <n v="35"/>
    <s v="India"/>
    <s v="Masters"/>
    <s v="Asian or Asian American"/>
  </r>
  <r>
    <s v="62a4c57af3072dd8926421ac"/>
    <s v="anonymous"/>
    <d v="2022-06-11T00:00:00"/>
    <d v="1899-12-30T12:40:00"/>
    <d v="1899-12-30T00:01:49"/>
    <m/>
    <m/>
    <m/>
    <m/>
    <m/>
    <s v="Data Analyst"/>
    <x v="0"/>
    <s v="86k-105k"/>
    <n v="96"/>
    <s v="Real Estate"/>
    <s v="Python"/>
    <x v="10"/>
    <n v="9"/>
    <n v="10"/>
    <n v="10"/>
    <n v="9"/>
    <n v="10"/>
    <s v="Neither easy nor difficult"/>
    <s v="Good Culture"/>
    <s v="Male"/>
    <n v="34"/>
    <s v="United States"/>
    <s v="Masters"/>
    <s v="Hispanic or Latino"/>
  </r>
  <r>
    <s v="62a4c6060a77c1a77f67c772"/>
    <s v="anonymous"/>
    <d v="2022-06-11T00:00:00"/>
    <d v="1899-12-30T12:42:00"/>
    <d v="1899-12-30T00:01:39"/>
    <m/>
    <m/>
    <m/>
    <m/>
    <m/>
    <s v="Data Analyst"/>
    <x v="1"/>
    <s v="41k-65k"/>
    <n v="53"/>
    <s v="Other"/>
    <s v="Python"/>
    <x v="0"/>
    <n v="8"/>
    <n v="3"/>
    <n v="5"/>
    <n v="2"/>
    <n v="4"/>
    <s v="Easy"/>
    <s v="Better Salary"/>
    <s v="Male"/>
    <n v="27"/>
    <s v="Other"/>
    <s v="Masters"/>
    <s v="White or Caucasian"/>
  </r>
  <r>
    <s v="62a4c7d0f8f7561645872912"/>
    <s v="anonymous"/>
    <d v="2022-06-11T00:00:00"/>
    <d v="1899-12-30T12:50:00"/>
    <d v="1899-12-30T00:02:30"/>
    <m/>
    <m/>
    <m/>
    <m/>
    <m/>
    <s v="Other"/>
    <x v="0"/>
    <s v="66k-85k"/>
    <n v="76"/>
    <s v="Education"/>
    <s v="R"/>
    <x v="5"/>
    <n v="5"/>
    <n v="5"/>
    <n v="3"/>
    <n v="3"/>
    <n v="4"/>
    <s v="Easy"/>
    <s v="Good Culture"/>
    <s v="Female"/>
    <n v="30"/>
    <s v="United States"/>
    <s v="Masters"/>
    <s v="White or Caucasian"/>
  </r>
  <r>
    <s v="62a4cdfad8c00e9f541bdc6b"/>
    <s v="anonymous"/>
    <d v="2022-06-11T00:00:00"/>
    <d v="1899-12-30T13:16:00"/>
    <d v="1899-12-30T00:02:06"/>
    <m/>
    <m/>
    <m/>
    <m/>
    <m/>
    <s v="Data Analyst"/>
    <x v="1"/>
    <s v="66k-85k"/>
    <n v="76"/>
    <s v="Other"/>
    <s v="Python"/>
    <x v="10"/>
    <n v="9"/>
    <n v="9"/>
    <n v="9"/>
    <n v="9"/>
    <n v="10"/>
    <s v="Neither easy nor difficult"/>
    <s v="Better Salary"/>
    <s v="Male"/>
    <n v="34"/>
    <s v="United States"/>
    <s v="Masters"/>
    <s v="White or Caucasian"/>
  </r>
  <r>
    <s v="62a4ce2bbae91e4b8b84f3db"/>
    <s v="anonymous"/>
    <d v="2022-06-11T00:00:00"/>
    <d v="1899-12-30T13:17:00"/>
    <d v="1899-12-30T00:02:20"/>
    <m/>
    <m/>
    <m/>
    <m/>
    <m/>
    <s v="Other"/>
    <x v="1"/>
    <s v="41k-65k"/>
    <n v="53"/>
    <s v="Other"/>
    <s v="Python"/>
    <x v="6"/>
    <n v="10"/>
    <n v="6"/>
    <n v="5"/>
    <n v="7"/>
    <n v="8"/>
    <s v="Neither easy nor difficult"/>
    <s v="Remote Work"/>
    <s v="Female"/>
    <n v="22"/>
    <s v="United States"/>
    <s v="Bachelors"/>
    <s v="White or Caucasian"/>
  </r>
  <r>
    <s v="62a4cffeb4da29969c64f6a1"/>
    <s v="anonymous"/>
    <d v="2022-06-11T00:00:00"/>
    <d v="1899-12-30T13:25:00"/>
    <d v="1899-12-30T00:01:02"/>
    <m/>
    <m/>
    <m/>
    <m/>
    <m/>
    <s v="Data Analyst"/>
    <x v="0"/>
    <s v="0-40k"/>
    <n v="20"/>
    <s v="Finance"/>
    <s v="Python"/>
    <x v="4"/>
    <n v="2"/>
    <n v="5"/>
    <n v="5"/>
    <n v="2"/>
    <n v="3"/>
    <s v="Very Difficult"/>
    <s v="Good Work/Life Balance"/>
    <s v="Female"/>
    <n v="33"/>
    <s v="India"/>
    <s v="Masters"/>
    <s v="Asian or Asian American"/>
  </r>
  <r>
    <s v="62a4d08bf3072dd892642d2c"/>
    <s v="anonymous"/>
    <d v="2022-06-11T00:00:00"/>
    <d v="1899-12-30T13:27:00"/>
    <d v="1899-12-30T00:01:53"/>
    <m/>
    <m/>
    <m/>
    <m/>
    <m/>
    <s v="Data Analyst"/>
    <x v="1"/>
    <s v="0-40k"/>
    <n v="20"/>
    <s v="Finance"/>
    <s v="Python"/>
    <x v="10"/>
    <n v="9"/>
    <n v="9"/>
    <n v="9"/>
    <n v="9"/>
    <n v="9"/>
    <s v="Neither easy nor difficult"/>
    <s v="Better Salary"/>
    <s v="Female"/>
    <n v="26"/>
    <s v="India"/>
    <s v="Masters"/>
    <s v="Asian or Asian American"/>
  </r>
  <r>
    <s v="62a4d13bbae91e4b8b84f89b"/>
    <s v="anonymous"/>
    <d v="2022-06-11T00:00:00"/>
    <d v="1899-12-30T13:30:00"/>
    <d v="1899-12-30T00:01:36"/>
    <m/>
    <m/>
    <m/>
    <m/>
    <m/>
    <s v="Data Engineer"/>
    <x v="0"/>
    <s v="0-40k"/>
    <n v="20"/>
    <s v="Tech"/>
    <s v="Python"/>
    <x v="2"/>
    <n v="5"/>
    <n v="8"/>
    <n v="6"/>
    <n v="5"/>
    <n v="7"/>
    <s v="Neither easy nor difficult"/>
    <s v="Better Salary"/>
    <s v="Male"/>
    <n v="28"/>
    <s v="Other"/>
    <s v="Bachelors"/>
    <s v="Hispanic or Latino"/>
  </r>
  <r>
    <s v="62a4d74c5d257a28a30f97fc"/>
    <s v="anonymous"/>
    <d v="2022-06-11T00:00:00"/>
    <d v="1899-12-30T13:56:00"/>
    <d v="1899-12-30T00:05:32"/>
    <m/>
    <m/>
    <m/>
    <m/>
    <m/>
    <s v="Other"/>
    <x v="1"/>
    <s v="0-40k"/>
    <n v="20"/>
    <s v="Other"/>
    <s v="Python"/>
    <x v="4"/>
    <n v="2"/>
    <n v="7"/>
    <n v="4"/>
    <n v="8"/>
    <n v="1"/>
    <s v="Difficult"/>
    <s v="Remote Work"/>
    <s v="Male"/>
    <n v="42"/>
    <s v="United Kingdom"/>
    <s v="Bachelors"/>
    <s v="Other"/>
  </r>
  <r>
    <s v="62a4d7f6bae91e4b8b84ffed"/>
    <s v="anonymous"/>
    <d v="2022-06-11T00:00:00"/>
    <d v="1899-12-30T13:59:00"/>
    <d v="1899-12-30T00:02:06"/>
    <m/>
    <m/>
    <m/>
    <m/>
    <m/>
    <s v="Data Analyst"/>
    <x v="1"/>
    <s v="0-40k"/>
    <n v="20"/>
    <s v="Other"/>
    <s v="R"/>
    <x v="5"/>
    <n v="10"/>
    <n v="2"/>
    <n v="3"/>
    <n v="2"/>
    <n v="3"/>
    <s v="Neither easy nor difficult"/>
    <s v="Better Salary"/>
    <s v="Male"/>
    <n v="30"/>
    <s v="Other"/>
    <s v="Masters"/>
    <s v="Other"/>
  </r>
  <r>
    <s v="62a4d9d4bae91e4b8b8501f1"/>
    <s v="anonymous"/>
    <d v="2022-06-11T00:00:00"/>
    <d v="1899-12-30T14:07:00"/>
    <d v="1899-12-30T00:01:22"/>
    <m/>
    <m/>
    <m/>
    <m/>
    <m/>
    <s v="Data Scientist"/>
    <x v="0"/>
    <s v="106k-125k"/>
    <n v="116"/>
    <s v="Tech"/>
    <s v="Other"/>
    <x v="3"/>
    <n v="9"/>
    <n v="8"/>
    <n v="8"/>
    <n v="9"/>
    <n v="10"/>
    <s v="Difficult"/>
    <s v="Better Salary"/>
    <s v="Male"/>
    <n v="25"/>
    <s v="United States"/>
    <s v="Associates"/>
    <s v="White or Caucasian"/>
  </r>
  <r>
    <s v="62a4dd63f408bae018ef4e51"/>
    <s v="anonymous"/>
    <d v="2022-06-11T00:00:00"/>
    <d v="1899-12-30T14:22:00"/>
    <d v="1899-12-30T00:01:00"/>
    <m/>
    <m/>
    <m/>
    <m/>
    <m/>
    <s v="Data Analyst"/>
    <x v="0"/>
    <s v="41k-65k"/>
    <n v="53"/>
    <s v="Construction"/>
    <s v="Python"/>
    <x v="5"/>
    <n v="6"/>
    <n v="6"/>
    <n v="6"/>
    <n v="5"/>
    <n v="7"/>
    <s v="Easy"/>
    <s v="Better Salary"/>
    <s v="Male"/>
    <n v="32"/>
    <s v="United States"/>
    <s v="Bachelors"/>
    <s v="Black or African American"/>
  </r>
  <r>
    <s v="62a4e34d7dc029e2d66e10b9"/>
    <s v="anonymous"/>
    <d v="2022-06-11T00:00:00"/>
    <d v="1899-12-30T14:47:00"/>
    <d v="1899-12-30T00:01:56"/>
    <m/>
    <m/>
    <m/>
    <m/>
    <m/>
    <s v="Data Analyst"/>
    <x v="1"/>
    <s v="0-40k"/>
    <n v="20"/>
    <s v="Tech"/>
    <s v="Python"/>
    <x v="6"/>
    <n v="4"/>
    <n v="5"/>
    <n v="5"/>
    <n v="6"/>
    <n v="6"/>
    <s v="Neither easy nor difficult"/>
    <s v="Better Salary"/>
    <s v="Male"/>
    <n v="31"/>
    <s v="Other"/>
    <s v="Masters"/>
    <s v="Asian or Asian American"/>
  </r>
  <r>
    <s v="62a4e4c90f8c8599d5b13d8f"/>
    <s v="anonymous"/>
    <d v="2022-06-11T00:00:00"/>
    <d v="1899-12-30T14:54:00"/>
    <d v="1899-12-30T10:34:43"/>
    <m/>
    <m/>
    <m/>
    <m/>
    <m/>
    <s v="Data Analyst"/>
    <x v="0"/>
    <s v="150k-225k"/>
    <n v="188"/>
    <s v="Education"/>
    <s v="Python"/>
    <x v="10"/>
    <n v="7"/>
    <n v="5"/>
    <n v="4"/>
    <n v="7"/>
    <n v="7"/>
    <s v="Easy"/>
    <s v="Remote Work"/>
    <s v="Male"/>
    <n v="30"/>
    <s v="Other"/>
    <s v="High School"/>
    <s v="White or Caucasian"/>
  </r>
  <r>
    <s v="62a4e5aed8c00e9f541bf48c"/>
    <s v="anonymous"/>
    <d v="2022-06-11T00:00:00"/>
    <d v="1899-12-30T14:57:00"/>
    <d v="1899-12-30T00:02:26"/>
    <m/>
    <m/>
    <m/>
    <m/>
    <m/>
    <s v="Student"/>
    <x v="0"/>
    <s v="0-40k"/>
    <n v="20"/>
    <s v="Other"/>
    <s v="Python"/>
    <x v="2"/>
    <n v="6"/>
    <n v="6"/>
    <n v="2"/>
    <n v="0"/>
    <n v="3"/>
    <s v="Neither easy nor difficult"/>
    <s v="Better Salary"/>
    <s v="Male"/>
    <n v="23"/>
    <s v="Canada"/>
    <s v="Bachelors"/>
    <s v="Asian or Asian American"/>
  </r>
  <r>
    <s v="62a4f6eef3072dd892645775"/>
    <s v="anonymous"/>
    <d v="2022-06-11T00:00:00"/>
    <d v="1899-12-30T16:11:00"/>
    <d v="1899-12-30T00:02:17"/>
    <m/>
    <m/>
    <m/>
    <m/>
    <m/>
    <s v="Other"/>
    <x v="1"/>
    <s v="66k-85k"/>
    <n v="76"/>
    <s v="Education"/>
    <s v="R"/>
    <x v="7"/>
    <n v="7"/>
    <n v="6"/>
    <n v="7"/>
    <n v="6"/>
    <n v="6"/>
    <s v="Easy"/>
    <s v="Remote Work"/>
    <s v="Female"/>
    <n v="31"/>
    <s v="United Kingdom"/>
    <s v="Bachelors"/>
    <s v="White or Caucasian"/>
  </r>
  <r>
    <s v="62a4fe370f8c8599d5b158c4"/>
    <s v="anonymous"/>
    <d v="2022-06-11T00:00:00"/>
    <d v="1899-12-30T16:42:00"/>
    <d v="1899-12-30T00:02:40"/>
    <m/>
    <m/>
    <m/>
    <m/>
    <m/>
    <s v="Data Analyst"/>
    <x v="1"/>
    <s v="41k-65k"/>
    <n v="53"/>
    <s v="Other"/>
    <s v="Python"/>
    <x v="7"/>
    <n v="5"/>
    <n v="9"/>
    <n v="9"/>
    <n v="4"/>
    <n v="9"/>
    <s v="Neither easy nor difficult"/>
    <s v="Good Work/Life Balance"/>
    <s v="Female"/>
    <n v="29"/>
    <s v="Other"/>
    <s v="Masters"/>
    <s v="Black or African American"/>
  </r>
  <r>
    <s v="62a5008c5d257a28a30fbde5"/>
    <s v="anonymous"/>
    <d v="2022-06-11T00:00:00"/>
    <d v="1899-12-30T16:52:00"/>
    <d v="1899-12-30T00:02:38"/>
    <m/>
    <m/>
    <m/>
    <m/>
    <m/>
    <s v="Data Analyst"/>
    <x v="0"/>
    <s v="0-40k"/>
    <n v="20"/>
    <s v="Tech"/>
    <s v="Python"/>
    <x v="8"/>
    <n v="4"/>
    <n v="4"/>
    <n v="5"/>
    <n v="7"/>
    <n v="10"/>
    <s v="Neither easy nor difficult"/>
    <s v="Remote Work"/>
    <s v="Male"/>
    <n v="24"/>
    <s v="Other"/>
    <s v="Bachelors"/>
    <s v="Other"/>
  </r>
  <r>
    <s v="62a5038acec54911e9cc9526"/>
    <s v="anonymous"/>
    <d v="2022-06-11T00:00:00"/>
    <d v="1899-12-30T17:05:00"/>
    <d v="1899-12-30T00:02:38"/>
    <m/>
    <m/>
    <m/>
    <m/>
    <m/>
    <s v="Other"/>
    <x v="1"/>
    <s v="41k-65k"/>
    <n v="53"/>
    <s v="Other"/>
    <s v="Python"/>
    <x v="4"/>
    <n v="7"/>
    <n v="6"/>
    <n v="5"/>
    <n v="6"/>
    <n v="4"/>
    <s v="Neither easy nor difficult"/>
    <s v="Better Salary"/>
    <s v="Male"/>
    <n v="36"/>
    <s v="United States"/>
    <s v="Masters"/>
    <s v="Asian or Asian American"/>
  </r>
  <r>
    <s v="62a50775f8f756164587677b"/>
    <s v="anonymous"/>
    <d v="2022-06-11T00:00:00"/>
    <d v="1899-12-30T17:21:00"/>
    <d v="1899-12-30T00:02:29"/>
    <m/>
    <m/>
    <m/>
    <m/>
    <m/>
    <s v="Data Analyst"/>
    <x v="0"/>
    <s v="41k-65k"/>
    <n v="53"/>
    <s v="Real Estate"/>
    <s v="R"/>
    <x v="5"/>
    <n v="6"/>
    <n v="6"/>
    <n v="6"/>
    <n v="6"/>
    <n v="6"/>
    <s v="Difficult"/>
    <s v="Remote Work"/>
    <s v="Female"/>
    <n v="32"/>
    <s v="United States"/>
    <s v="Masters"/>
    <s v="White or Caucasian"/>
  </r>
  <r>
    <s v="62a50eddf8d5efcc22fa1a4e"/>
    <s v="anonymous"/>
    <d v="2022-06-11T00:00:00"/>
    <d v="1899-12-30T17:53:00"/>
    <d v="1899-12-30T00:03:55"/>
    <m/>
    <m/>
    <m/>
    <m/>
    <m/>
    <s v="Other"/>
    <x v="0"/>
    <s v="86k-105k"/>
    <n v="96"/>
    <s v="Healthcare"/>
    <s v="Python"/>
    <x v="10"/>
    <n v="9"/>
    <n v="7"/>
    <n v="7"/>
    <n v="7"/>
    <n v="9"/>
    <s v="Difficult"/>
    <s v="Remote Work"/>
    <s v="Female"/>
    <n v="36"/>
    <s v="United States"/>
    <s v="Bachelors"/>
    <s v="White or Caucasian"/>
  </r>
  <r>
    <s v="62a511acbc6861bf3179178a"/>
    <s v="anonymous"/>
    <d v="2022-06-11T00:00:00"/>
    <d v="1899-12-30T18:05:00"/>
    <d v="1899-12-30T00:01:53"/>
    <m/>
    <m/>
    <m/>
    <m/>
    <m/>
    <s v="Data Engineer"/>
    <x v="1"/>
    <s v="106k-125k"/>
    <n v="116"/>
    <s v="Healthcare"/>
    <s v="Other"/>
    <x v="10"/>
    <n v="6"/>
    <n v="5"/>
    <n v="2"/>
    <n v="3"/>
    <n v="2"/>
    <s v="Easy"/>
    <s v="Better Salary"/>
    <s v="Male"/>
    <n v="30"/>
    <s v="United States"/>
    <s v="Bachelors"/>
    <s v="White or Caucasian"/>
  </r>
  <r>
    <s v="62a5177d18134ddc75d0e9d8"/>
    <s v="anonymous"/>
    <d v="2022-06-11T00:00:00"/>
    <d v="1899-12-30T18:30:00"/>
    <d v="1899-12-30T00:05:09"/>
    <m/>
    <m/>
    <m/>
    <m/>
    <m/>
    <s v="Student"/>
    <x v="0"/>
    <s v="0-40k"/>
    <n v="20"/>
    <s v="Other"/>
    <s v="R"/>
    <x v="2"/>
    <n v="2"/>
    <n v="2"/>
    <n v="3"/>
    <n v="3"/>
    <n v="4"/>
    <s v="Neither easy nor difficult"/>
    <s v="Good Work/Life Balance"/>
    <s v="Male"/>
    <n v="42"/>
    <s v="Other"/>
    <s v="Masters"/>
    <s v="Black or African American"/>
  </r>
  <r>
    <s v="62a51aaacec54911e9cca93b"/>
    <s v="anonymous"/>
    <d v="2022-06-11T00:00:00"/>
    <d v="1899-12-30T18:43:00"/>
    <d v="1899-12-30T00:03:26"/>
    <m/>
    <m/>
    <m/>
    <m/>
    <m/>
    <s v="Data Analyst"/>
    <x v="0"/>
    <s v="86k-105k"/>
    <n v="96"/>
    <s v="Healthcare"/>
    <s v="Other"/>
    <x v="9"/>
    <n v="6"/>
    <n v="6"/>
    <n v="5"/>
    <n v="4"/>
    <n v="4"/>
    <s v="Easy"/>
    <s v="Remote Work"/>
    <s v="Male"/>
    <n v="53"/>
    <s v="Other"/>
    <s v="PhD"/>
    <s v="White or Caucasian"/>
  </r>
  <r>
    <s v="62a51dc6575fa3a5ae8b09f3"/>
    <s v="anonymous"/>
    <d v="2022-06-11T00:00:00"/>
    <d v="1899-12-30T18:57:00"/>
    <d v="1899-12-30T00:03:17"/>
    <m/>
    <m/>
    <m/>
    <m/>
    <m/>
    <s v="Data Analyst"/>
    <x v="1"/>
    <s v="0-40k"/>
    <n v="20"/>
    <s v="Finance"/>
    <s v="Python"/>
    <x v="1"/>
    <n v="7"/>
    <n v="4"/>
    <n v="10"/>
    <n v="10"/>
    <n v="10"/>
    <s v="Neither easy nor difficult"/>
    <s v="Better Salary"/>
    <s v="Male"/>
    <n v="25"/>
    <s v="Other"/>
    <s v="High School"/>
    <s v="Other"/>
  </r>
  <r>
    <s v="62a51fe0575fa3a5ae8b0c06"/>
    <s v="anonymous"/>
    <d v="2022-06-11T00:00:00"/>
    <d v="1899-12-30T19:06:00"/>
    <d v="1899-12-30T00:02:21"/>
    <m/>
    <m/>
    <m/>
    <m/>
    <m/>
    <s v="Data Analyst"/>
    <x v="1"/>
    <s v="0-40k"/>
    <n v="20"/>
    <s v="Healthcare"/>
    <s v="Python"/>
    <x v="1"/>
    <n v="5"/>
    <n v="4"/>
    <n v="6"/>
    <n v="5"/>
    <n v="6"/>
    <s v="Neither easy nor difficult"/>
    <s v="Better Salary"/>
    <s v="Male"/>
    <n v="23"/>
    <s v="Other"/>
    <s v="Bachelors"/>
    <s v="White or Caucasian"/>
  </r>
  <r>
    <s v="62a525aff8f75616458784dd"/>
    <s v="anonymous"/>
    <d v="2022-06-11T00:00:00"/>
    <d v="1899-12-30T19:30:00"/>
    <d v="1899-12-30T00:03:25"/>
    <m/>
    <m/>
    <m/>
    <m/>
    <m/>
    <s v="Data Analyst"/>
    <x v="0"/>
    <s v="0-40k"/>
    <n v="20"/>
    <s v="Agriculture"/>
    <s v="Python"/>
    <x v="4"/>
    <n v="1"/>
    <n v="3"/>
    <n v="3"/>
    <n v="3"/>
    <n v="4"/>
    <s v="Difficult"/>
    <s v="Better Salary"/>
    <s v="Male"/>
    <n v="36"/>
    <s v="Other"/>
    <s v="Bachelors"/>
    <s v="Other"/>
  </r>
  <r>
    <s v="62a52629b4da29969c654a94"/>
    <s v="anonymous"/>
    <d v="2022-06-11T00:00:00"/>
    <d v="1899-12-30T19:32:00"/>
    <d v="1899-12-30T00:09:42"/>
    <m/>
    <m/>
    <m/>
    <m/>
    <m/>
    <s v="Data Analyst"/>
    <x v="0"/>
    <s v="41k-65k"/>
    <n v="53"/>
    <s v="Healthcare"/>
    <s v="Other"/>
    <x v="11"/>
    <m/>
    <m/>
    <m/>
    <m/>
    <n v="6"/>
    <s v="Easy"/>
    <s v="Good Work/Life Balance"/>
    <s v="Male"/>
    <n v="32"/>
    <s v="Other"/>
    <s v="Bachelors"/>
    <s v="Other"/>
  </r>
  <r>
    <s v="62a52725d8c00e9f541c3b4a"/>
    <s v="anonymous"/>
    <d v="2022-06-11T00:00:00"/>
    <d v="1899-12-30T19:37:00"/>
    <d v="1899-12-30T00:01:23"/>
    <m/>
    <m/>
    <m/>
    <m/>
    <m/>
    <s v="Data Analyst"/>
    <x v="1"/>
    <s v="86k-105k"/>
    <n v="96"/>
    <s v="Finance"/>
    <s v="Python"/>
    <x v="6"/>
    <n v="6"/>
    <n v="4"/>
    <n v="2"/>
    <n v="2"/>
    <n v="3"/>
    <s v="Difficult"/>
    <s v="Other"/>
    <s v="Male"/>
    <n v="25"/>
    <s v="United States"/>
    <s v="Masters"/>
    <s v="Hispanic or Latino"/>
  </r>
  <r>
    <s v="62a5390cb4da29969c655ccc"/>
    <s v="anonymous"/>
    <d v="2022-06-11T00:00:00"/>
    <d v="1899-12-30T20:53:00"/>
    <d v="1899-12-30T00:03:19"/>
    <m/>
    <m/>
    <m/>
    <m/>
    <m/>
    <s v="Data Engineer"/>
    <x v="0"/>
    <s v="41k-65k"/>
    <n v="53"/>
    <s v="Tech"/>
    <s v="Python"/>
    <x v="5"/>
    <n v="4"/>
    <n v="3"/>
    <n v="4"/>
    <n v="4"/>
    <n v="5"/>
    <s v="Neither easy nor difficult"/>
    <s v="Remote Work"/>
    <s v="Female"/>
    <n v="35"/>
    <s v="United Kingdom"/>
    <s v="Masters"/>
    <s v="Asian or Asian American"/>
  </r>
  <r>
    <s v="62a53bc0bc6861bf31793947"/>
    <s v="anonymous"/>
    <d v="2022-06-11T00:00:00"/>
    <d v="1899-12-30T21:05:00"/>
    <d v="1899-12-30T00:01:19"/>
    <m/>
    <m/>
    <m/>
    <m/>
    <m/>
    <s v="Data Analyst"/>
    <x v="0"/>
    <s v="66k-85k"/>
    <n v="76"/>
    <s v="Other"/>
    <s v="R"/>
    <x v="6"/>
    <n v="4"/>
    <n v="4"/>
    <n v="5"/>
    <n v="4"/>
    <n v="4"/>
    <s v="Very Easy"/>
    <s v="Better Salary"/>
    <s v="Male"/>
    <n v="26"/>
    <s v="United States"/>
    <s v="Bachelors"/>
    <s v="White or Caucasian"/>
  </r>
  <r>
    <s v="62a53c84f3072dd8926495c9"/>
    <s v="anonymous"/>
    <d v="2022-06-11T00:00:00"/>
    <d v="1899-12-30T21:08:00"/>
    <d v="1899-12-30T00:01:07"/>
    <m/>
    <m/>
    <m/>
    <m/>
    <m/>
    <s v="Student"/>
    <x v="1"/>
    <s v="0-40k"/>
    <n v="20"/>
    <s v="Tech"/>
    <s v="Python"/>
    <x v="4"/>
    <n v="7"/>
    <n v="9"/>
    <n v="7"/>
    <n v="3"/>
    <n v="3"/>
    <s v="Difficult"/>
    <s v="Remote Work"/>
    <s v="Male"/>
    <n v="22"/>
    <s v="United States"/>
    <s v="Bachelors"/>
    <s v="White or Caucasian"/>
  </r>
  <r>
    <s v="62a54bccf3072dd89264a13b"/>
    <s v="anonymous"/>
    <d v="2022-06-11T00:00:00"/>
    <d v="1899-12-30T22:13:00"/>
    <d v="1899-12-30T00:01:43"/>
    <m/>
    <m/>
    <m/>
    <m/>
    <m/>
    <s v="Data Scientist"/>
    <x v="0"/>
    <s v="86k-105k"/>
    <n v="96"/>
    <s v="Other"/>
    <s v="Python"/>
    <x v="9"/>
    <n v="8"/>
    <n v="10"/>
    <n v="9"/>
    <n v="6"/>
    <n v="8"/>
    <s v="Neither easy nor difficult"/>
    <s v="Better Salary"/>
    <s v="Male"/>
    <n v="30"/>
    <s v="Canada"/>
    <s v="Masters"/>
    <s v="Asian or Asian American"/>
  </r>
  <r>
    <s v="62a54f20d8c00e9f541c5cfa"/>
    <s v="anonymous"/>
    <d v="2022-06-11T00:00:00"/>
    <d v="1899-12-30T22:27:00"/>
    <d v="1899-12-30T00:02:37"/>
    <m/>
    <m/>
    <m/>
    <m/>
    <m/>
    <s v="Data Analyst"/>
    <x v="0"/>
    <s v="66k-85k"/>
    <n v="76"/>
    <s v="Other"/>
    <s v="Python"/>
    <x v="4"/>
    <n v="8"/>
    <n v="6"/>
    <n v="1"/>
    <n v="8"/>
    <n v="10"/>
    <s v="Neither easy nor difficult"/>
    <s v="Better Salary"/>
    <s v="Male"/>
    <n v="36"/>
    <s v="United States"/>
    <s v="Masters"/>
    <s v="White or Caucasian"/>
  </r>
  <r>
    <s v="62a552e1cf2555431732922d"/>
    <s v="anonymous"/>
    <d v="2022-06-11T00:00:00"/>
    <d v="1899-12-30T22:43:00"/>
    <d v="1899-12-30T00:02:25"/>
    <m/>
    <m/>
    <m/>
    <m/>
    <m/>
    <s v="Data Analyst"/>
    <x v="0"/>
    <s v="66k-85k"/>
    <n v="76"/>
    <s v="Healthcare"/>
    <s v="R"/>
    <x v="5"/>
    <n v="4"/>
    <n v="5"/>
    <n v="5"/>
    <n v="4"/>
    <n v="6"/>
    <s v="Neither easy nor difficult"/>
    <s v="Other"/>
    <s v="Female"/>
    <n v="30"/>
    <s v="United States"/>
    <s v="Masters"/>
    <s v="White or Caucasian"/>
  </r>
  <r>
    <s v="62a557d10f8c8599d5b1a81c"/>
    <s v="anonymous"/>
    <d v="2022-06-11T00:00:00"/>
    <d v="1899-12-30T23:04:00"/>
    <d v="1899-12-30T00:01:35"/>
    <m/>
    <m/>
    <m/>
    <m/>
    <m/>
    <s v="Data Scientist"/>
    <x v="0"/>
    <s v="106k-125k"/>
    <n v="116"/>
    <s v="Finance"/>
    <s v="Python"/>
    <x v="0"/>
    <n v="8"/>
    <n v="10"/>
    <n v="10"/>
    <n v="10"/>
    <n v="10"/>
    <s v="Difficult"/>
    <s v="Remote Work"/>
    <s v="Male"/>
    <n v="29"/>
    <s v="United States"/>
    <s v="Bachelors"/>
    <s v="Asian or Asian American"/>
  </r>
  <r>
    <s v="62a55b05f8d5efcc22fa5b65"/>
    <s v="anonymous"/>
    <d v="2022-06-11T00:00:00"/>
    <d v="1899-12-30T23:18:00"/>
    <d v="1899-12-30T00:04:47"/>
    <m/>
    <m/>
    <m/>
    <m/>
    <m/>
    <s v="Other"/>
    <x v="0"/>
    <s v="66k-85k"/>
    <n v="76"/>
    <s v="Other"/>
    <s v="R"/>
    <x v="10"/>
    <n v="10"/>
    <n v="10"/>
    <n v="7"/>
    <n v="8"/>
    <n v="5"/>
    <s v="Difficult"/>
    <s v="Other"/>
    <s v="Male"/>
    <n v="30"/>
    <s v="United States"/>
    <s v="Masters"/>
    <s v="White or Caucasian"/>
  </r>
  <r>
    <s v="62a55fe1f8d5efcc22fa5fe4"/>
    <s v="anonymous"/>
    <d v="2022-06-11T00:00:00"/>
    <d v="1899-12-30T23:39:00"/>
    <d v="1899-12-30T00:01:03"/>
    <m/>
    <m/>
    <m/>
    <m/>
    <m/>
    <s v="Data Engineer"/>
    <x v="1"/>
    <s v="41k-65k"/>
    <n v="53"/>
    <s v="Finance"/>
    <s v="Python"/>
    <x v="2"/>
    <n v="6"/>
    <n v="6"/>
    <n v="6"/>
    <n v="6"/>
    <n v="6"/>
    <s v="Very Easy"/>
    <s v="Better Salary"/>
    <s v="Male"/>
    <n v="24"/>
    <s v="United States"/>
    <s v="Bachelors"/>
    <s v="Black or African American"/>
  </r>
  <r>
    <s v="62a56bc67dc029e2d66e86c0"/>
    <s v="anonymous"/>
    <d v="2022-06-12T00:00:00"/>
    <d v="1899-12-30T00:29:00"/>
    <d v="1899-12-30T00:01:37"/>
    <m/>
    <m/>
    <m/>
    <m/>
    <m/>
    <s v="Data Engineer"/>
    <x v="0"/>
    <s v="225k+"/>
    <s v="null"/>
    <s v="Tech"/>
    <s v="Other"/>
    <x v="6"/>
    <n v="3"/>
    <n v="4"/>
    <n v="4"/>
    <n v="3"/>
    <n v="5"/>
    <s v="Neither easy nor difficult"/>
    <s v="Better Salary"/>
    <s v="Male"/>
    <n v="33"/>
    <s v="United States"/>
    <s v="Bachelors"/>
    <s v="Asian or Asian American"/>
  </r>
  <r>
    <s v="62a57116f408bae018efd56a"/>
    <s v="anonymous"/>
    <d v="2022-06-12T00:00:00"/>
    <d v="1899-12-30T00:52:00"/>
    <d v="1899-12-30T00:01:37"/>
    <m/>
    <m/>
    <m/>
    <m/>
    <m/>
    <s v="Data Analyst"/>
    <x v="1"/>
    <s v="106k-125k"/>
    <n v="116"/>
    <s v="Other"/>
    <s v="Python"/>
    <x v="3"/>
    <n v="10"/>
    <n v="10"/>
    <n v="10"/>
    <n v="10"/>
    <n v="6"/>
    <s v="Easy"/>
    <s v="Better Salary"/>
    <s v="Female"/>
    <n v="42"/>
    <s v="United States"/>
    <s v="Bachelors"/>
    <s v="White or Caucasian"/>
  </r>
  <r>
    <s v="62a57263cec54911e9ccf648"/>
    <s v="anonymous"/>
    <d v="2022-06-12T00:00:00"/>
    <d v="1899-12-30T00:58:00"/>
    <d v="1899-12-30T00:01:54"/>
    <m/>
    <m/>
    <m/>
    <m/>
    <m/>
    <s v="Data Analyst"/>
    <x v="0"/>
    <s v="41k-65k"/>
    <n v="53"/>
    <s v="Healthcare"/>
    <s v="Python"/>
    <x v="1"/>
    <n v="10"/>
    <n v="10"/>
    <n v="8"/>
    <n v="10"/>
    <n v="3"/>
    <s v="Neither easy nor difficult"/>
    <s v="Better Salary"/>
    <s v="Female"/>
    <n v="36"/>
    <s v="United States"/>
    <s v="Bachelors"/>
    <s v="White or Caucasian"/>
  </r>
  <r>
    <s v="62a574b3b4da29969c658eb4"/>
    <s v="anonymous"/>
    <d v="2022-06-12T00:00:00"/>
    <d v="1899-12-30T01:08:00"/>
    <d v="1899-12-30T00:01:43"/>
    <m/>
    <m/>
    <m/>
    <m/>
    <m/>
    <s v="Data Analyst"/>
    <x v="0"/>
    <s v="41k-65k"/>
    <n v="53"/>
    <s v="Other"/>
    <s v="Python"/>
    <x v="4"/>
    <n v="3"/>
    <n v="7"/>
    <n v="6"/>
    <n v="5"/>
    <n v="6"/>
    <s v="Neither easy nor difficult"/>
    <s v="Better Salary"/>
    <s v="Male"/>
    <n v="27"/>
    <s v="United States"/>
    <s v="Bachelors"/>
    <s v="White or Caucasian"/>
  </r>
  <r>
    <s v="62a58b267dc029e2d66ea3f8"/>
    <s v="anonymous"/>
    <d v="2022-06-12T00:00:00"/>
    <d v="1899-12-30T02:43:00"/>
    <d v="1899-12-30T00:01:35"/>
    <m/>
    <m/>
    <m/>
    <m/>
    <m/>
    <s v="Data Analyst"/>
    <x v="1"/>
    <s v="0-40k"/>
    <n v="20"/>
    <s v="Tech"/>
    <s v="Python"/>
    <x v="10"/>
    <n v="7"/>
    <n v="8"/>
    <n v="7"/>
    <n v="7"/>
    <n v="9"/>
    <s v="Easy"/>
    <s v="Other"/>
    <s v="Female"/>
    <n v="21"/>
    <s v="India"/>
    <s v="Bachelors"/>
    <s v="Asian or Asian American"/>
  </r>
  <r>
    <s v="62a58d20575fa3a5ae8b6969"/>
    <s v="anonymous"/>
    <d v="2022-06-12T00:00:00"/>
    <d v="1899-12-30T02:52:00"/>
    <d v="1899-12-30T00:01:31"/>
    <m/>
    <m/>
    <m/>
    <m/>
    <m/>
    <s v="Data Analyst"/>
    <x v="0"/>
    <s v="41k-65k"/>
    <n v="53"/>
    <s v="Healthcare"/>
    <s v="Python"/>
    <x v="10"/>
    <n v="5"/>
    <n v="8"/>
    <n v="8"/>
    <n v="5"/>
    <n v="10"/>
    <s v="Difficult"/>
    <s v="Remote Work"/>
    <s v="Female"/>
    <n v="34"/>
    <s v="Other"/>
    <s v="Masters"/>
    <s v="White or Caucasian"/>
  </r>
  <r>
    <s v="62a58faf2e54c9003e55ef2e"/>
    <s v="anonymous"/>
    <d v="2022-06-12T00:00:00"/>
    <d v="1899-12-30T03:03:00"/>
    <d v="1899-12-30T00:01:20"/>
    <m/>
    <m/>
    <m/>
    <m/>
    <m/>
    <s v="Student"/>
    <x v="1"/>
    <s v="0-40k"/>
    <n v="20"/>
    <s v="Education"/>
    <s v="Python"/>
    <x v="4"/>
    <n v="5"/>
    <n v="5"/>
    <n v="5"/>
    <n v="2"/>
    <n v="4"/>
    <s v="Difficult"/>
    <s v="Better Salary"/>
    <s v="Male"/>
    <n v="27"/>
    <s v="Other"/>
    <s v="Bachelors"/>
    <s v="White or Caucasian"/>
  </r>
  <r>
    <s v="62a5998fbc6861bf31798ef0"/>
    <s v="anonymous"/>
    <d v="2022-06-12T00:00:00"/>
    <d v="1899-12-30T03:45:00"/>
    <d v="1899-12-30T00:01:58"/>
    <m/>
    <m/>
    <m/>
    <m/>
    <m/>
    <s v="Other"/>
    <x v="0"/>
    <s v="0-40k"/>
    <n v="20"/>
    <s v="Tech"/>
    <s v="Python"/>
    <x v="7"/>
    <n v="8"/>
    <n v="8"/>
    <n v="8"/>
    <n v="8"/>
    <n v="7"/>
    <s v="Neither easy nor difficult"/>
    <s v="Good Culture"/>
    <s v="Male"/>
    <n v="27"/>
    <s v="Other"/>
    <s v="Masters"/>
    <s v="White or Caucasian"/>
  </r>
  <r>
    <s v="62a59cd2cec54911e9cd251a"/>
    <s v="anonymous"/>
    <d v="2022-06-12T00:00:00"/>
    <d v="1899-12-30T03:59:00"/>
    <d v="1899-12-30T00:03:34"/>
    <m/>
    <m/>
    <m/>
    <m/>
    <m/>
    <s v="Student"/>
    <x v="1"/>
    <s v="0-40k"/>
    <n v="20"/>
    <s v="Education"/>
    <s v="R"/>
    <x v="1"/>
    <n v="1"/>
    <n v="2"/>
    <n v="1"/>
    <n v="0"/>
    <n v="3"/>
    <s v="Neither easy nor difficult"/>
    <s v="Good Work/Life Balance"/>
    <s v="Male"/>
    <n v="30"/>
    <s v="Other"/>
    <s v="Associates"/>
    <s v="Other"/>
  </r>
  <r>
    <s v="62a59d007dc029e2d66eb8f9"/>
    <s v="anonymous"/>
    <d v="2022-06-12T00:00:00"/>
    <d v="1899-12-30T04:00:00"/>
    <d v="1899-12-30T00:01:29"/>
    <m/>
    <m/>
    <m/>
    <m/>
    <m/>
    <s v="Data Analyst"/>
    <x v="0"/>
    <s v="66k-85k"/>
    <n v="76"/>
    <s v="Other"/>
    <s v="Other"/>
    <x v="4"/>
    <n v="0"/>
    <n v="0"/>
    <n v="0"/>
    <n v="0"/>
    <n v="2"/>
    <s v="Difficult"/>
    <s v="Better Salary"/>
    <s v="Female"/>
    <n v="33"/>
    <s v="United States"/>
    <s v="Bachelors"/>
    <s v="White or Caucasian"/>
  </r>
  <r>
    <s v="62a5a124cec54911e9cd29f5"/>
    <s v="anonymous"/>
    <d v="2022-06-12T00:00:00"/>
    <d v="1899-12-30T04:17:00"/>
    <d v="1899-12-30T00:01:57"/>
    <m/>
    <m/>
    <m/>
    <m/>
    <m/>
    <s v="Data Analyst"/>
    <x v="0"/>
    <s v="86k-105k"/>
    <n v="96"/>
    <s v="Finance"/>
    <s v="Python"/>
    <x v="6"/>
    <n v="3"/>
    <n v="4"/>
    <n v="4"/>
    <n v="4"/>
    <n v="4"/>
    <s v="Difficult"/>
    <s v="Good Culture"/>
    <s v="Male"/>
    <n v="47"/>
    <s v="India"/>
    <s v="Masters"/>
    <s v="American Indian or Alaska Native"/>
  </r>
  <r>
    <s v="62a5a44b24a26260273af0fc"/>
    <s v="anonymous"/>
    <d v="2022-06-12T00:00:00"/>
    <d v="1899-12-30T04:31:00"/>
    <d v="1899-12-30T00:01:34"/>
    <m/>
    <m/>
    <m/>
    <m/>
    <m/>
    <s v="Data Analyst"/>
    <x v="0"/>
    <s v="66k-85k"/>
    <n v="76"/>
    <s v="Other"/>
    <s v="Other"/>
    <x v="5"/>
    <n v="5"/>
    <n v="4"/>
    <n v="5"/>
    <n v="4"/>
    <n v="4"/>
    <s v="Difficult"/>
    <s v="Other"/>
    <s v="Male"/>
    <n v="27"/>
    <s v="United States"/>
    <s v="Masters"/>
    <s v="Asian or Asian American"/>
  </r>
  <r>
    <s v="62a5a931cec54911e9cd3333"/>
    <s v="anonymous"/>
    <d v="2022-06-12T00:00:00"/>
    <d v="1899-12-30T04:52:00"/>
    <d v="1899-12-30T00:03:19"/>
    <m/>
    <m/>
    <m/>
    <m/>
    <m/>
    <s v="Data Analyst"/>
    <x v="1"/>
    <s v="0-40k"/>
    <n v="20"/>
    <s v="Healthcare"/>
    <s v="Python"/>
    <x v="9"/>
    <n v="7"/>
    <n v="8"/>
    <n v="7"/>
    <n v="6"/>
    <n v="7"/>
    <s v="Neither easy nor difficult"/>
    <s v="Better Salary"/>
    <s v="Male"/>
    <n v="26"/>
    <s v="India"/>
    <s v="Bachelors"/>
    <s v="Asian or Asian American"/>
  </r>
  <r>
    <s v="62a5bea05d257a28a3106f7e"/>
    <s v="anonymous"/>
    <d v="2022-06-12T00:00:00"/>
    <d v="1899-12-30T06:23:00"/>
    <d v="1899-12-30T00:01:41"/>
    <m/>
    <m/>
    <m/>
    <m/>
    <m/>
    <s v="Data Analyst"/>
    <x v="1"/>
    <s v="0-40k"/>
    <n v="20"/>
    <s v="Finance"/>
    <s v="Python"/>
    <x v="4"/>
    <n v="3"/>
    <n v="2"/>
    <n v="5"/>
    <n v="5"/>
    <n v="6"/>
    <s v="Neither easy nor difficult"/>
    <s v="Remote Work"/>
    <s v="Female"/>
    <n v="35"/>
    <s v="India"/>
    <s v="Masters"/>
    <s v="Asian or Asian American"/>
  </r>
  <r>
    <s v="62a5c571575fa3a5ae8baaa1"/>
    <s v="anonymous"/>
    <d v="2022-06-12T00:00:00"/>
    <d v="1899-12-30T06:52:00"/>
    <d v="1899-12-30T00:01:11"/>
    <m/>
    <m/>
    <m/>
    <m/>
    <m/>
    <s v="Data Analyst"/>
    <x v="0"/>
    <s v="86k-105k"/>
    <n v="96"/>
    <s v="Education"/>
    <s v="Python"/>
    <x v="2"/>
    <n v="1"/>
    <n v="1"/>
    <n v="0"/>
    <n v="0"/>
    <n v="0"/>
    <s v="Neither easy nor difficult"/>
    <s v="Good Culture"/>
    <s v="Male"/>
    <n v="31"/>
    <s v="United States"/>
    <s v="Masters"/>
    <s v="Hispanic or Latino"/>
  </r>
  <r>
    <s v="62a5cb12cf25554317330d69"/>
    <s v="anonymous"/>
    <d v="2022-06-12T00:00:00"/>
    <d v="1899-12-30T07:16:00"/>
    <d v="1899-12-30T00:03:44"/>
    <m/>
    <m/>
    <m/>
    <m/>
    <m/>
    <s v="Data Analyst"/>
    <x v="0"/>
    <s v="0-40k"/>
    <n v="20"/>
    <s v="Education"/>
    <s v="Python"/>
    <x v="4"/>
    <n v="1"/>
    <n v="2"/>
    <n v="3"/>
    <n v="4"/>
    <n v="3"/>
    <s v="Difficult"/>
    <s v="Remote Work"/>
    <s v="Male"/>
    <n v="25"/>
    <s v="Other"/>
    <s v="Bachelors"/>
    <s v="Black or African American"/>
  </r>
  <r>
    <s v="62a5cba2575fa3a5ae8bb122"/>
    <s v="anonymous"/>
    <d v="2022-06-12T00:00:00"/>
    <d v="1899-12-30T07:18:00"/>
    <d v="1899-12-30T00:02:11"/>
    <m/>
    <m/>
    <m/>
    <m/>
    <m/>
    <s v="Data Engineer"/>
    <x v="0"/>
    <s v="66k-85k"/>
    <n v="76"/>
    <s v="Real Estate"/>
    <s v="Python"/>
    <x v="6"/>
    <n v="10"/>
    <n v="8"/>
    <n v="8"/>
    <n v="10"/>
    <n v="10"/>
    <s v="Easy"/>
    <s v="Remote Work"/>
    <s v="Male"/>
    <n v="27"/>
    <s v="United States"/>
    <s v="Bachelors"/>
    <s v="White or Caucasian"/>
  </r>
  <r>
    <s v="62a5d350f3072dd892652c70"/>
    <s v="anonymous"/>
    <d v="2022-06-12T00:00:00"/>
    <d v="1899-12-30T07:51:00"/>
    <d v="1899-12-30T00:01:57"/>
    <m/>
    <m/>
    <m/>
    <m/>
    <m/>
    <s v="Data Analyst"/>
    <x v="0"/>
    <s v="41k-65k"/>
    <n v="53"/>
    <s v="Tech"/>
    <s v="Python"/>
    <x v="8"/>
    <n v="8"/>
    <n v="3"/>
    <n v="2"/>
    <n v="4"/>
    <n v="8"/>
    <s v="Neither easy nor difficult"/>
    <s v="Good Culture"/>
    <s v="Male"/>
    <n v="32"/>
    <s v="Other"/>
    <s v="Bachelors"/>
    <s v="White or Caucasian"/>
  </r>
  <r>
    <s v="62a5db29cf2555431733248f"/>
    <s v="anonymous"/>
    <d v="2022-06-12T00:00:00"/>
    <d v="1899-12-30T08:25:00"/>
    <d v="1899-12-30T00:02:42"/>
    <m/>
    <m/>
    <m/>
    <m/>
    <m/>
    <s v="Student"/>
    <x v="0"/>
    <s v="0-40k"/>
    <n v="20"/>
    <s v="Real Estate"/>
    <s v="Python"/>
    <x v="2"/>
    <n v="3"/>
    <n v="3"/>
    <n v="3"/>
    <n v="3"/>
    <n v="6"/>
    <s v="Difficult"/>
    <s v="Good Work/Life Balance"/>
    <s v="Male"/>
    <n v="47"/>
    <s v="Other"/>
    <s v="Bachelors"/>
    <s v="White or Caucasian"/>
  </r>
  <r>
    <s v="62a5e69f24a26260273b42bf"/>
    <s v="anonymous"/>
    <d v="2022-06-12T00:00:00"/>
    <d v="1899-12-30T09:14:00"/>
    <d v="1899-12-30T00:01:31"/>
    <m/>
    <m/>
    <m/>
    <m/>
    <m/>
    <s v="Other"/>
    <x v="1"/>
    <s v="66k-85k"/>
    <n v="76"/>
    <s v="Finance"/>
    <s v="Python"/>
    <x v="2"/>
    <n v="10"/>
    <n v="10"/>
    <n v="5"/>
    <n v="0"/>
    <n v="0"/>
    <s v="Neither easy nor difficult"/>
    <s v="Good Work/Life Balance"/>
    <s v="Female"/>
    <n v="30"/>
    <s v="United States"/>
    <s v="Masters"/>
    <s v="Asian or Asian American"/>
  </r>
  <r>
    <s v="62a5ea667dc029e2d66f153d"/>
    <s v="anonymous"/>
    <d v="2022-06-12T00:00:00"/>
    <d v="1899-12-30T09:30:00"/>
    <d v="1899-12-30T00:01:52"/>
    <m/>
    <m/>
    <m/>
    <m/>
    <m/>
    <s v="Data Analyst"/>
    <x v="0"/>
    <s v="106k-125k"/>
    <n v="116"/>
    <s v="Other"/>
    <s v="Python"/>
    <x v="10"/>
    <n v="6"/>
    <n v="6"/>
    <n v="7"/>
    <n v="9"/>
    <n v="10"/>
    <s v="Easy"/>
    <s v="Better Salary"/>
    <s v="Female"/>
    <n v="35"/>
    <s v="United States"/>
    <s v="Masters"/>
    <s v="Black or African American"/>
  </r>
  <r>
    <s v="62a5ebe05d257a28a310ac53"/>
    <s v="anonymous"/>
    <d v="2022-06-12T00:00:00"/>
    <d v="1899-12-30T09:36:00"/>
    <d v="1899-12-30T00:02:16"/>
    <m/>
    <m/>
    <m/>
    <m/>
    <m/>
    <s v="Data Analyst"/>
    <x v="0"/>
    <s v="41k-65k"/>
    <n v="53"/>
    <s v="Finance"/>
    <s v="Python"/>
    <x v="9"/>
    <n v="9"/>
    <n v="5"/>
    <n v="7"/>
    <n v="8"/>
    <n v="9"/>
    <s v="Difficult"/>
    <s v="Remote Work"/>
    <s v="Male"/>
    <n v="25"/>
    <s v="United States"/>
    <s v="High School"/>
    <s v="Hispanic or Latino"/>
  </r>
  <r>
    <s v="62a5edb2575fa3a5ae8bdba5"/>
    <s v="anonymous"/>
    <d v="2022-06-12T00:00:00"/>
    <d v="1899-12-30T09:44:00"/>
    <d v="1899-12-30T00:03:02"/>
    <m/>
    <m/>
    <m/>
    <m/>
    <m/>
    <s v="Other"/>
    <x v="1"/>
    <s v="66k-85k"/>
    <n v="76"/>
    <s v="Other"/>
    <s v="Python"/>
    <x v="6"/>
    <n v="6"/>
    <n v="6"/>
    <n v="6"/>
    <n v="6"/>
    <n v="6"/>
    <s v="Neither easy nor difficult"/>
    <s v="Better Salary"/>
    <s v="Male"/>
    <n v="27"/>
    <s v="United States"/>
    <s v="Bachelors"/>
    <s v="White or Caucasian"/>
  </r>
  <r>
    <s v="62a5edba0a77c1a77f68f1b5"/>
    <s v="anonymous"/>
    <d v="2022-06-12T00:00:00"/>
    <d v="1899-12-30T09:44:00"/>
    <d v="1899-12-30T00:01:20"/>
    <m/>
    <m/>
    <m/>
    <m/>
    <m/>
    <s v="Data Analyst"/>
    <x v="0"/>
    <s v="41k-65k"/>
    <n v="53"/>
    <s v="Healthcare"/>
    <s v="R"/>
    <x v="1"/>
    <n v="5"/>
    <n v="3"/>
    <n v="3"/>
    <n v="6"/>
    <n v="5"/>
    <s v="Difficult"/>
    <s v="Remote Work"/>
    <s v="Female"/>
    <n v="27"/>
    <s v="United States"/>
    <s v="Masters"/>
    <s v="Black or African American"/>
  </r>
  <r>
    <s v="62a5f332bc6861bf3179f631"/>
    <s v="anonymous"/>
    <d v="2022-06-12T00:00:00"/>
    <d v="1899-12-30T10:07:00"/>
    <d v="1899-12-30T00:01:52"/>
    <m/>
    <m/>
    <m/>
    <m/>
    <m/>
    <s v="Student"/>
    <x v="1"/>
    <s v="0-40k"/>
    <n v="20"/>
    <s v="Other"/>
    <s v="Python"/>
    <x v="1"/>
    <n v="8"/>
    <n v="8"/>
    <n v="1"/>
    <n v="3"/>
    <n v="7"/>
    <s v="Very Easy"/>
    <s v="Better Salary"/>
    <s v="Female"/>
    <n v="23"/>
    <s v="India"/>
    <s v="Masters"/>
    <s v="Asian or Asian American"/>
  </r>
  <r>
    <s v="62a5f872bae91e4b8b861e53"/>
    <s v="anonymous"/>
    <d v="2022-06-12T00:00:00"/>
    <d v="1899-12-30T10:30:00"/>
    <d v="1899-12-30T00:02:10"/>
    <m/>
    <m/>
    <m/>
    <m/>
    <m/>
    <s v="Data Scientist"/>
    <x v="1"/>
    <s v="41k-65k"/>
    <n v="53"/>
    <s v="Other"/>
    <s v="Python"/>
    <x v="0"/>
    <n v="10"/>
    <n v="10"/>
    <n v="10"/>
    <n v="10"/>
    <n v="10"/>
    <s v="Neither easy nor difficult"/>
    <s v="Good Culture"/>
    <s v="Male"/>
    <n v="18"/>
    <s v="United States"/>
    <s v="Bachelors"/>
    <s v="White or Caucasian"/>
  </r>
  <r>
    <s v="62a609b8f8f75616458875b7"/>
    <s v="anonymous"/>
    <d v="2022-06-12T00:00:00"/>
    <d v="1899-12-30T11:43:00"/>
    <d v="1899-12-30T00:01:42"/>
    <m/>
    <m/>
    <m/>
    <m/>
    <m/>
    <s v="Data Analyst"/>
    <x v="0"/>
    <s v="0-40k"/>
    <n v="20"/>
    <s v="Healthcare"/>
    <s v="Python"/>
    <x v="10"/>
    <n v="10"/>
    <n v="9"/>
    <n v="6"/>
    <n v="8"/>
    <n v="9"/>
    <s v="Easy"/>
    <s v="Remote Work"/>
    <s v="Female"/>
    <n v="28"/>
    <s v="Other"/>
    <s v="Masters"/>
    <s v="Hispanic or Latino"/>
  </r>
  <r>
    <s v="62a609c4bc6861bf317a10a3"/>
    <s v="anonymous"/>
    <d v="2022-06-12T00:00:00"/>
    <d v="1899-12-30T11:44:00"/>
    <d v="1899-12-30T00:01:20"/>
    <m/>
    <m/>
    <m/>
    <m/>
    <m/>
    <s v="Other"/>
    <x v="0"/>
    <s v="125k-150k"/>
    <n v="138"/>
    <s v="Healthcare"/>
    <s v="Python"/>
    <x v="7"/>
    <n v="6"/>
    <n v="8"/>
    <n v="8"/>
    <n v="8"/>
    <n v="7"/>
    <s v="Easy"/>
    <s v="Remote Work"/>
    <s v="Male"/>
    <n v="28"/>
    <s v="United States"/>
    <s v="Bachelors"/>
    <s v="White or Caucasian"/>
  </r>
  <r>
    <s v="62a61076f8f7561645887ded"/>
    <s v="anonymous"/>
    <d v="2022-06-12T00:00:00"/>
    <d v="1899-12-30T12:12:00"/>
    <d v="1899-12-30T00:01:35"/>
    <m/>
    <m/>
    <m/>
    <m/>
    <m/>
    <s v="Student"/>
    <x v="1"/>
    <s v="0-40k"/>
    <n v="20"/>
    <s v="Other"/>
    <s v="Python"/>
    <x v="2"/>
    <n v="0"/>
    <n v="0"/>
    <n v="0"/>
    <n v="0"/>
    <n v="0"/>
    <s v="Easy"/>
    <s v="Good Work/Life Balance"/>
    <s v="Female"/>
    <n v="26"/>
    <s v="United States"/>
    <s v="Bachelors"/>
    <s v="American Indian or Alaska Native"/>
  </r>
  <r>
    <s v="62a615fd18134ddc75d1f1fa"/>
    <s v="anonymous"/>
    <d v="2022-06-12T00:00:00"/>
    <d v="1899-12-30T12:36:00"/>
    <d v="1899-12-30T00:01:57"/>
    <m/>
    <m/>
    <m/>
    <m/>
    <m/>
    <s v="Student"/>
    <x v="1"/>
    <s v="0-40k"/>
    <n v="20"/>
    <s v="Education"/>
    <s v="Python"/>
    <x v="2"/>
    <n v="0"/>
    <n v="3"/>
    <n v="0"/>
    <n v="0"/>
    <n v="8"/>
    <s v="Difficult"/>
    <s v="Better Salary"/>
    <s v="Male"/>
    <n v="27"/>
    <s v="Other"/>
    <s v="Bachelors"/>
    <s v="Black or African American"/>
  </r>
  <r>
    <s v="62a617c30a77c1a77f6925fc"/>
    <s v="anonymous"/>
    <d v="2022-06-12T00:00:00"/>
    <d v="1899-12-30T12:43:00"/>
    <d v="1899-12-30T00:02:48"/>
    <m/>
    <m/>
    <m/>
    <m/>
    <m/>
    <s v="Data Analyst"/>
    <x v="1"/>
    <s v="41k-65k"/>
    <n v="53"/>
    <s v="Tech"/>
    <s v="Python"/>
    <x v="0"/>
    <n v="7"/>
    <n v="9"/>
    <n v="10"/>
    <n v="10"/>
    <n v="10"/>
    <s v="Neither easy nor difficult"/>
    <s v="Good Work/Life Balance"/>
    <s v="Female"/>
    <n v="22"/>
    <s v="India"/>
    <s v="Masters"/>
    <s v="Asian or Asian American"/>
  </r>
  <r>
    <s v="62a618a9d8c00e9f541d3537"/>
    <s v="anonymous"/>
    <d v="2022-06-12T00:00:00"/>
    <d v="1899-12-30T12:47:00"/>
    <d v="1899-12-30T00:01:56"/>
    <m/>
    <m/>
    <m/>
    <m/>
    <m/>
    <s v="Data Analyst"/>
    <x v="0"/>
    <s v="0-40k"/>
    <n v="20"/>
    <s v="Tech"/>
    <s v="R"/>
    <x v="2"/>
    <n v="8"/>
    <n v="7"/>
    <n v="6"/>
    <n v="3"/>
    <n v="9"/>
    <s v="Very Difficult"/>
    <s v="Better Salary"/>
    <s v="Male"/>
    <n v="27"/>
    <s v="United States"/>
    <s v="High School"/>
    <s v="White or Caucasian"/>
  </r>
  <r>
    <s v="62a61eb02e54c9003e5697f7"/>
    <s v="anonymous"/>
    <d v="2022-06-12T00:00:00"/>
    <d v="1899-12-30T13:13:00"/>
    <d v="1899-12-30T00:01:43"/>
    <m/>
    <m/>
    <m/>
    <m/>
    <m/>
    <s v="Data Engineer"/>
    <x v="0"/>
    <s v="0-40k"/>
    <n v="20"/>
    <s v="Other"/>
    <s v="Python"/>
    <x v="8"/>
    <n v="7"/>
    <n v="6"/>
    <n v="8"/>
    <n v="7"/>
    <n v="7"/>
    <s v="Neither easy nor difficult"/>
    <s v="Good Work/Life Balance"/>
    <s v="Male"/>
    <n v="28"/>
    <s v="India"/>
    <s v="Bachelors"/>
    <s v="Asian or Asian American"/>
  </r>
  <r>
    <s v="62a6246df3072dd892659218"/>
    <s v="anonymous"/>
    <d v="2022-06-12T00:00:00"/>
    <d v="1899-12-30T13:37:00"/>
    <d v="1899-12-30T00:01:46"/>
    <m/>
    <m/>
    <m/>
    <m/>
    <m/>
    <s v="Data Analyst"/>
    <x v="0"/>
    <s v="0-40k"/>
    <n v="20"/>
    <s v="Tech"/>
    <s v="Python"/>
    <x v="6"/>
    <n v="2"/>
    <n v="4"/>
    <n v="3"/>
    <n v="3"/>
    <n v="3"/>
    <s v="Neither easy nor difficult"/>
    <s v="Better Salary"/>
    <s v="Male"/>
    <n v="25"/>
    <s v="Other"/>
    <s v="High School"/>
    <s v="Black or African American"/>
  </r>
  <r>
    <s v="62a62a7124a26260273b94fa"/>
    <s v="anonymous"/>
    <d v="2022-06-12T00:00:00"/>
    <d v="1899-12-30T14:03:00"/>
    <d v="1899-12-30T00:01:52"/>
    <m/>
    <m/>
    <m/>
    <m/>
    <m/>
    <s v="Data Analyst"/>
    <x v="1"/>
    <s v="0-40k"/>
    <n v="20"/>
    <s v="Healthcare"/>
    <s v="Python"/>
    <x v="4"/>
    <n v="6"/>
    <n v="6"/>
    <n v="7"/>
    <n v="7"/>
    <n v="9"/>
    <s v="Difficult"/>
    <s v="Better Salary"/>
    <s v="Male"/>
    <n v="32"/>
    <s v="United Kingdom"/>
    <s v="Bachelors"/>
    <s v="Hispanic or Latino"/>
  </r>
  <r>
    <s v="62a631782e54c9003e56ac36"/>
    <s v="anonymous"/>
    <d v="2022-06-12T00:00:00"/>
    <d v="1899-12-30T14:33:00"/>
    <d v="1899-12-30T00:10:34"/>
    <m/>
    <m/>
    <m/>
    <m/>
    <m/>
    <s v="Student"/>
    <x v="0"/>
    <s v="0-40k"/>
    <n v="20"/>
    <s v="Finance"/>
    <s v="Other"/>
    <x v="7"/>
    <n v="9"/>
    <n v="10"/>
    <n v="10"/>
    <n v="3"/>
    <n v="4"/>
    <s v="Easy"/>
    <s v="Remote Work"/>
    <s v="Male"/>
    <n v="33"/>
    <s v="Other"/>
    <s v="Bachelors"/>
    <s v="White or Caucasian"/>
  </r>
  <r>
    <s v="62a633b4d8c00e9f541d54a4"/>
    <s v="anonymous"/>
    <d v="2022-06-12T00:00:00"/>
    <d v="1899-12-30T14:43:00"/>
    <d v="1899-12-30T00:02:53"/>
    <m/>
    <m/>
    <m/>
    <m/>
    <m/>
    <s v="Data Analyst"/>
    <x v="1"/>
    <s v="41k-65k"/>
    <n v="53"/>
    <s v="Other"/>
    <s v="Python"/>
    <x v="8"/>
    <n v="6"/>
    <n v="5"/>
    <n v="2"/>
    <n v="3"/>
    <n v="3"/>
    <s v="Easy"/>
    <s v="Remote Work"/>
    <s v="Male"/>
    <n v="23"/>
    <s v="Canada"/>
    <s v="Masters"/>
    <s v="Black or African American"/>
  </r>
  <r>
    <s v="62a639e05d257a28a3110ef5"/>
    <s v="anonymous"/>
    <d v="2022-06-12T00:00:00"/>
    <d v="1899-12-30T15:09:00"/>
    <d v="1899-12-30T00:01:49"/>
    <m/>
    <m/>
    <m/>
    <m/>
    <m/>
    <s v="Student"/>
    <x v="0"/>
    <s v="0-40k"/>
    <n v="20"/>
    <s v="Finance"/>
    <s v="R"/>
    <x v="5"/>
    <n v="5"/>
    <n v="4"/>
    <n v="4"/>
    <n v="5"/>
    <n v="6"/>
    <s v="Neither easy nor difficult"/>
    <s v="Remote Work"/>
    <s v="Female"/>
    <n v="40"/>
    <s v="Other"/>
    <s v="Bachelors"/>
    <s v="Black or African American"/>
  </r>
  <r>
    <s v="62a642690f8c8599d5b2ab37"/>
    <s v="anonymous"/>
    <d v="2022-06-12T00:00:00"/>
    <d v="1899-12-30T15:45:00"/>
    <d v="1899-12-30T00:02:39"/>
    <m/>
    <m/>
    <m/>
    <m/>
    <m/>
    <s v="Data Analyst"/>
    <x v="0"/>
    <s v="41k-65k"/>
    <n v="53"/>
    <s v="Other"/>
    <s v="Python"/>
    <x v="7"/>
    <n v="9"/>
    <n v="9"/>
    <n v="9"/>
    <n v="7"/>
    <n v="9"/>
    <s v="Easy"/>
    <s v="Better Salary"/>
    <s v="Female"/>
    <n v="28"/>
    <s v="United Kingdom"/>
    <s v="Bachelors"/>
    <s v="Asian or Asian American"/>
  </r>
  <r>
    <s v="62a64b4dd8c00e9f541d6d81"/>
    <s v="anonymous"/>
    <d v="2022-06-12T00:00:00"/>
    <d v="1899-12-30T16:23:00"/>
    <d v="1899-12-30T00:03:50"/>
    <m/>
    <m/>
    <m/>
    <m/>
    <m/>
    <s v="Data Analyst"/>
    <x v="1"/>
    <s v="0-40k"/>
    <n v="20"/>
    <s v="Real Estate"/>
    <s v="R"/>
    <x v="6"/>
    <n v="7"/>
    <n v="8"/>
    <n v="6"/>
    <n v="6"/>
    <n v="9"/>
    <s v="Difficult"/>
    <s v="Remote Work"/>
    <s v="Male"/>
    <n v="26"/>
    <s v="Other"/>
    <s v="High School"/>
    <s v="Black or African American"/>
  </r>
  <r>
    <s v="62a64c6ecf2555431733a7a4"/>
    <s v="anonymous"/>
    <d v="2022-06-12T00:00:00"/>
    <d v="1899-12-30T16:28:00"/>
    <d v="1899-12-30T00:03:59"/>
    <m/>
    <m/>
    <m/>
    <m/>
    <m/>
    <s v="Other"/>
    <x v="0"/>
    <s v="0-40k"/>
    <n v="20"/>
    <s v="Tech"/>
    <s v="Python"/>
    <x v="6"/>
    <n v="5"/>
    <n v="5"/>
    <n v="4"/>
    <n v="3"/>
    <n v="2"/>
    <s v="Difficult"/>
    <s v="Better Salary"/>
    <s v="Female"/>
    <n v="24"/>
    <s v="India"/>
    <s v="Bachelors"/>
    <s v="Asian or Asian American"/>
  </r>
  <r>
    <s v="62a654165d257a28a3112ac9"/>
    <s v="anonymous"/>
    <d v="2022-06-12T00:00:00"/>
    <d v="1899-12-30T17:01:00"/>
    <d v="1899-12-30T00:02:04"/>
    <m/>
    <m/>
    <m/>
    <m/>
    <m/>
    <s v="Other"/>
    <x v="0"/>
    <s v="86k-105k"/>
    <n v="96"/>
    <s v="Finance"/>
    <s v="Python"/>
    <x v="7"/>
    <n v="5"/>
    <n v="5"/>
    <n v="8"/>
    <n v="8"/>
    <n v="8"/>
    <s v="Neither easy nor difficult"/>
    <s v="Remote Work"/>
    <s v="Female"/>
    <n v="40"/>
    <s v="United States"/>
    <s v="Associates"/>
    <s v="Other"/>
  </r>
  <r>
    <s v="62a65618d8c00e9f541d783a"/>
    <s v="anonymous"/>
    <d v="2022-06-12T00:00:00"/>
    <d v="1899-12-30T17:09:00"/>
    <d v="1899-12-30T00:01:46"/>
    <m/>
    <m/>
    <m/>
    <m/>
    <m/>
    <s v="Data Analyst"/>
    <x v="0"/>
    <s v="66k-85k"/>
    <n v="76"/>
    <s v="Other"/>
    <s v="Python"/>
    <x v="10"/>
    <n v="10"/>
    <n v="10"/>
    <n v="10"/>
    <n v="7"/>
    <n v="9"/>
    <s v="Neither easy nor difficult"/>
    <s v="Better Salary"/>
    <s v="Male"/>
    <n v="26"/>
    <s v="United States"/>
    <s v="Bachelors"/>
    <s v="Black or African American"/>
  </r>
  <r>
    <s v="62a65db824a26260273bc9ff"/>
    <s v="anonymous"/>
    <d v="2022-06-12T00:00:00"/>
    <d v="1899-12-30T17:42:00"/>
    <d v="1899-12-30T00:02:29"/>
    <m/>
    <m/>
    <m/>
    <m/>
    <m/>
    <s v="Data Scientist"/>
    <x v="0"/>
    <s v="41k-65k"/>
    <n v="53"/>
    <s v="Other"/>
    <s v="Python"/>
    <x v="10"/>
    <n v="8"/>
    <n v="10"/>
    <n v="10"/>
    <n v="10"/>
    <n v="10"/>
    <s v="Easy"/>
    <s v="Good Culture"/>
    <s v="Female"/>
    <n v="44"/>
    <s v="United Kingdom"/>
    <s v="Bachelors"/>
    <s v="White or Caucasian"/>
  </r>
  <r>
    <s v="62a66558cf2555431733c0f9"/>
    <s v="anonymous"/>
    <d v="2022-06-12T00:00:00"/>
    <d v="1899-12-30T18:14:00"/>
    <d v="1899-12-30T00:01:58"/>
    <m/>
    <m/>
    <m/>
    <m/>
    <m/>
    <s v="Other"/>
    <x v="0"/>
    <s v="66k-85k"/>
    <n v="76"/>
    <s v="Other"/>
    <s v="Python"/>
    <x v="7"/>
    <n v="9"/>
    <n v="8"/>
    <n v="8"/>
    <n v="6"/>
    <n v="6"/>
    <s v="Neither easy nor difficult"/>
    <s v="Better Salary"/>
    <s v="Male"/>
    <n v="36"/>
    <s v="United States"/>
    <s v="Masters"/>
    <s v="White or Caucasian"/>
  </r>
  <r>
    <s v="62a6772c18134ddc75d25895"/>
    <s v="anonymous"/>
    <d v="2022-06-12T00:00:00"/>
    <d v="1899-12-30T19:30:00"/>
    <d v="1899-12-30T00:01:37"/>
    <m/>
    <m/>
    <m/>
    <m/>
    <m/>
    <s v="Other"/>
    <x v="0"/>
    <s v="0-40k"/>
    <n v="20"/>
    <s v="Other"/>
    <s v="Python"/>
    <x v="1"/>
    <n v="5"/>
    <n v="10"/>
    <n v="10"/>
    <n v="8"/>
    <n v="10"/>
    <s v="Neither easy nor difficult"/>
    <s v="Better Salary"/>
    <s v="Male"/>
    <n v="30"/>
    <s v="Other"/>
    <s v="Bachelors"/>
    <s v="Hispanic or Latino"/>
  </r>
  <r>
    <s v="62a68f1e0a77c1a77f69a381"/>
    <s v="anonymous"/>
    <d v="2022-06-12T00:00:00"/>
    <d v="1899-12-30T21:13:00"/>
    <d v="1899-12-30T00:04:36"/>
    <m/>
    <m/>
    <m/>
    <m/>
    <m/>
    <s v="Other"/>
    <x v="0"/>
    <s v="0-40k"/>
    <n v="20"/>
    <s v="Other"/>
    <s v="Python"/>
    <x v="6"/>
    <n v="3"/>
    <n v="3"/>
    <n v="2"/>
    <n v="2"/>
    <n v="2"/>
    <s v="Very Easy"/>
    <s v="Good Work/Life Balance"/>
    <s v="Male"/>
    <n v="48"/>
    <s v="Other"/>
    <s v="Masters"/>
    <s v="Other"/>
  </r>
  <r>
    <s v="62a6a11a0a77c1a77f69b7cb"/>
    <s v="anonymous"/>
    <d v="2022-06-12T00:00:00"/>
    <d v="1899-12-30T22:29:00"/>
    <d v="1899-12-30T00:03:16"/>
    <m/>
    <m/>
    <m/>
    <m/>
    <m/>
    <s v="Data Analyst"/>
    <x v="0"/>
    <s v="41k-65k"/>
    <n v="53"/>
    <s v="Construction"/>
    <s v="Other"/>
    <x v="1"/>
    <n v="4"/>
    <n v="1"/>
    <n v="2"/>
    <n v="2"/>
    <n v="3"/>
    <s v="Easy"/>
    <s v="Better Salary"/>
    <s v="Female"/>
    <n v="30"/>
    <s v="Canada"/>
    <s v="Masters"/>
    <s v="Asian or Asian American"/>
  </r>
  <r>
    <s v="62a6ac1524a26260273c1cd0"/>
    <s v="anonymous"/>
    <d v="2022-06-12T00:00:00"/>
    <d v="1899-12-30T23:16:00"/>
    <d v="1899-12-30T00:04:53"/>
    <m/>
    <m/>
    <m/>
    <m/>
    <m/>
    <s v="Other"/>
    <x v="1"/>
    <s v="0-40k"/>
    <n v="20"/>
    <s v="Telecommunication"/>
    <s v="Python"/>
    <x v="6"/>
    <n v="8"/>
    <n v="8"/>
    <n v="5"/>
    <n v="3"/>
    <n v="5"/>
    <s v="Difficult"/>
    <s v="Better Salary"/>
    <s v="Male"/>
    <n v="28"/>
    <s v="India"/>
    <s v="Bachelors"/>
    <s v="Other"/>
  </r>
  <r>
    <s v="62a6b0790a77c1a77f69cb15"/>
    <s v="anonymous"/>
    <d v="2022-06-12T00:00:00"/>
    <d v="1899-12-30T23:35:00"/>
    <d v="1899-12-30T00:01:58"/>
    <m/>
    <m/>
    <m/>
    <m/>
    <m/>
    <s v="Other"/>
    <x v="1"/>
    <s v="0-40k"/>
    <n v="20"/>
    <s v="Tech"/>
    <s v="Python"/>
    <x v="8"/>
    <n v="8"/>
    <n v="7"/>
    <n v="7"/>
    <n v="3"/>
    <n v="2"/>
    <s v="Difficult"/>
    <s v="Better Salary"/>
    <s v="Male"/>
    <n v="25"/>
    <s v="India"/>
    <s v="Bachelors"/>
    <s v="Other"/>
  </r>
  <r>
    <s v="62a6bc6a18134ddc75d2a726"/>
    <s v="anonymous"/>
    <d v="2022-06-13T00:00:00"/>
    <d v="1899-12-30T00:26:00"/>
    <d v="1899-12-30T00:01:30"/>
    <m/>
    <m/>
    <m/>
    <m/>
    <m/>
    <s v="Other"/>
    <x v="1"/>
    <s v="106k-125k"/>
    <n v="116"/>
    <s v="Tech"/>
    <s v="Other"/>
    <x v="9"/>
    <n v="5"/>
    <n v="4"/>
    <n v="4"/>
    <n v="3"/>
    <n v="4"/>
    <s v="Easy"/>
    <s v="Better Salary"/>
    <s v="Male"/>
    <n v="24"/>
    <s v="United States"/>
    <s v="Masters"/>
    <s v="American Indian or Alaska Native"/>
  </r>
  <r>
    <s v="62a6c3d9cec54911e9ce7669"/>
    <s v="anonymous"/>
    <d v="2022-06-13T00:00:00"/>
    <d v="1899-12-30T00:58:00"/>
    <d v="1899-12-30T00:02:51"/>
    <m/>
    <m/>
    <m/>
    <m/>
    <m/>
    <s v="Data Analyst"/>
    <x v="0"/>
    <s v="41k-65k"/>
    <n v="53"/>
    <s v="Other"/>
    <s v="Python"/>
    <x v="8"/>
    <n v="10"/>
    <n v="7"/>
    <n v="7"/>
    <n v="4"/>
    <n v="8"/>
    <s v="Easy"/>
    <s v="Better Salary"/>
    <s v="Male"/>
    <n v="31"/>
    <s v="United States"/>
    <s v="Bachelors"/>
    <s v="Black or African American"/>
  </r>
  <r>
    <s v="62a6d037cec54911e9ce862a"/>
    <s v="anonymous"/>
    <d v="2022-06-13T00:00:00"/>
    <d v="1899-12-30T01:50:00"/>
    <d v="1899-12-30T00:01:47"/>
    <m/>
    <m/>
    <m/>
    <m/>
    <m/>
    <s v="Data Engineer"/>
    <x v="1"/>
    <s v="0-40k"/>
    <n v="20"/>
    <s v="Real Estate"/>
    <s v="Python"/>
    <x v="6"/>
    <n v="3"/>
    <n v="8"/>
    <n v="9"/>
    <n v="5"/>
    <n v="3"/>
    <s v="Easy"/>
    <s v="Better Salary"/>
    <s v="Male"/>
    <n v="23"/>
    <s v="United Kingdom"/>
    <s v="Bachelors"/>
    <s v="Other"/>
  </r>
  <r>
    <s v="62a6d2532e54c9003e575d9c"/>
    <s v="anonymous"/>
    <d v="2022-06-13T00:00:00"/>
    <d v="1899-12-30T01:59:00"/>
    <d v="1899-12-30T00:03:06"/>
    <m/>
    <m/>
    <m/>
    <m/>
    <m/>
    <s v="Data Analyst"/>
    <x v="1"/>
    <s v="41k-65k"/>
    <n v="53"/>
    <s v="Other"/>
    <s v="Other"/>
    <x v="1"/>
    <n v="4"/>
    <n v="4"/>
    <n v="1"/>
    <n v="1"/>
    <n v="4"/>
    <s v="Easy"/>
    <s v="Good Culture"/>
    <s v="Female"/>
    <n v="48"/>
    <s v="United Kingdom"/>
    <s v="Masters"/>
    <s v="White or Caucasian"/>
  </r>
  <r>
    <s v="62a6dbcad8c00e9f541e1050"/>
    <s v="anonymous"/>
    <d v="2022-06-13T00:00:00"/>
    <d v="1899-12-30T02:40:00"/>
    <d v="1899-12-30T00:01:00"/>
    <m/>
    <m/>
    <m/>
    <m/>
    <m/>
    <s v="Data Analyst"/>
    <x v="0"/>
    <s v="66k-85k"/>
    <n v="76"/>
    <s v="Healthcare"/>
    <s v="Python"/>
    <x v="9"/>
    <n v="9"/>
    <n v="8"/>
    <n v="8"/>
    <n v="8"/>
    <n v="7"/>
    <s v="Neither easy nor difficult"/>
    <s v="Better Salary"/>
    <s v="Male"/>
    <n v="28"/>
    <s v="United States"/>
    <s v="Bachelors"/>
    <s v="Black or African American"/>
  </r>
  <r>
    <s v="62a6e2815d257a28a311c8f9"/>
    <s v="anonymous"/>
    <d v="2022-06-13T00:00:00"/>
    <d v="1899-12-30T03:08:00"/>
    <d v="1899-12-30T00:02:04"/>
    <m/>
    <m/>
    <m/>
    <m/>
    <m/>
    <s v="Data Analyst"/>
    <x v="0"/>
    <s v="41k-65k"/>
    <n v="53"/>
    <s v="Other"/>
    <s v="Python"/>
    <x v="8"/>
    <n v="7"/>
    <n v="7"/>
    <n v="7"/>
    <n v="7"/>
    <n v="7"/>
    <s v="Difficult"/>
    <s v="Better Salary"/>
    <s v="Male"/>
    <n v="32"/>
    <s v="United Kingdom"/>
    <s v="Masters"/>
    <s v="Hispanic or Latino"/>
  </r>
  <r>
    <s v="62a6ea03d8c00e9f541e3594"/>
    <s v="anonymous"/>
    <d v="2022-06-13T00:00:00"/>
    <d v="1899-12-30T03:40:00"/>
    <d v="1899-12-30T00:04:45"/>
    <m/>
    <m/>
    <m/>
    <m/>
    <m/>
    <s v="Data Scientist"/>
    <x v="0"/>
    <s v="41k-65k"/>
    <n v="53"/>
    <s v="Finance"/>
    <s v="Python"/>
    <x v="8"/>
    <n v="7"/>
    <n v="7"/>
    <n v="4"/>
    <n v="5"/>
    <n v="7"/>
    <s v="Neither easy nor difficult"/>
    <s v="Better Salary"/>
    <s v="Male"/>
    <n v="30"/>
    <s v="Other"/>
    <s v="Bachelors"/>
    <s v="Asian or Asian American"/>
  </r>
  <r>
    <s v="62a7029ff8f7561645899bae"/>
    <s v="anonymous"/>
    <d v="2022-06-13T00:00:00"/>
    <d v="1899-12-30T05:25:00"/>
    <d v="1899-12-30T00:03:29"/>
    <m/>
    <m/>
    <m/>
    <m/>
    <m/>
    <s v="Data Analyst"/>
    <x v="0"/>
    <s v="0-40k"/>
    <n v="20"/>
    <s v="Other"/>
    <s v="Python"/>
    <x v="8"/>
    <n v="5"/>
    <n v="7"/>
    <n v="7"/>
    <n v="7"/>
    <n v="8"/>
    <s v="Neither easy nor difficult"/>
    <s v="Good Work/Life Balance"/>
    <s v="Male"/>
    <n v="32"/>
    <s v="Other"/>
    <s v="Masters"/>
    <s v="White or Caucasian"/>
  </r>
  <r>
    <s v="62a7047c24a26260273c9646"/>
    <s v="anonymous"/>
    <d v="2022-06-13T00:00:00"/>
    <d v="1899-12-30T05:33:00"/>
    <d v="1899-12-30T00:01:50"/>
    <m/>
    <m/>
    <m/>
    <m/>
    <m/>
    <s v="Data Analyst"/>
    <x v="0"/>
    <s v="0-40k"/>
    <n v="20"/>
    <s v="Tech"/>
    <s v="Python"/>
    <x v="2"/>
    <n v="3"/>
    <n v="0"/>
    <n v="1"/>
    <n v="0"/>
    <n v="0"/>
    <s v="Easy"/>
    <s v="Good Culture"/>
    <s v="Female"/>
    <n v="30"/>
    <s v="Other"/>
    <s v="Masters"/>
    <s v="Other"/>
  </r>
  <r>
    <s v="62a70b55cec54911e9cedd98"/>
    <s v="anonymous"/>
    <d v="2022-06-13T00:00:00"/>
    <d v="1899-12-30T06:03:00"/>
    <d v="1899-12-30T00:02:49"/>
    <m/>
    <m/>
    <m/>
    <m/>
    <m/>
    <s v="Data Analyst"/>
    <x v="0"/>
    <s v="0-40k"/>
    <n v="20"/>
    <s v="Other"/>
    <s v="Python"/>
    <x v="5"/>
    <n v="2"/>
    <n v="5"/>
    <n v="2"/>
    <n v="4"/>
    <n v="4"/>
    <s v="Neither easy nor difficult"/>
    <s v="Good Work/Life Balance"/>
    <s v="Female"/>
    <n v="35"/>
    <s v="Other"/>
    <s v="Masters"/>
    <s v="White or Caucasian"/>
  </r>
  <r>
    <s v="62a71930bae91e4b8b878b2b"/>
    <s v="anonymous"/>
    <d v="2022-06-13T00:00:00"/>
    <d v="1899-12-30T07:02:00"/>
    <d v="1899-12-30T00:03:13"/>
    <m/>
    <m/>
    <m/>
    <m/>
    <m/>
    <s v="Student"/>
    <x v="0"/>
    <s v="0-40k"/>
    <n v="20"/>
    <s v="Tech"/>
    <s v="R"/>
    <x v="11"/>
    <m/>
    <m/>
    <m/>
    <m/>
    <n v="10"/>
    <s v="Easy"/>
    <s v="Remote Work"/>
    <s v="Female"/>
    <n v="38"/>
    <s v="United Kingdom"/>
    <s v="Masters"/>
    <s v="Black or African American"/>
  </r>
  <r>
    <s v="62a73a37f8d5efcc22fcb724"/>
    <s v="anonymous"/>
    <d v="2022-06-13T00:00:00"/>
    <d v="1899-12-30T09:23:00"/>
    <d v="1899-12-30T00:01:09"/>
    <m/>
    <m/>
    <m/>
    <m/>
    <m/>
    <s v="Other"/>
    <x v="0"/>
    <s v="66k-85k"/>
    <n v="76"/>
    <s v="Other"/>
    <s v="Python"/>
    <x v="9"/>
    <n v="6"/>
    <n v="7"/>
    <n v="7"/>
    <n v="6"/>
    <n v="7"/>
    <s v="Easy"/>
    <s v="Good Culture"/>
    <s v="Female"/>
    <n v="30"/>
    <s v="United States"/>
    <s v="Masters"/>
    <s v="Asian or Asian American"/>
  </r>
  <r>
    <s v="62a73aa824a26260273d0172"/>
    <s v="anonymous"/>
    <d v="2022-06-13T00:00:00"/>
    <d v="1899-12-30T09:24:00"/>
    <d v="1899-12-30T00:01:26"/>
    <m/>
    <m/>
    <m/>
    <m/>
    <m/>
    <s v="Data Analyst"/>
    <x v="0"/>
    <s v="41k-65k"/>
    <n v="53"/>
    <s v="Tech"/>
    <s v="Python"/>
    <x v="6"/>
    <n v="3"/>
    <n v="5"/>
    <n v="4"/>
    <n v="4"/>
    <n v="4"/>
    <s v="Neither easy nor difficult"/>
    <s v="Better Salary"/>
    <s v="Male"/>
    <n v="48"/>
    <s v="United States"/>
    <s v="Bachelors"/>
    <s v="White or Caucasian"/>
  </r>
  <r>
    <s v="62a73c5b0a77c1a77f6aba65"/>
    <s v="anonymous"/>
    <d v="2022-06-13T00:00:00"/>
    <d v="1899-12-30T09:32:00"/>
    <d v="1899-12-30T00:01:26"/>
    <m/>
    <m/>
    <m/>
    <m/>
    <m/>
    <s v="Data Analyst"/>
    <x v="0"/>
    <s v="66k-85k"/>
    <n v="76"/>
    <s v="Finance"/>
    <s v="Other"/>
    <x v="8"/>
    <n v="8"/>
    <n v="5"/>
    <n v="5"/>
    <n v="5"/>
    <n v="4"/>
    <s v="Easy"/>
    <s v="Remote Work"/>
    <s v="Male"/>
    <n v="32"/>
    <s v="Canada"/>
    <s v="Masters"/>
    <s v="Asian or Asian American"/>
  </r>
  <r>
    <s v="62a749ebd8c00e9f541efa36"/>
    <s v="anonymous"/>
    <d v="2022-06-13T00:00:00"/>
    <d v="1899-12-30T10:30:00"/>
    <d v="1899-12-30T00:01:12"/>
    <m/>
    <m/>
    <m/>
    <m/>
    <m/>
    <s v="Other"/>
    <x v="0"/>
    <s v="41k-65k"/>
    <n v="53"/>
    <s v="Telecommunication"/>
    <s v="Python"/>
    <x v="5"/>
    <n v="5"/>
    <n v="4"/>
    <n v="5"/>
    <n v="5"/>
    <n v="6"/>
    <s v="Difficult"/>
    <s v="Good Work/Life Balance"/>
    <s v="Male"/>
    <n v="27"/>
    <s v="India"/>
    <s v="Bachelors"/>
    <s v="American Indian or Alaska Native"/>
  </r>
  <r>
    <s v="62a74e28b4da29969c681108"/>
    <s v="anonymous"/>
    <d v="2022-06-13T00:00:00"/>
    <d v="1899-12-30T10:48:00"/>
    <d v="1899-12-30T00:01:34"/>
    <m/>
    <m/>
    <m/>
    <m/>
    <m/>
    <s v="Other"/>
    <x v="1"/>
    <s v="41k-65k"/>
    <n v="53"/>
    <s v="Tech"/>
    <s v="Python"/>
    <x v="7"/>
    <n v="9"/>
    <n v="5"/>
    <n v="6"/>
    <n v="6"/>
    <n v="7"/>
    <s v="Easy"/>
    <s v="Other"/>
    <s v="Male"/>
    <n v="27"/>
    <s v="United Kingdom"/>
    <s v="Masters"/>
    <s v="White or Caucasian"/>
  </r>
  <r>
    <s v="62a758185d257a28a312bc94"/>
    <s v="anonymous"/>
    <d v="2022-06-13T00:00:00"/>
    <d v="1899-12-30T11:30:00"/>
    <d v="1899-12-30T00:02:45"/>
    <m/>
    <m/>
    <m/>
    <m/>
    <m/>
    <s v="Student"/>
    <x v="1"/>
    <s v="0-40k"/>
    <n v="20"/>
    <s v="Finance"/>
    <s v="Python"/>
    <x v="10"/>
    <n v="7"/>
    <n v="6"/>
    <n v="7"/>
    <n v="8"/>
    <n v="10"/>
    <s v="Neither easy nor difficult"/>
    <s v="Remote Work"/>
    <s v="Male"/>
    <n v="24"/>
    <s v="Other"/>
    <s v="Bachelors"/>
    <s v="Other"/>
  </r>
  <r>
    <s v="62a75a5418134ddc75d3d2f1"/>
    <s v="anonymous"/>
    <d v="2022-06-13T00:00:00"/>
    <d v="1899-12-30T11:40:00"/>
    <d v="1899-12-30T00:00:43"/>
    <m/>
    <m/>
    <m/>
    <m/>
    <m/>
    <s v="Data Scientist"/>
    <x v="0"/>
    <s v="150k-225k"/>
    <n v="188"/>
    <s v="Finance"/>
    <s v="R"/>
    <x v="0"/>
    <n v="9"/>
    <n v="9"/>
    <n v="9"/>
    <n v="8"/>
    <n v="8"/>
    <s v="Difficult"/>
    <s v="Better Salary"/>
    <s v="Male"/>
    <n v="42"/>
    <s v="United States"/>
    <s v="PhD"/>
    <s v="Asian or Asian American"/>
  </r>
  <r>
    <s v="62a75ed0f8f75616458a5d1a"/>
    <s v="anonymous"/>
    <d v="2022-06-13T00:00:00"/>
    <d v="1899-12-30T11:59:00"/>
    <d v="1899-12-30T00:02:58"/>
    <m/>
    <m/>
    <m/>
    <m/>
    <m/>
    <s v="Other"/>
    <x v="1"/>
    <s v="41k-65k"/>
    <n v="53"/>
    <s v="Tech"/>
    <s v="Python"/>
    <x v="10"/>
    <n v="6"/>
    <n v="6"/>
    <n v="8"/>
    <n v="7"/>
    <n v="8"/>
    <s v="Neither easy nor difficult"/>
    <s v="Better Salary"/>
    <s v="Male"/>
    <n v="24"/>
    <s v="United States"/>
    <s v="Bachelors"/>
    <s v="Hispanic or Latino"/>
  </r>
  <r>
    <s v="62a75f1b575fa3a5ae8e0010"/>
    <s v="anonymous"/>
    <d v="2022-06-13T00:00:00"/>
    <d v="1899-12-30T12:00:00"/>
    <d v="1899-12-30T00:01:08"/>
    <m/>
    <m/>
    <m/>
    <m/>
    <m/>
    <s v="Database Developer"/>
    <x v="0"/>
    <s v="0-40k"/>
    <n v="20"/>
    <s v="Tech"/>
    <s v="Python"/>
    <x v="8"/>
    <n v="9"/>
    <n v="7"/>
    <n v="7"/>
    <n v="6"/>
    <n v="9"/>
    <s v="Easy"/>
    <s v="Better Salary"/>
    <s v="Male"/>
    <n v="23"/>
    <s v="India"/>
    <s v="Bachelors"/>
    <s v="Asian or Asian American"/>
  </r>
  <r>
    <s v="62a764ffd8c00e9f541f3cc3"/>
    <s v="anonymous"/>
    <d v="2022-06-13T00:00:00"/>
    <d v="1899-12-30T12:25:00"/>
    <d v="1899-12-30T00:01:21"/>
    <m/>
    <m/>
    <m/>
    <m/>
    <m/>
    <s v="Data Analyst"/>
    <x v="1"/>
    <s v="0-40k"/>
    <n v="20"/>
    <s v="Tech"/>
    <s v="Python"/>
    <x v="7"/>
    <n v="9"/>
    <n v="8"/>
    <n v="8"/>
    <n v="4"/>
    <n v="2"/>
    <s v="Neither easy nor difficult"/>
    <s v="Better Salary"/>
    <s v="Male"/>
    <n v="26"/>
    <s v="India"/>
    <s v="Bachelors"/>
    <s v="Asian or Asian American"/>
  </r>
  <r>
    <s v="62a76c962e54c9003e588661"/>
    <s v="anonymous"/>
    <d v="2022-06-13T00:00:00"/>
    <d v="1899-12-30T12:57:00"/>
    <d v="1899-12-30T00:02:01"/>
    <m/>
    <m/>
    <m/>
    <m/>
    <m/>
    <s v="Data Analyst"/>
    <x v="1"/>
    <s v="41k-65k"/>
    <n v="53"/>
    <s v="Other"/>
    <s v="Other"/>
    <x v="8"/>
    <n v="6"/>
    <n v="6"/>
    <n v="2"/>
    <n v="2"/>
    <n v="3"/>
    <s v="Neither easy nor difficult"/>
    <s v="Better Salary"/>
    <s v="Male"/>
    <n v="32"/>
    <s v="Other"/>
    <s v="Bachelors"/>
    <s v="Black or African American"/>
  </r>
  <r>
    <s v="62a772da575fa3a5ae8e2a4a"/>
    <s v="anonymous"/>
    <d v="2022-06-13T00:00:00"/>
    <d v="1899-12-30T13:24:00"/>
    <d v="1899-12-30T00:02:52"/>
    <m/>
    <m/>
    <m/>
    <m/>
    <m/>
    <s v="Other"/>
    <x v="1"/>
    <s v="0-40k"/>
    <n v="20"/>
    <s v="Telecommunication"/>
    <s v="Python"/>
    <x v="5"/>
    <n v="3"/>
    <n v="2"/>
    <n v="0"/>
    <n v="0"/>
    <n v="0"/>
    <s v="Neither easy nor difficult"/>
    <s v="Good Work/Life Balance"/>
    <s v="Male"/>
    <n v="35"/>
    <s v="Other"/>
    <s v="Bachelors"/>
    <s v="White or Caucasian"/>
  </r>
  <r>
    <s v="62a7738a2e54c9003e589598"/>
    <s v="anonymous"/>
    <d v="2022-06-13T00:00:00"/>
    <d v="1899-12-30T13:27:00"/>
    <d v="1899-12-30T00:01:18"/>
    <m/>
    <m/>
    <m/>
    <m/>
    <m/>
    <s v="Data Analyst"/>
    <x v="0"/>
    <s v="106k-125k"/>
    <n v="116"/>
    <s v="Healthcare"/>
    <s v="Python"/>
    <x v="5"/>
    <n v="3"/>
    <n v="4"/>
    <n v="2"/>
    <n v="2"/>
    <n v="2"/>
    <s v="Easy"/>
    <s v="Good Work/Life Balance"/>
    <s v="Male"/>
    <n v="41"/>
    <s v="United States"/>
    <s v="High School"/>
    <s v="White or Caucasian"/>
  </r>
  <r>
    <s v="62a77967f8d5efcc22fd4c81"/>
    <s v="anonymous"/>
    <d v="2022-06-13T00:00:00"/>
    <d v="1899-12-30T13:52:00"/>
    <d v="1899-12-30T00:00:59"/>
    <m/>
    <m/>
    <m/>
    <m/>
    <m/>
    <s v="Other"/>
    <x v="1"/>
    <s v="41k-65k"/>
    <n v="53"/>
    <s v="Education"/>
    <s v="Python"/>
    <x v="5"/>
    <n v="9"/>
    <n v="8"/>
    <n v="8"/>
    <n v="6"/>
    <n v="7"/>
    <s v="Neither easy nor difficult"/>
    <s v="Better Salary"/>
    <s v="Male"/>
    <n v="25"/>
    <s v="United States"/>
    <s v="Masters"/>
    <s v="White or Caucasian"/>
  </r>
  <r>
    <s v="62a77a37f8d5efcc22fd4e47"/>
    <s v="anonymous"/>
    <d v="2022-06-13T00:00:00"/>
    <d v="1899-12-30T13:56:00"/>
    <d v="1899-12-30T00:01:04"/>
    <m/>
    <m/>
    <m/>
    <m/>
    <m/>
    <s v="Data Analyst"/>
    <x v="0"/>
    <s v="0-40k"/>
    <n v="20"/>
    <s v="Construction"/>
    <s v="Python"/>
    <x v="2"/>
    <n v="0"/>
    <n v="0"/>
    <n v="0"/>
    <n v="0"/>
    <n v="0"/>
    <s v="Very Difficult"/>
    <s v="Better Salary"/>
    <s v="Female"/>
    <n v="28"/>
    <s v="United States"/>
    <s v="Masters"/>
    <s v="Asian or Asian American"/>
  </r>
  <r>
    <s v="62a77cb7b4da29969c68743a"/>
    <s v="anonymous"/>
    <d v="2022-06-13T00:00:00"/>
    <d v="1899-12-30T14:06:00"/>
    <d v="1899-12-30T00:00:50"/>
    <m/>
    <m/>
    <m/>
    <m/>
    <m/>
    <s v="Data Analyst"/>
    <x v="0"/>
    <s v="41k-65k"/>
    <n v="53"/>
    <s v="Agriculture"/>
    <s v="Python"/>
    <x v="6"/>
    <n v="6"/>
    <n v="5"/>
    <n v="5"/>
    <n v="5"/>
    <n v="6"/>
    <s v="Neither easy nor difficult"/>
    <s v="Better Salary"/>
    <s v="Male"/>
    <n v="29"/>
    <s v="United States"/>
    <s v="Bachelors"/>
    <s v="White or Caucasian"/>
  </r>
  <r>
    <s v="62a78743f8f75616458ab6bb"/>
    <s v="anonymous"/>
    <d v="2022-06-13T00:00:00"/>
    <d v="1899-12-30T14:51:00"/>
    <d v="1899-12-30T00:01:30"/>
    <m/>
    <m/>
    <m/>
    <m/>
    <m/>
    <s v="Student"/>
    <x v="1"/>
    <s v="0-40k"/>
    <n v="20"/>
    <s v="Telecommunication"/>
    <s v="Python"/>
    <x v="10"/>
    <n v="10"/>
    <n v="6"/>
    <n v="7"/>
    <n v="8"/>
    <n v="8"/>
    <s v="Neither easy nor difficult"/>
    <s v="Better Salary"/>
    <s v="Male"/>
    <n v="19"/>
    <s v="United States"/>
    <s v="High School"/>
    <s v="White or Caucasian"/>
  </r>
  <r>
    <s v="62a789015d257a28a3132977"/>
    <s v="anonymous"/>
    <d v="2022-06-13T00:00:00"/>
    <d v="1899-12-30T14:59:00"/>
    <d v="1899-12-30T00:01:25"/>
    <m/>
    <m/>
    <m/>
    <m/>
    <m/>
    <s v="Data Analyst"/>
    <x v="0"/>
    <s v="41k-65k"/>
    <n v="53"/>
    <s v="Other"/>
    <s v="Python"/>
    <x v="8"/>
    <n v="6"/>
    <n v="9"/>
    <n v="6"/>
    <n v="7"/>
    <n v="10"/>
    <s v="Neither easy nor difficult"/>
    <s v="Better Salary"/>
    <s v="Male"/>
    <n v="27"/>
    <s v="India"/>
    <s v="Bachelors"/>
    <s v="Asian or Asian American"/>
  </r>
  <r>
    <s v="62a78f3bf408bae018f2ef51"/>
    <s v="anonymous"/>
    <d v="2022-06-13T00:00:00"/>
    <d v="1899-12-30T15:25:00"/>
    <d v="1899-12-30T00:01:33"/>
    <m/>
    <m/>
    <m/>
    <m/>
    <m/>
    <s v="Student"/>
    <x v="0"/>
    <s v="0-40k"/>
    <n v="20"/>
    <s v="Finance"/>
    <s v="Python"/>
    <x v="10"/>
    <n v="9"/>
    <n v="9"/>
    <n v="7"/>
    <n v="8"/>
    <n v="8"/>
    <s v="Neither easy nor difficult"/>
    <s v="Better Salary"/>
    <s v="Male"/>
    <n v="25"/>
    <s v="Other"/>
    <s v="Bachelors"/>
    <s v="White or Caucasian"/>
  </r>
  <r>
    <s v="62a7988bbae91e4b8b88b8ee"/>
    <s v="anonymous"/>
    <d v="2022-06-13T00:00:00"/>
    <d v="1899-12-30T16:05:00"/>
    <d v="1899-12-30T00:01:46"/>
    <m/>
    <m/>
    <m/>
    <m/>
    <m/>
    <s v="Data Analyst"/>
    <x v="0"/>
    <s v="41k-65k"/>
    <n v="53"/>
    <s v="Other"/>
    <s v="Python"/>
    <x v="9"/>
    <n v="10"/>
    <n v="10"/>
    <n v="10"/>
    <n v="10"/>
    <n v="8"/>
    <s v="Difficult"/>
    <s v="Better Salary"/>
    <s v="Female"/>
    <n v="26"/>
    <s v="Canada"/>
    <s v="Masters"/>
    <s v="Asian or Asian American"/>
  </r>
  <r>
    <s v="62a79c9c2e54c9003e58f0d5"/>
    <s v="anonymous"/>
    <d v="2022-06-13T00:00:00"/>
    <d v="1899-12-30T16:22:00"/>
    <d v="1899-12-30T00:02:42"/>
    <m/>
    <m/>
    <m/>
    <m/>
    <m/>
    <s v="Data Analyst"/>
    <x v="0"/>
    <s v="0-40k"/>
    <n v="20"/>
    <s v="Healthcare"/>
    <s v="Python"/>
    <x v="6"/>
    <n v="4"/>
    <n v="5"/>
    <n v="5"/>
    <n v="4"/>
    <n v="5"/>
    <s v="Difficult"/>
    <s v="Good Work/Life Balance"/>
    <s v="Male"/>
    <n v="25"/>
    <s v="Other"/>
    <s v="Bachelors"/>
    <s v="White or Caucasian"/>
  </r>
  <r>
    <s v="62a7b0ae0f8c8599d5b51cd0"/>
    <s v="anonymous"/>
    <d v="2022-06-13T00:00:00"/>
    <d v="1899-12-30T17:48:00"/>
    <d v="1899-12-30T00:00:50"/>
    <m/>
    <m/>
    <m/>
    <m/>
    <m/>
    <s v="Data Analyst"/>
    <x v="0"/>
    <s v="0-40k"/>
    <n v="20"/>
    <s v="Other"/>
    <s v="Python"/>
    <x v="9"/>
    <n v="6"/>
    <n v="9"/>
    <n v="9"/>
    <n v="10"/>
    <n v="10"/>
    <s v="Neither easy nor difficult"/>
    <s v="Remote Work"/>
    <s v="Male"/>
    <n v="25"/>
    <s v="Other"/>
    <s v="Bachelors"/>
    <s v="White or Caucasian"/>
  </r>
  <r>
    <s v="62a7b283f8d5efcc22fdc189"/>
    <s v="anonymous"/>
    <d v="2022-06-13T00:00:00"/>
    <d v="1899-12-30T17:56:00"/>
    <d v="1899-12-30T00:01:57"/>
    <m/>
    <m/>
    <m/>
    <m/>
    <m/>
    <s v="Data Analyst"/>
    <x v="0"/>
    <s v="0-40k"/>
    <n v="20"/>
    <s v="Healthcare"/>
    <s v="R"/>
    <x v="4"/>
    <n v="3"/>
    <n v="4"/>
    <n v="3"/>
    <n v="3"/>
    <n v="5"/>
    <s v="Neither easy nor difficult"/>
    <s v="Good Work/Life Balance"/>
    <s v="Male"/>
    <n v="26"/>
    <s v="Other"/>
    <s v="Bachelors"/>
    <s v="Black or African American"/>
  </r>
  <r>
    <s v="62a7b296f8d5efcc22fdc1ef"/>
    <s v="anonymous"/>
    <d v="2022-06-13T00:00:00"/>
    <d v="1899-12-30T17:56:00"/>
    <d v="1899-12-30T00:01:07"/>
    <m/>
    <m/>
    <m/>
    <m/>
    <m/>
    <s v="Data Analyst"/>
    <x v="0"/>
    <s v="125k-150k"/>
    <n v="138"/>
    <s v="Education"/>
    <s v="Python"/>
    <x v="10"/>
    <n v="8"/>
    <n v="7"/>
    <n v="6"/>
    <n v="7"/>
    <n v="9"/>
    <s v="Neither easy nor difficult"/>
    <s v="Good Culture"/>
    <s v="Male"/>
    <n v="35"/>
    <s v="United States"/>
    <s v="Bachelors"/>
    <s v="White or Caucasian"/>
  </r>
  <r>
    <s v="62a7bd0e5d257a28a313855c"/>
    <s v="anonymous"/>
    <d v="2022-06-13T00:00:00"/>
    <d v="1899-12-30T18:41:00"/>
    <d v="1899-12-30T00:01:23"/>
    <m/>
    <m/>
    <m/>
    <m/>
    <m/>
    <s v="Data Analyst"/>
    <x v="0"/>
    <s v="86k-105k"/>
    <n v="96"/>
    <s v="Other"/>
    <s v="Python"/>
    <x v="9"/>
    <n v="7"/>
    <n v="7"/>
    <n v="6"/>
    <n v="7"/>
    <n v="6"/>
    <s v="Difficult"/>
    <s v="Remote Work"/>
    <s v="Male"/>
    <n v="29"/>
    <s v="United States"/>
    <s v="Masters"/>
    <s v="Black or African American"/>
  </r>
  <r>
    <s v="62a7be5e5d257a28a313876a"/>
    <s v="anonymous"/>
    <d v="2022-06-13T00:00:00"/>
    <d v="1899-12-30T18:46:00"/>
    <d v="1899-12-30T00:01:45"/>
    <m/>
    <m/>
    <m/>
    <m/>
    <m/>
    <s v="Data Analyst"/>
    <x v="0"/>
    <s v="86k-105k"/>
    <n v="96"/>
    <s v="Tech"/>
    <s v="Python"/>
    <x v="7"/>
    <n v="6"/>
    <n v="5"/>
    <n v="4"/>
    <n v="3"/>
    <n v="6"/>
    <s v="Neither easy nor difficult"/>
    <s v="Better Salary"/>
    <s v="Female"/>
    <n v="41"/>
    <s v="United States"/>
    <s v="Associates"/>
    <s v="Hispanic or Latino"/>
  </r>
  <r>
    <s v="62a7ce44575fa3a5ae8ece5f"/>
    <s v="anonymous"/>
    <d v="2022-06-13T00:00:00"/>
    <d v="1899-12-30T19:54:00"/>
    <d v="1899-12-30T00:01:15"/>
    <m/>
    <m/>
    <m/>
    <m/>
    <m/>
    <s v="Student"/>
    <x v="1"/>
    <s v="0-40k"/>
    <n v="20"/>
    <s v="Education"/>
    <s v="Python"/>
    <x v="2"/>
    <n v="6"/>
    <n v="4"/>
    <n v="5"/>
    <n v="2"/>
    <n v="4"/>
    <s v="Very Difficult"/>
    <s v="Remote Work"/>
    <s v="Female"/>
    <n v="22"/>
    <s v="United States"/>
    <s v="Bachelors"/>
    <s v="Hispanic or Latino"/>
  </r>
  <r>
    <s v="62a7e1380f8c8599d5b55fcf"/>
    <s v="anonymous"/>
    <d v="2022-06-13T00:00:00"/>
    <d v="1899-12-30T21:15:00"/>
    <d v="1899-12-30T00:02:30"/>
    <m/>
    <m/>
    <m/>
    <m/>
    <m/>
    <s v="Data Analyst"/>
    <x v="0"/>
    <s v="66k-85k"/>
    <n v="76"/>
    <s v="Healthcare"/>
    <s v="Other"/>
    <x v="4"/>
    <n v="6"/>
    <n v="6"/>
    <n v="4"/>
    <n v="3"/>
    <n v="3"/>
    <s v="Difficult"/>
    <s v="Better Salary"/>
    <s v="Male"/>
    <n v="35"/>
    <s v="United States"/>
    <s v="Bachelors"/>
    <s v="Hispanic or Latino"/>
  </r>
  <r>
    <s v="62a7e2d024a26260273e4448"/>
    <s v="anonymous"/>
    <d v="2022-06-13T00:00:00"/>
    <d v="1899-12-30T21:22:00"/>
    <d v="1899-12-30T00:02:04"/>
    <m/>
    <m/>
    <m/>
    <m/>
    <m/>
    <s v="Data Analyst"/>
    <x v="0"/>
    <s v="66k-85k"/>
    <n v="76"/>
    <s v="Finance"/>
    <s v="Python"/>
    <x v="5"/>
    <n v="3"/>
    <n v="4"/>
    <n v="4"/>
    <n v="4"/>
    <n v="6"/>
    <s v="Very Difficult"/>
    <s v="Better Salary"/>
    <s v="Male"/>
    <n v="30"/>
    <s v="Other"/>
    <s v="Bachelors"/>
    <s v="Asian or Asian American"/>
  </r>
  <r>
    <s v="62a7ed9c0f8c8599d5b57132"/>
    <s v="anonymous"/>
    <d v="2022-06-13T00:00:00"/>
    <d v="1899-12-30T22:08:00"/>
    <d v="1899-12-30T00:01:13"/>
    <m/>
    <m/>
    <m/>
    <m/>
    <m/>
    <s v="Data Engineer"/>
    <x v="1"/>
    <s v="150k-225k"/>
    <n v="188"/>
    <s v="Real Estate"/>
    <s v="Python"/>
    <x v="5"/>
    <n v="6"/>
    <n v="3"/>
    <n v="2"/>
    <n v="3"/>
    <n v="3"/>
    <s v="Neither easy nor difficult"/>
    <s v="Good Culture"/>
    <s v="Male"/>
    <n v="37"/>
    <s v="Canada"/>
    <s v="Bachelors"/>
    <s v="Asian or Asian American"/>
  </r>
  <r>
    <s v="62a7f09a0f8c8599d5b57526"/>
    <s v="anonymous"/>
    <d v="2022-06-13T00:00:00"/>
    <d v="1899-12-30T22:21:00"/>
    <d v="1899-12-30T00:03:15"/>
    <m/>
    <m/>
    <m/>
    <m/>
    <m/>
    <s v="Data Analyst"/>
    <x v="0"/>
    <s v="66k-85k"/>
    <n v="76"/>
    <s v="Other"/>
    <s v="Python"/>
    <x v="9"/>
    <n v="7"/>
    <n v="7"/>
    <n v="5"/>
    <n v="5"/>
    <n v="9"/>
    <s v="Difficult"/>
    <s v="Better Salary"/>
    <s v="Female"/>
    <n v="28"/>
    <s v="United States"/>
    <s v="Masters"/>
    <s v="Black or African American"/>
  </r>
  <r>
    <s v="62a7fb02f8d5efcc22fe2486"/>
    <s v="anonymous"/>
    <d v="2022-06-13T00:00:00"/>
    <d v="1899-12-30T23:05:00"/>
    <d v="1899-12-30T00:00:58"/>
    <m/>
    <m/>
    <m/>
    <m/>
    <m/>
    <s v="Data Analyst"/>
    <x v="1"/>
    <s v="86k-105k"/>
    <n v="96"/>
    <s v="Real Estate"/>
    <s v="Python"/>
    <x v="7"/>
    <n v="5"/>
    <n v="6"/>
    <n v="6"/>
    <n v="4"/>
    <n v="6"/>
    <s v="Neither easy nor difficult"/>
    <s v="Good Culture"/>
    <s v="Male"/>
    <n v="23"/>
    <s v="United States"/>
    <s v="High School"/>
    <s v="White or Caucasian"/>
  </r>
  <r>
    <s v="62a816907dc029e2d6725a33"/>
    <s v="anonymous"/>
    <d v="2022-06-14T00:00:00"/>
    <d v="1899-12-30T01:03:00"/>
    <d v="1899-12-30T00:01:54"/>
    <m/>
    <m/>
    <m/>
    <m/>
    <m/>
    <s v="Student"/>
    <x v="1"/>
    <s v="0-40k"/>
    <n v="20"/>
    <s v="Finance"/>
    <s v="Python"/>
    <x v="6"/>
    <n v="4"/>
    <n v="8"/>
    <n v="5"/>
    <n v="5"/>
    <n v="3"/>
    <s v="Neither easy nor difficult"/>
    <s v="Better Salary"/>
    <s v="Male"/>
    <n v="26"/>
    <s v="United States"/>
    <s v="High School"/>
    <s v="Asian or Asian American"/>
  </r>
  <r>
    <s v="62a84764bc6861bf317d7b86"/>
    <s v="anonymous"/>
    <d v="2022-06-14T00:00:00"/>
    <d v="1899-12-30T04:31:00"/>
    <d v="1899-12-30T00:01:22"/>
    <m/>
    <m/>
    <m/>
    <m/>
    <m/>
    <s v="Data Analyst"/>
    <x v="1"/>
    <s v="66k-85k"/>
    <n v="76"/>
    <s v="Other"/>
    <s v="Python"/>
    <x v="4"/>
    <n v="4"/>
    <n v="4"/>
    <n v="3"/>
    <n v="4"/>
    <n v="4"/>
    <s v="Neither easy nor difficult"/>
    <s v="Good Work/Life Balance"/>
    <s v="Male"/>
    <n v="25"/>
    <s v="Other"/>
    <s v="Bachelors"/>
    <s v="Native Hawaiian or other Pacific Islander"/>
  </r>
  <r>
    <s v="62a84f9af408bae018f41e34"/>
    <s v="anonymous"/>
    <d v="2022-06-14T00:00:00"/>
    <d v="1899-12-30T05:06:00"/>
    <d v="1899-12-30T00:01:27"/>
    <m/>
    <m/>
    <m/>
    <m/>
    <m/>
    <s v="Data Analyst"/>
    <x v="1"/>
    <s v="0-40k"/>
    <n v="20"/>
    <s v="Tech"/>
    <s v="Python"/>
    <x v="2"/>
    <n v="1"/>
    <n v="2"/>
    <n v="1"/>
    <n v="1"/>
    <n v="1"/>
    <s v="Neither easy nor difficult"/>
    <s v="Remote Work"/>
    <s v="Male"/>
    <n v="23"/>
    <s v="India"/>
    <s v="Bachelors"/>
    <s v="Asian or Asian American"/>
  </r>
  <r>
    <s v="62a85803f8d5efcc22fea92f"/>
    <s v="anonymous"/>
    <d v="2022-06-14T00:00:00"/>
    <d v="1899-12-30T05:42:00"/>
    <d v="1899-12-30T00:02:53"/>
    <m/>
    <m/>
    <m/>
    <m/>
    <m/>
    <s v="Student"/>
    <x v="0"/>
    <s v="0-40k"/>
    <n v="20"/>
    <s v="Other"/>
    <s v="Other"/>
    <x v="2"/>
    <n v="1"/>
    <n v="0"/>
    <n v="0"/>
    <n v="0"/>
    <n v="0"/>
    <s v="Neither easy nor difficult"/>
    <s v="Good Culture"/>
    <s v="Male"/>
    <n v="53"/>
    <s v="Other"/>
    <s v="Bachelors"/>
    <s v="Black or African American"/>
  </r>
  <r>
    <s v="62a8592f7dc029e2d672c0a8"/>
    <s v="anonymous"/>
    <d v="2022-06-14T00:00:00"/>
    <d v="1899-12-30T05:47:00"/>
    <d v="1899-12-30T00:01:37"/>
    <m/>
    <m/>
    <m/>
    <m/>
    <m/>
    <s v="Data Engineer"/>
    <x v="0"/>
    <s v="0-40k"/>
    <n v="20"/>
    <s v="Tech"/>
    <s v="Python"/>
    <x v="5"/>
    <n v="6"/>
    <n v="6"/>
    <n v="3"/>
    <n v="7"/>
    <n v="9"/>
    <s v="Neither easy nor difficult"/>
    <s v="Better Salary"/>
    <s v="Female"/>
    <n v="33"/>
    <s v="Other"/>
    <s v="Bachelors"/>
    <s v="White or Caucasian"/>
  </r>
  <r>
    <s v="62a8643bcec54911e9d14297"/>
    <s v="anonymous"/>
    <d v="2022-06-14T00:00:00"/>
    <d v="1899-12-30T06:34:00"/>
    <d v="1899-12-30T00:04:29"/>
    <m/>
    <m/>
    <m/>
    <m/>
    <m/>
    <s v="Student"/>
    <x v="0"/>
    <s v="0-40k"/>
    <n v="20"/>
    <s v="Finance"/>
    <s v="R"/>
    <x v="6"/>
    <n v="5"/>
    <n v="5"/>
    <n v="4"/>
    <n v="5"/>
    <n v="6"/>
    <s v="Difficult"/>
    <s v="Better Salary"/>
    <s v="Male"/>
    <n v="39"/>
    <s v="Other"/>
    <s v="High School"/>
    <s v="Black or African American"/>
  </r>
  <r>
    <s v="62a8665c5d257a28a31474f7"/>
    <s v="anonymous"/>
    <d v="2022-06-14T00:00:00"/>
    <d v="1899-12-30T06:43:00"/>
    <d v="1899-12-30T00:01:05"/>
    <m/>
    <m/>
    <m/>
    <m/>
    <m/>
    <s v="Data Analyst"/>
    <x v="0"/>
    <s v="0-40k"/>
    <n v="20"/>
    <s v="Healthcare"/>
    <s v="Other"/>
    <x v="9"/>
    <n v="7"/>
    <n v="5"/>
    <n v="7"/>
    <n v="7"/>
    <n v="9"/>
    <s v="Difficult"/>
    <s v="Better Salary"/>
    <s v="Female"/>
    <n v="22"/>
    <s v="United Kingdom"/>
    <s v="Bachelors"/>
    <s v="White or Caucasian"/>
  </r>
  <r>
    <s v="62a868c5cf2555431737094b"/>
    <s v="anonymous"/>
    <d v="2022-06-14T00:00:00"/>
    <d v="1899-12-30T06:53:00"/>
    <d v="1899-12-30T00:01:34"/>
    <m/>
    <m/>
    <m/>
    <m/>
    <m/>
    <s v="Data Analyst"/>
    <x v="1"/>
    <s v="41k-65k"/>
    <n v="53"/>
    <s v="Finance"/>
    <s v="Python"/>
    <x v="5"/>
    <n v="7"/>
    <n v="7"/>
    <n v="7"/>
    <n v="5"/>
    <n v="5"/>
    <s v="Easy"/>
    <s v="Better Salary"/>
    <s v="Male"/>
    <n v="24"/>
    <s v="Other"/>
    <s v="Bachelors"/>
    <s v="White or Caucasian"/>
  </r>
  <r>
    <s v="62a88e9ff8d5efcc22ff1eb6"/>
    <s v="anonymous"/>
    <d v="2022-06-14T00:00:00"/>
    <d v="1899-12-30T09:35:00"/>
    <d v="1899-12-30T00:01:36"/>
    <m/>
    <m/>
    <m/>
    <m/>
    <m/>
    <s v="Data Architect"/>
    <x v="1"/>
    <s v="86k-105k"/>
    <n v="96"/>
    <s v="Other"/>
    <s v="Python"/>
    <x v="8"/>
    <n v="1"/>
    <n v="3"/>
    <n v="1"/>
    <n v="4"/>
    <n v="5"/>
    <s v="Difficult"/>
    <s v="Good Work/Life Balance"/>
    <s v="Male"/>
    <n v="31"/>
    <s v="Canada"/>
    <s v="High School"/>
    <s v="White or Caucasian"/>
  </r>
  <r>
    <s v="62a89e365d257a28a314fd36"/>
    <s v="anonymous"/>
    <d v="2022-06-14T00:00:00"/>
    <d v="1899-12-30T10:41:00"/>
    <d v="1899-12-30T00:00:53"/>
    <m/>
    <m/>
    <m/>
    <m/>
    <m/>
    <s v="Data Analyst"/>
    <x v="0"/>
    <s v="0-40k"/>
    <n v="20"/>
    <s v="Other"/>
    <s v="Python"/>
    <x v="2"/>
    <n v="0"/>
    <n v="0"/>
    <n v="0"/>
    <n v="0"/>
    <n v="0"/>
    <s v="Very Difficult"/>
    <s v="Better Salary"/>
    <s v="Male"/>
    <n v="25"/>
    <s v="Other"/>
    <s v="Bachelors"/>
    <s v="Asian or Asian American"/>
  </r>
  <r>
    <s v="62a8b6ffbae91e4b8b8aa5c2"/>
    <s v="anonymous"/>
    <d v="2022-06-14T00:00:00"/>
    <d v="1899-12-30T12:27:00"/>
    <d v="1899-12-30T00:02:07"/>
    <m/>
    <m/>
    <m/>
    <m/>
    <m/>
    <s v="Student"/>
    <x v="1"/>
    <s v="0-40k"/>
    <n v="20"/>
    <s v="Tech"/>
    <s v="R"/>
    <x v="5"/>
    <n v="7"/>
    <n v="7"/>
    <n v="6"/>
    <n v="6"/>
    <n v="6"/>
    <s v="Neither easy nor difficult"/>
    <s v="Better Salary"/>
    <s v="Male"/>
    <n v="25"/>
    <s v="India"/>
    <s v="Bachelors"/>
    <s v="Asian or Asian American"/>
  </r>
  <r>
    <s v="62a8bf9e575fa3a5ae907617"/>
    <s v="anonymous"/>
    <d v="2022-06-14T00:00:00"/>
    <d v="1899-12-30T13:04:00"/>
    <d v="1899-12-30T00:02:07"/>
    <m/>
    <m/>
    <m/>
    <m/>
    <m/>
    <s v="Data Analyst"/>
    <x v="1"/>
    <s v="0-40k"/>
    <n v="20"/>
    <s v="Tech"/>
    <s v="Python"/>
    <x v="6"/>
    <n v="4"/>
    <n v="4"/>
    <n v="4"/>
    <n v="2"/>
    <n v="0"/>
    <s v="Neither easy nor difficult"/>
    <s v="Good Work/Life Balance"/>
    <s v="Male"/>
    <n v="23"/>
    <s v="India"/>
    <s v="Bachelors"/>
    <s v="Asian or Asian American"/>
  </r>
  <r>
    <s v="62a8cd29bc6861bf317ea9a2"/>
    <s v="anonymous"/>
    <d v="2022-06-14T00:00:00"/>
    <d v="1899-12-30T14:02:00"/>
    <d v="1899-12-30T00:01:56"/>
    <m/>
    <m/>
    <m/>
    <m/>
    <m/>
    <s v="Other"/>
    <x v="0"/>
    <s v="41k-65k"/>
    <n v="53"/>
    <s v="Other"/>
    <s v="Other"/>
    <x v="9"/>
    <n v="7"/>
    <n v="7"/>
    <n v="7"/>
    <n v="7"/>
    <n v="6"/>
    <s v="Neither easy nor difficult"/>
    <s v="Other"/>
    <s v="Male"/>
    <n v="23"/>
    <s v="India"/>
    <s v="Bachelors"/>
    <s v="Asian or Asian American"/>
  </r>
  <r>
    <s v="62a8f477f408bae018f5869d"/>
    <s v="anonymous"/>
    <d v="2022-06-14T00:00:00"/>
    <d v="1899-12-30T16:49:00"/>
    <d v="1899-12-30T00:01:35"/>
    <m/>
    <m/>
    <m/>
    <m/>
    <m/>
    <s v="Data Analyst"/>
    <x v="1"/>
    <s v="86k-105k"/>
    <n v="96"/>
    <s v="Healthcare"/>
    <s v="Python"/>
    <x v="10"/>
    <n v="9"/>
    <n v="8"/>
    <n v="8"/>
    <n v="8"/>
    <n v="9"/>
    <s v="Difficult"/>
    <s v="Better Salary"/>
    <s v="Male"/>
    <n v="40"/>
    <s v="United States"/>
    <s v="High School"/>
    <s v="White or Caucasian"/>
  </r>
  <r>
    <s v="62a8fcf5cf25554317384604"/>
    <s v="anonymous"/>
    <d v="2022-06-14T00:00:00"/>
    <d v="1899-12-30T17:26:00"/>
    <d v="1899-12-30T00:02:02"/>
    <m/>
    <m/>
    <m/>
    <m/>
    <m/>
    <s v="Data Analyst"/>
    <x v="1"/>
    <s v="41k-65k"/>
    <n v="53"/>
    <s v="Other"/>
    <s v="C/C++"/>
    <x v="8"/>
    <n v="6"/>
    <n v="6"/>
    <n v="2"/>
    <n v="0"/>
    <n v="4"/>
    <s v="Neither easy nor difficult"/>
    <s v="Better Salary"/>
    <s v="Male"/>
    <n v="29"/>
    <s v="United States"/>
    <s v="Bachelors"/>
    <s v="Hispanic or Latino"/>
  </r>
  <r>
    <s v="62a8fe9abc6861bf317f0c01"/>
    <s v="anonymous"/>
    <d v="2022-06-14T00:00:00"/>
    <d v="1899-12-30T17:33:00"/>
    <d v="1899-12-30T00:03:16"/>
    <m/>
    <m/>
    <m/>
    <m/>
    <m/>
    <s v="Data Analyst"/>
    <x v="0"/>
    <s v="0-40k"/>
    <n v="20"/>
    <s v="Tech"/>
    <s v="Python"/>
    <x v="1"/>
    <n v="7"/>
    <n v="5"/>
    <n v="5"/>
    <n v="4"/>
    <n v="4"/>
    <s v="Difficult"/>
    <s v="Better Salary"/>
    <s v="Male"/>
    <n v="28"/>
    <s v="India"/>
    <s v="Bachelors"/>
    <s v="Other"/>
  </r>
  <r>
    <s v="62a9024d18134ddc75d6e76d"/>
    <s v="anonymous"/>
    <d v="2022-06-14T00:00:00"/>
    <d v="1899-12-30T17:49:00"/>
    <d v="1899-12-30T00:01:44"/>
    <m/>
    <m/>
    <m/>
    <m/>
    <m/>
    <s v="Data Analyst"/>
    <x v="0"/>
    <s v="0-40k"/>
    <n v="20"/>
    <s v="Healthcare"/>
    <s v="R"/>
    <x v="6"/>
    <n v="6"/>
    <n v="6"/>
    <n v="4"/>
    <n v="6"/>
    <n v="3"/>
    <s v="Very Easy"/>
    <s v="Better Salary"/>
    <s v="Female"/>
    <n v="28"/>
    <s v="United Kingdom"/>
    <s v="Masters"/>
    <s v="Black or African American"/>
  </r>
  <r>
    <s v="62a95253bae91e4b8b8b91d9"/>
    <s v="anonymous"/>
    <d v="2022-06-14T00:00:00"/>
    <d v="1899-12-30T23:30:00"/>
    <d v="1899-12-30T00:01:02"/>
    <m/>
    <m/>
    <m/>
    <m/>
    <m/>
    <s v="Student"/>
    <x v="0"/>
    <s v="0-40k"/>
    <n v="20"/>
    <s v="Telecommunication"/>
    <s v="Python"/>
    <x v="2"/>
    <n v="3"/>
    <n v="3"/>
    <n v="4"/>
    <n v="5"/>
    <n v="5"/>
    <s v="Difficult"/>
    <s v="Good Work/Life Balance"/>
    <s v="Female"/>
    <n v="26"/>
    <s v="India"/>
    <s v="Masters"/>
    <s v="Asian or Asian American"/>
  </r>
  <r>
    <s v="62a960567dc029e2d6749dd8"/>
    <s v="anonymous"/>
    <d v="2022-06-15T00:00:00"/>
    <d v="1899-12-30T00:30:00"/>
    <d v="1899-12-30T00:02:43"/>
    <m/>
    <m/>
    <m/>
    <m/>
    <m/>
    <s v="Data Engineer"/>
    <x v="1"/>
    <s v="41k-65k"/>
    <n v="53"/>
    <s v="Construction"/>
    <s v="Python"/>
    <x v="9"/>
    <n v="8"/>
    <n v="8"/>
    <n v="5"/>
    <n v="5"/>
    <n v="5"/>
    <s v="Neither easy nor difficult"/>
    <s v="Better Salary"/>
    <s v="Male"/>
    <n v="30"/>
    <s v="Other"/>
    <s v="Masters"/>
    <s v="White or Caucasian"/>
  </r>
  <r>
    <s v="62a9612bf8d5efcc22007c09"/>
    <s v="anonymous"/>
    <d v="2022-06-15T00:00:00"/>
    <d v="1899-12-30T00:33:00"/>
    <d v="1899-12-30T00:01:26"/>
    <m/>
    <m/>
    <m/>
    <m/>
    <m/>
    <s v="Data Analyst"/>
    <x v="0"/>
    <s v="66k-85k"/>
    <n v="76"/>
    <s v="Education"/>
    <s v="Other"/>
    <x v="8"/>
    <n v="9"/>
    <n v="7"/>
    <n v="9"/>
    <n v="8"/>
    <n v="9"/>
    <s v="Neither easy nor difficult"/>
    <s v="Better Salary"/>
    <s v="Male"/>
    <n v="27"/>
    <s v="Other"/>
    <s v="Bachelors"/>
    <s v="Asian or Asian American"/>
  </r>
  <r>
    <s v="62a962380f8c8599d5b7e3fb"/>
    <s v="anonymous"/>
    <d v="2022-06-15T00:00:00"/>
    <d v="1899-12-30T00:38:00"/>
    <d v="1899-12-30T00:01:24"/>
    <m/>
    <m/>
    <m/>
    <m/>
    <m/>
    <s v="Data Analyst"/>
    <x v="0"/>
    <s v="0-40k"/>
    <n v="20"/>
    <s v="Other"/>
    <s v="Other"/>
    <x v="4"/>
    <n v="0"/>
    <n v="5"/>
    <n v="3"/>
    <n v="0"/>
    <n v="3"/>
    <s v="Very Difficult"/>
    <s v="Remote Work"/>
    <s v="Male"/>
    <n v="28"/>
    <s v="Other"/>
    <s v="Bachelors"/>
    <s v="Black or African American"/>
  </r>
  <r>
    <s v="62a993537dc029e2d674e9b5"/>
    <s v="anonymous"/>
    <d v="2022-06-15T00:00:00"/>
    <d v="1899-12-30T04:07:00"/>
    <d v="1899-12-30T00:02:08"/>
    <m/>
    <m/>
    <m/>
    <m/>
    <m/>
    <s v="Data Analyst"/>
    <x v="1"/>
    <s v="66k-85k"/>
    <n v="76"/>
    <s v="Education"/>
    <s v="Python"/>
    <x v="6"/>
    <n v="3"/>
    <n v="5"/>
    <n v="3"/>
    <n v="3"/>
    <n v="4"/>
    <s v="Neither easy nor difficult"/>
    <s v="Good Work/Life Balance"/>
    <s v="Female"/>
    <n v="38"/>
    <s v="Other"/>
    <s v="Masters"/>
    <s v="Black or African American"/>
  </r>
  <r>
    <s v="62a9bb81bc6861bf3180079c"/>
    <s v="anonymous"/>
    <d v="2022-06-15T00:00:00"/>
    <d v="1899-12-30T06:59:00"/>
    <d v="1899-12-30T00:01:56"/>
    <m/>
    <m/>
    <m/>
    <m/>
    <m/>
    <s v="Data Analyst"/>
    <x v="1"/>
    <s v="0-40k"/>
    <n v="20"/>
    <s v="Finance"/>
    <s v="Python"/>
    <x v="4"/>
    <n v="6"/>
    <n v="5"/>
    <n v="5"/>
    <n v="6"/>
    <n v="6"/>
    <s v="Easy"/>
    <s v="Good Culture"/>
    <s v="Male"/>
    <n v="22"/>
    <s v="Other"/>
    <s v="Bachelors"/>
    <s v="White or Caucasian"/>
  </r>
  <r>
    <s v="62a9c880f408bae018f6aa1b"/>
    <s v="anonymous"/>
    <d v="2022-06-15T00:00:00"/>
    <d v="1899-12-30T07:54:00"/>
    <d v="1899-12-30T00:01:32"/>
    <m/>
    <m/>
    <m/>
    <m/>
    <m/>
    <s v="Data Analyst"/>
    <x v="0"/>
    <s v="86k-105k"/>
    <n v="96"/>
    <s v="Other"/>
    <s v="Python"/>
    <x v="7"/>
    <n v="8"/>
    <n v="9"/>
    <n v="9"/>
    <n v="9"/>
    <n v="9"/>
    <s v="Difficult"/>
    <s v="Better Salary"/>
    <s v="Male"/>
    <n v="34"/>
    <s v="United States"/>
    <s v="Bachelors"/>
    <s v="Hispanic or Latino"/>
  </r>
  <r>
    <s v="62a9e206f3072dd8926bce70"/>
    <s v="anonymous"/>
    <d v="2022-06-15T00:00:00"/>
    <d v="1899-12-30T09:43:00"/>
    <d v="1899-12-30T00:02:07"/>
    <m/>
    <m/>
    <m/>
    <m/>
    <m/>
    <s v="Data Analyst"/>
    <x v="1"/>
    <s v="0-40k"/>
    <n v="20"/>
    <s v="Tech"/>
    <s v="Python"/>
    <x v="6"/>
    <n v="8"/>
    <n v="8"/>
    <n v="5"/>
    <n v="7"/>
    <n v="9"/>
    <s v="Easy"/>
    <s v="Better Salary"/>
    <s v="Male"/>
    <n v="26"/>
    <s v="Other"/>
    <s v="Bachelors"/>
    <s v="Asian or Asian American"/>
  </r>
  <r>
    <s v="62a9f0172e54c9003e5cdc25"/>
    <s v="anonymous"/>
    <d v="2022-06-15T00:00:00"/>
    <d v="1899-12-30T10:43:00"/>
    <d v="1899-12-30T00:01:06"/>
    <m/>
    <m/>
    <m/>
    <m/>
    <m/>
    <s v="Data Analyst"/>
    <x v="0"/>
    <s v="66k-85k"/>
    <n v="76"/>
    <s v="Tech"/>
    <s v="Python"/>
    <x v="8"/>
    <n v="9"/>
    <n v="7"/>
    <n v="7"/>
    <n v="8"/>
    <n v="9"/>
    <s v="Neither easy nor difficult"/>
    <s v="Better Salary"/>
    <s v="Female"/>
    <n v="26"/>
    <s v="Canada"/>
    <s v="Bachelors"/>
    <s v="Asian or Asian American"/>
  </r>
  <r>
    <s v="62a9f8a4cf2555431739d694"/>
    <s v="anonymous"/>
    <d v="2022-06-15T00:00:00"/>
    <d v="1899-12-30T11:20:00"/>
    <d v="1899-12-30T00:01:23"/>
    <m/>
    <m/>
    <m/>
    <m/>
    <m/>
    <s v="Data Engineer"/>
    <x v="1"/>
    <s v="66k-85k"/>
    <n v="76"/>
    <s v="Education"/>
    <s v="Python"/>
    <x v="3"/>
    <n v="10"/>
    <n v="10"/>
    <n v="9"/>
    <n v="9"/>
    <n v="10"/>
    <s v="Difficult"/>
    <s v="Remote Work"/>
    <s v="Male"/>
    <n v="25"/>
    <s v="Other"/>
    <s v="Bachelors"/>
    <s v="Other"/>
  </r>
  <r>
    <s v="62aa121dcec54911e9d446cc"/>
    <s v="anonymous"/>
    <d v="2022-06-15T00:00:00"/>
    <d v="1899-12-30T13:08:00"/>
    <d v="1899-12-30T00:03:23"/>
    <m/>
    <m/>
    <m/>
    <m/>
    <m/>
    <s v="Data Scientist"/>
    <x v="0"/>
    <s v="125k-150k"/>
    <n v="138"/>
    <s v="Tech"/>
    <s v="Python"/>
    <x v="8"/>
    <n v="3"/>
    <n v="7"/>
    <n v="4"/>
    <n v="5"/>
    <n v="3"/>
    <s v="Easy"/>
    <s v="Other"/>
    <s v="Male"/>
    <n v="34"/>
    <s v="United States"/>
    <s v="Bachelors"/>
    <s v="Black or African American"/>
  </r>
  <r>
    <s v="62aa1734f3072dd8926c4168"/>
    <s v="anonymous"/>
    <d v="2022-06-15T00:00:00"/>
    <d v="1899-12-30T13:30:00"/>
    <d v="1899-12-30T00:03:51"/>
    <m/>
    <m/>
    <m/>
    <m/>
    <m/>
    <s v="Other"/>
    <x v="0"/>
    <s v="41k-65k"/>
    <n v="53"/>
    <s v="Finance"/>
    <s v="Other"/>
    <x v="7"/>
    <n v="10"/>
    <n v="10"/>
    <n v="10"/>
    <n v="4"/>
    <n v="5"/>
    <s v="Neither easy nor difficult"/>
    <s v="Good Work/Life Balance"/>
    <s v="Female"/>
    <n v="32"/>
    <s v="Other"/>
    <s v="Bachelors"/>
    <s v="Hispanic or Latino"/>
  </r>
  <r>
    <s v="62aa21e218134ddc75d8be11"/>
    <s v="anonymous"/>
    <d v="2022-06-15T00:00:00"/>
    <d v="1899-12-30T14:16:00"/>
    <d v="1899-12-30T00:01:15"/>
    <m/>
    <m/>
    <m/>
    <m/>
    <m/>
    <s v="Student"/>
    <x v="1"/>
    <s v="0-40k"/>
    <n v="20"/>
    <s v="Construction"/>
    <s v="R"/>
    <x v="4"/>
    <n v="2"/>
    <n v="2"/>
    <n v="2"/>
    <n v="2"/>
    <n v="2"/>
    <s v="Difficult"/>
    <s v="Better Salary"/>
    <s v="Male"/>
    <n v="24"/>
    <s v="United States"/>
    <s v="Associates"/>
    <s v="Black or African American"/>
  </r>
  <r>
    <s v="62aa29852e54c9003e5d50b5"/>
    <s v="anonymous"/>
    <d v="2022-06-15T00:00:00"/>
    <d v="1899-12-30T14:48:00"/>
    <d v="1899-12-30T00:06:20"/>
    <m/>
    <m/>
    <m/>
    <m/>
    <m/>
    <s v="Data Engineer"/>
    <x v="0"/>
    <s v="0-40k"/>
    <n v="20"/>
    <s v="Tech"/>
    <s v="Python"/>
    <x v="7"/>
    <n v="3"/>
    <n v="3"/>
    <n v="2"/>
    <n v="5"/>
    <n v="9"/>
    <s v="Difficult"/>
    <s v="Better Salary"/>
    <s v="Male"/>
    <n v="26"/>
    <s v="Other"/>
    <s v="Bachelors"/>
    <s v="Hispanic or Latino"/>
  </r>
  <r>
    <s v="62aa2f44bc6861bf3180fd06"/>
    <s v="anonymous"/>
    <d v="2022-06-15T00:00:00"/>
    <d v="1899-12-30T15:13:00"/>
    <d v="1899-12-30T00:02:00"/>
    <m/>
    <m/>
    <m/>
    <m/>
    <m/>
    <s v="Data Analyst"/>
    <x v="0"/>
    <s v="41k-65k"/>
    <n v="53"/>
    <s v="Telecommunication"/>
    <s v="Other"/>
    <x v="5"/>
    <n v="7"/>
    <n v="5"/>
    <n v="6"/>
    <n v="4"/>
    <n v="6"/>
    <s v="Difficult"/>
    <s v="Better Salary"/>
    <s v="Female"/>
    <n v="32"/>
    <s v="Other"/>
    <s v="Masters"/>
    <s v="Black or African American"/>
  </r>
  <r>
    <s v="62aa3454bae91e4b8b8d3249"/>
    <s v="anonymous"/>
    <d v="2022-06-15T00:00:00"/>
    <d v="1899-12-30T15:34:00"/>
    <d v="1899-12-30T00:02:24"/>
    <m/>
    <m/>
    <m/>
    <m/>
    <m/>
    <s v="Data Scientist"/>
    <x v="1"/>
    <s v="41k-65k"/>
    <n v="53"/>
    <s v="Tech"/>
    <s v="R"/>
    <x v="8"/>
    <n v="1"/>
    <n v="7"/>
    <n v="1"/>
    <n v="1"/>
    <n v="2"/>
    <s v="Neither easy nor difficult"/>
    <s v="Good Work/Life Balance"/>
    <s v="Male"/>
    <n v="40"/>
    <s v="Other"/>
    <s v="Masters"/>
    <s v="White or Caucasian"/>
  </r>
  <r>
    <s v="62aa34e8f3072dd8926c7d56"/>
    <s v="anonymous"/>
    <d v="2022-06-15T00:00:00"/>
    <d v="1899-12-30T15:37:00"/>
    <d v="1899-12-30T00:01:49"/>
    <m/>
    <m/>
    <m/>
    <m/>
    <m/>
    <s v="Data Analyst"/>
    <x v="1"/>
    <s v="0-40k"/>
    <n v="20"/>
    <s v="Other"/>
    <s v="Python"/>
    <x v="2"/>
    <n v="7"/>
    <n v="1"/>
    <n v="6"/>
    <n v="0"/>
    <n v="0"/>
    <s v="Easy"/>
    <s v="Better Salary"/>
    <s v="Male"/>
    <n v="27"/>
    <s v="United States"/>
    <s v="Bachelors"/>
    <s v="Black or African American"/>
  </r>
  <r>
    <s v="62aa356ff8d5efcc22020832"/>
    <s v="anonymous"/>
    <d v="2022-06-15T00:00:00"/>
    <d v="1899-12-30T15:39:00"/>
    <d v="1899-12-30T00:01:03"/>
    <m/>
    <m/>
    <m/>
    <m/>
    <m/>
    <s v="Data Analyst"/>
    <x v="0"/>
    <s v="66k-85k"/>
    <n v="76"/>
    <s v="Tech"/>
    <s v="R"/>
    <x v="5"/>
    <n v="3"/>
    <n v="6"/>
    <n v="7"/>
    <n v="4"/>
    <n v="7"/>
    <s v="Easy"/>
    <s v="Better Salary"/>
    <s v="Male"/>
    <n v="28"/>
    <s v="United States"/>
    <s v="Masters"/>
    <s v="Black or African American"/>
  </r>
  <r>
    <s v="62aa3e6824a26260274264da"/>
    <s v="anonymous"/>
    <d v="2022-06-15T00:00:00"/>
    <d v="1899-12-30T16:17:00"/>
    <d v="1899-12-30T00:02:13"/>
    <m/>
    <m/>
    <m/>
    <m/>
    <m/>
    <s v="Data Analyst"/>
    <x v="0"/>
    <s v="0-40k"/>
    <n v="20"/>
    <s v="Other"/>
    <s v="Python"/>
    <x v="1"/>
    <n v="9"/>
    <n v="5"/>
    <n v="5"/>
    <n v="1"/>
    <n v="1"/>
    <s v="Difficult"/>
    <s v="Better Salary"/>
    <s v="Male"/>
    <n v="30"/>
    <s v="Other"/>
    <s v="Bachelors"/>
    <s v="Other"/>
  </r>
  <r>
    <s v="62aa4790f8d5efcc2202266e"/>
    <s v="anonymous"/>
    <d v="2022-06-15T00:00:00"/>
    <d v="1899-12-30T16:56:00"/>
    <d v="1899-12-30T00:01:10"/>
    <m/>
    <m/>
    <m/>
    <m/>
    <m/>
    <s v="Data Analyst"/>
    <x v="0"/>
    <s v="0-40k"/>
    <n v="20"/>
    <s v="Other"/>
    <s v="Python"/>
    <x v="2"/>
    <n v="6"/>
    <n v="5"/>
    <n v="5"/>
    <n v="5"/>
    <n v="6"/>
    <s v="Difficult"/>
    <s v="Remote Work"/>
    <s v="Male"/>
    <n v="37"/>
    <s v="United States"/>
    <s v="Bachelors"/>
    <s v="White or Caucasian"/>
  </r>
  <r>
    <s v="62aa5761bc6861bf318141fc"/>
    <s v="anonymous"/>
    <d v="2022-06-15T00:00:00"/>
    <d v="1899-12-30T18:04:00"/>
    <d v="1899-12-30T00:02:35"/>
    <m/>
    <m/>
    <m/>
    <m/>
    <m/>
    <s v="Other"/>
    <x v="1"/>
    <s v="41k-65k"/>
    <n v="53"/>
    <s v="Tech"/>
    <s v="JavaScript"/>
    <x v="7"/>
    <n v="7"/>
    <n v="5"/>
    <n v="5"/>
    <n v="0"/>
    <n v="0"/>
    <s v="Difficult"/>
    <s v="Good Culture"/>
    <s v="Male"/>
    <n v="32"/>
    <s v="Other"/>
    <s v="Bachelors"/>
    <s v="Asian or Asian American"/>
  </r>
  <r>
    <s v="62aa5c11f408bae018f7dec0"/>
    <s v="anonymous"/>
    <d v="2022-06-15T00:00:00"/>
    <d v="1899-12-30T18:24:00"/>
    <d v="1899-12-30T00:02:20"/>
    <m/>
    <m/>
    <m/>
    <m/>
    <m/>
    <s v="Data Analyst"/>
    <x v="0"/>
    <s v="41k-65k"/>
    <n v="53"/>
    <s v="Tech"/>
    <s v="Python"/>
    <x v="0"/>
    <n v="7"/>
    <n v="10"/>
    <n v="10"/>
    <n v="5"/>
    <n v="8"/>
    <s v="Neither easy nor difficult"/>
    <s v="Better Salary"/>
    <s v="Male"/>
    <n v="24"/>
    <s v="Other"/>
    <s v="Bachelors"/>
    <s v="Other"/>
  </r>
  <r>
    <s v="62aa956ef8d5efcc22028e3d"/>
    <s v="anonymous"/>
    <d v="2022-06-15T00:00:00"/>
    <d v="1899-12-30T22:29:00"/>
    <d v="1899-12-30T00:02:50"/>
    <m/>
    <m/>
    <m/>
    <m/>
    <m/>
    <s v="Data Analyst"/>
    <x v="0"/>
    <s v="0-40k"/>
    <n v="20"/>
    <s v="Tech"/>
    <s v="Python"/>
    <x v="9"/>
    <n v="7"/>
    <n v="7"/>
    <n v="7"/>
    <n v="5"/>
    <n v="6"/>
    <s v="Neither easy nor difficult"/>
    <s v="Better Salary"/>
    <s v="Male"/>
    <n v="39"/>
    <s v="Other"/>
    <s v="Associates"/>
    <s v="White or Caucasian"/>
  </r>
  <r>
    <s v="62aa95970a77c1a77f709268"/>
    <s v="anonymous"/>
    <d v="2022-06-15T00:00:00"/>
    <d v="1899-12-30T22:29:00"/>
    <d v="1899-12-30T00:06:15"/>
    <m/>
    <m/>
    <m/>
    <m/>
    <m/>
    <s v="Data Analyst"/>
    <x v="0"/>
    <s v="125k-150k"/>
    <n v="138"/>
    <s v="Finance"/>
    <s v="Python"/>
    <x v="9"/>
    <n v="8"/>
    <n v="7"/>
    <n v="4"/>
    <n v="4"/>
    <n v="2"/>
    <s v="Easy"/>
    <s v="Other"/>
    <s v="Male"/>
    <n v="34"/>
    <s v="Other"/>
    <s v="Bachelors"/>
    <s v="Asian or Asian American"/>
  </r>
  <r>
    <s v="62aa98bfcf255543173adbdc"/>
    <s v="anonymous"/>
    <d v="2022-06-15T00:00:00"/>
    <d v="1899-12-30T22:43:00"/>
    <d v="1899-12-30T00:01:38"/>
    <m/>
    <m/>
    <m/>
    <m/>
    <m/>
    <s v="Data Analyst"/>
    <x v="1"/>
    <s v="41k-65k"/>
    <n v="53"/>
    <s v="Other"/>
    <s v="Python"/>
    <x v="8"/>
    <n v="6"/>
    <n v="10"/>
    <n v="7"/>
    <n v="3"/>
    <n v="3"/>
    <s v="Neither easy nor difficult"/>
    <s v="Remote Work"/>
    <s v="Male"/>
    <n v="27"/>
    <s v="United States"/>
    <s v="Bachelors"/>
    <s v="Black or African American"/>
  </r>
  <r>
    <s v="62aaa387f8d5efcc22029fcb"/>
    <s v="anonymous"/>
    <d v="2022-06-15T00:00:00"/>
    <d v="1899-12-30T23:29:00"/>
    <d v="1899-12-30T00:01:17"/>
    <m/>
    <m/>
    <m/>
    <m/>
    <m/>
    <s v="Data Analyst"/>
    <x v="0"/>
    <s v="66k-85k"/>
    <n v="76"/>
    <s v="Healthcare"/>
    <s v="Other"/>
    <x v="7"/>
    <n v="7"/>
    <n v="4"/>
    <n v="7"/>
    <n v="7"/>
    <n v="7"/>
    <s v="Difficult"/>
    <s v="Better Salary"/>
    <s v="Male"/>
    <n v="54"/>
    <s v="United States"/>
    <s v="High School"/>
    <s v="White or Caucasian"/>
  </r>
  <r>
    <s v="62aaa86bbae91e4b8b8dc832"/>
    <s v="anonymous"/>
    <d v="2022-06-15T00:00:00"/>
    <d v="1899-12-30T23:50:00"/>
    <d v="1899-12-30T00:01:50"/>
    <m/>
    <m/>
    <m/>
    <m/>
    <m/>
    <s v="Student"/>
    <x v="1"/>
    <s v="0-40k"/>
    <n v="20"/>
    <s v="Tech"/>
    <s v="Python"/>
    <x v="2"/>
    <m/>
    <m/>
    <m/>
    <m/>
    <m/>
    <s v="Difficult"/>
    <s v="Remote Work"/>
    <s v="Female"/>
    <n v="20"/>
    <s v="India"/>
    <s v="Bachelors"/>
    <s v="Asian or Asian American"/>
  </r>
  <r>
    <s v="62aacd922e54c9003e5e33c2"/>
    <s v="anonymous"/>
    <d v="2022-06-16T00:00:00"/>
    <d v="1899-12-30T02:28:00"/>
    <d v="1899-12-30T00:01:22"/>
    <m/>
    <m/>
    <m/>
    <m/>
    <m/>
    <s v="Student"/>
    <x v="0"/>
    <s v="0-40k"/>
    <n v="20"/>
    <s v="Finance"/>
    <s v="Other"/>
    <x v="6"/>
    <n v="3"/>
    <n v="3"/>
    <n v="3"/>
    <n v="3"/>
    <n v="3"/>
    <s v="Neither easy nor difficult"/>
    <s v="Good Work/Life Balance"/>
    <s v="Male"/>
    <n v="25"/>
    <s v="India"/>
    <s v="Masters"/>
    <s v="Asian or Asian American"/>
  </r>
  <r>
    <s v="62aaeecd0f8c8599d5ba6923"/>
    <s v="anonymous"/>
    <d v="2022-06-16T00:00:00"/>
    <d v="1899-12-30T04:50:00"/>
    <d v="1899-12-30T00:01:42"/>
    <m/>
    <m/>
    <m/>
    <m/>
    <m/>
    <s v="Student"/>
    <x v="1"/>
    <s v="0-40k"/>
    <n v="20"/>
    <s v="Tech"/>
    <s v="Python"/>
    <x v="7"/>
    <n v="7"/>
    <n v="2"/>
    <n v="2"/>
    <n v="7"/>
    <n v="9"/>
    <s v="Easy"/>
    <s v="Good Work/Life Balance"/>
    <s v="Male"/>
    <n v="33"/>
    <s v="India"/>
    <s v="Bachelors"/>
    <s v="Asian or Asian American"/>
  </r>
  <r>
    <s v="62aaf8397dc029e2d6773cde"/>
    <s v="anonymous"/>
    <d v="2022-06-16T00:00:00"/>
    <d v="1899-12-30T05:30:00"/>
    <d v="1899-12-30T00:01:17"/>
    <m/>
    <m/>
    <m/>
    <m/>
    <m/>
    <s v="Data Analyst"/>
    <x v="0"/>
    <s v="41k-65k"/>
    <n v="53"/>
    <s v="Tech"/>
    <s v="Python"/>
    <x v="5"/>
    <n v="8"/>
    <n v="8"/>
    <n v="8"/>
    <n v="10"/>
    <n v="10"/>
    <s v="Very Easy"/>
    <s v="Remote Work"/>
    <s v="Male"/>
    <n v="30"/>
    <s v="United Kingdom"/>
    <s v="Masters"/>
    <s v="White or Caucasian"/>
  </r>
  <r>
    <s v="62aaff342e54c9003e5e79b8"/>
    <s v="anonymous"/>
    <d v="2022-06-16T00:00:00"/>
    <d v="1899-12-30T06:00:00"/>
    <d v="1899-12-30T00:12:16"/>
    <m/>
    <m/>
    <m/>
    <m/>
    <m/>
    <s v="Student"/>
    <x v="0"/>
    <s v="0-40k"/>
    <n v="20"/>
    <s v="Tech"/>
    <s v="Python"/>
    <x v="2"/>
    <n v="4"/>
    <n v="2"/>
    <n v="0"/>
    <n v="1"/>
    <n v="3"/>
    <s v="Neither easy nor difficult"/>
    <s v="Better Salary"/>
    <s v="Male"/>
    <n v="31"/>
    <s v="Other"/>
    <s v="High School"/>
    <s v="Black or African American"/>
  </r>
  <r>
    <s v="62ab0bdc575fa3a5ae9413e5"/>
    <s v="anonymous"/>
    <d v="2022-06-16T00:00:00"/>
    <d v="1899-12-30T06:54:00"/>
    <d v="1899-12-30T00:02:11"/>
    <m/>
    <m/>
    <m/>
    <m/>
    <m/>
    <s v="Student"/>
    <x v="0"/>
    <s v="0-40k"/>
    <n v="20"/>
    <s v="Other"/>
    <s v="Python"/>
    <x v="8"/>
    <n v="6"/>
    <n v="5"/>
    <n v="6"/>
    <n v="2"/>
    <n v="1"/>
    <s v="Difficult"/>
    <s v="Remote Work"/>
    <s v="Male"/>
    <n v="22"/>
    <s v="Other"/>
    <s v="Masters"/>
    <s v="Other"/>
  </r>
  <r>
    <s v="62ab1cb0cec54911e9d5d187"/>
    <s v="anonymous"/>
    <d v="2022-06-16T00:00:00"/>
    <d v="1899-12-30T08:06:00"/>
    <d v="1899-12-30T00:01:29"/>
    <m/>
    <m/>
    <m/>
    <m/>
    <m/>
    <s v="Data Analyst"/>
    <x v="0"/>
    <s v="66k-85k"/>
    <n v="76"/>
    <s v="Tech"/>
    <s v="R"/>
    <x v="10"/>
    <n v="10"/>
    <n v="10"/>
    <n v="10"/>
    <n v="8"/>
    <n v="9"/>
    <s v="Neither easy nor difficult"/>
    <s v="Remote Work"/>
    <s v="Female"/>
    <n v="38"/>
    <s v="United States"/>
    <s v="Bachelors"/>
    <s v="Black or African American"/>
  </r>
  <r>
    <s v="62ab3e62bae91e4b8b8ebe14"/>
    <s v="anonymous"/>
    <d v="2022-06-16T00:00:00"/>
    <d v="1899-12-30T10:29:00"/>
    <d v="1899-12-30T00:02:41"/>
    <m/>
    <m/>
    <m/>
    <m/>
    <m/>
    <s v="Data Analyst"/>
    <x v="1"/>
    <s v="0-40k"/>
    <n v="20"/>
    <s v="Other"/>
    <s v="Python"/>
    <x v="9"/>
    <n v="9"/>
    <n v="7"/>
    <n v="7"/>
    <n v="5"/>
    <n v="8"/>
    <s v="Neither easy nor difficult"/>
    <s v="Good Work/Life Balance"/>
    <s v="Male"/>
    <n v="22"/>
    <s v="Other"/>
    <s v="Bachelors"/>
    <s v="Other"/>
  </r>
  <r>
    <s v="62ab6ab318134ddc75dabb09"/>
    <s v="anonymous"/>
    <d v="2022-06-16T00:00:00"/>
    <d v="1899-12-30T13:38:00"/>
    <d v="1899-12-30T00:01:20"/>
    <m/>
    <m/>
    <m/>
    <m/>
    <m/>
    <s v="Data Scientist"/>
    <x v="0"/>
    <s v="0-40k"/>
    <n v="20"/>
    <s v="Real Estate"/>
    <s v="Python"/>
    <x v="4"/>
    <n v="3"/>
    <n v="4"/>
    <n v="5"/>
    <n v="3"/>
    <n v="6"/>
    <s v="Very Easy"/>
    <s v="Better Salary"/>
    <s v="Male"/>
    <n v="33"/>
    <s v="India"/>
    <s v="Bachelors"/>
    <s v="Asian or Asian American"/>
  </r>
  <r>
    <s v="62ab83a7d8c00e9f54263d2e"/>
    <s v="anonymous"/>
    <d v="2022-06-16T00:00:00"/>
    <d v="1899-12-30T15:25:00"/>
    <d v="1899-12-30T00:01:11"/>
    <m/>
    <m/>
    <m/>
    <m/>
    <m/>
    <s v="Data Analyst"/>
    <x v="0"/>
    <s v="41k-65k"/>
    <n v="53"/>
    <s v="Tech"/>
    <s v="Python"/>
    <x v="6"/>
    <n v="6"/>
    <n v="6"/>
    <n v="6"/>
    <n v="5"/>
    <n v="5"/>
    <s v="Neither easy nor difficult"/>
    <s v="Better Salary"/>
    <s v="Male"/>
    <n v="27"/>
    <s v="Canada"/>
    <s v="Bachelors"/>
    <s v="White or Caucasian"/>
  </r>
  <r>
    <s v="62ab8bf65d257a28a319e9cb"/>
    <s v="anonymous"/>
    <d v="2022-06-16T00:00:00"/>
    <d v="1899-12-30T16:00:00"/>
    <d v="1899-12-30T00:02:14"/>
    <m/>
    <m/>
    <m/>
    <m/>
    <m/>
    <s v="Data Analyst"/>
    <x v="1"/>
    <s v="0-40k"/>
    <n v="20"/>
    <s v="Tech"/>
    <s v="R"/>
    <x v="2"/>
    <n v="6"/>
    <n v="3"/>
    <n v="0"/>
    <n v="0"/>
    <n v="10"/>
    <s v="Neither easy nor difficult"/>
    <s v="Remote Work"/>
    <s v="Male"/>
    <n v="19"/>
    <s v="Other"/>
    <s v="Bachelors"/>
    <s v="White or Caucasian"/>
  </r>
  <r>
    <s v="62abec6cf3072dd8926f2ad0"/>
    <s v="anonymous"/>
    <d v="2022-06-16T00:00:00"/>
    <d v="1899-12-30T22:52:00"/>
    <d v="1899-12-30T00:01:24"/>
    <m/>
    <m/>
    <m/>
    <m/>
    <m/>
    <s v="Other"/>
    <x v="1"/>
    <s v="0-40k"/>
    <n v="20"/>
    <s v="Other"/>
    <s v="Python"/>
    <x v="1"/>
    <n v="6"/>
    <n v="2"/>
    <n v="5"/>
    <n v="1"/>
    <n v="0"/>
    <s v="Neither easy nor difficult"/>
    <s v="Better Salary"/>
    <s v="Male"/>
    <n v="24"/>
    <s v="India"/>
    <s v="Bachelors"/>
    <s v="Other"/>
  </r>
  <r>
    <s v="62abee280f8c8599d5bc246d"/>
    <s v="anonymous"/>
    <d v="2022-06-16T00:00:00"/>
    <d v="1899-12-30T22:59:00"/>
    <d v="1899-12-30T00:03:50"/>
    <m/>
    <m/>
    <m/>
    <m/>
    <m/>
    <s v="Other"/>
    <x v="1"/>
    <s v="150k-225k"/>
    <n v="188"/>
    <s v="Finance"/>
    <s v="Other"/>
    <x v="10"/>
    <n v="10"/>
    <n v="9"/>
    <n v="10"/>
    <n v="8"/>
    <n v="10"/>
    <s v="Very Easy"/>
    <s v="Good Culture"/>
    <s v="Female"/>
    <n v="58"/>
    <s v="United States"/>
    <s v="Masters"/>
    <s v="White or Caucasian"/>
  </r>
  <r>
    <s v="62acc1f0cf255543173e59f7"/>
    <s v="anonymous"/>
    <d v="2022-06-17T00:00:00"/>
    <d v="1899-12-30T14:03:00"/>
    <d v="1899-12-30T00:01:38"/>
    <m/>
    <m/>
    <m/>
    <m/>
    <m/>
    <s v="Data Analyst"/>
    <x v="1"/>
    <s v="0-40k"/>
    <n v="20"/>
    <s v="Tech"/>
    <s v="Python"/>
    <x v="4"/>
    <n v="2"/>
    <n v="5"/>
    <n v="6"/>
    <n v="6"/>
    <n v="3"/>
    <s v="Neither easy nor difficult"/>
    <s v="Good Work/Life Balance"/>
    <s v="Male"/>
    <n v="22"/>
    <s v="Other"/>
    <s v="Bachelors"/>
    <s v="Black or African American"/>
  </r>
  <r>
    <s v="62ace61d575fa3a5ae972d57"/>
    <s v="anonymous"/>
    <d v="2022-06-17T00:00:00"/>
    <d v="1899-12-30T16:37:00"/>
    <d v="1899-12-30T00:01:26"/>
    <m/>
    <m/>
    <m/>
    <m/>
    <m/>
    <s v="Data Analyst"/>
    <x v="1"/>
    <s v="86k-105k"/>
    <n v="96"/>
    <s v="Tech"/>
    <s v="Python"/>
    <x v="5"/>
    <n v="4"/>
    <n v="4"/>
    <n v="4"/>
    <n v="3"/>
    <n v="4"/>
    <s v="Neither easy nor difficult"/>
    <s v="Better Salary"/>
    <s v="Male"/>
    <n v="26"/>
    <s v="Other"/>
    <s v="Masters"/>
    <s v="Asian or Asian American"/>
  </r>
  <r>
    <s v="62acf0890f8c8599d5bdce87"/>
    <s v="anonymous"/>
    <d v="2022-06-17T00:00:00"/>
    <d v="1899-12-30T17:22:00"/>
    <d v="1899-12-30T00:02:06"/>
    <m/>
    <m/>
    <m/>
    <m/>
    <m/>
    <s v="Other"/>
    <x v="1"/>
    <s v="41k-65k"/>
    <n v="53"/>
    <s v="Tech"/>
    <s v="Other"/>
    <x v="5"/>
    <n v="5"/>
    <n v="4"/>
    <n v="5"/>
    <n v="5"/>
    <n v="3"/>
    <s v="Easy"/>
    <s v="Good Culture"/>
    <s v="Female"/>
    <n v="31"/>
    <s v="United Kingdom"/>
    <s v="Bachelors"/>
    <s v="White or Caucasian"/>
  </r>
  <r>
    <s v="62ad591424a2626027471080"/>
    <s v="anonymous"/>
    <d v="2022-06-18T00:00:00"/>
    <d v="1899-12-30T00:48:00"/>
    <d v="1899-12-30T00:01:32"/>
    <m/>
    <m/>
    <m/>
    <m/>
    <m/>
    <s v="Data Analyst"/>
    <x v="1"/>
    <s v="41k-65k"/>
    <n v="53"/>
    <s v="Agriculture"/>
    <s v="Python"/>
    <x v="4"/>
    <n v="2"/>
    <n v="4"/>
    <n v="5"/>
    <n v="1"/>
    <n v="1"/>
    <s v="Neither easy nor difficult"/>
    <s v="Better Salary"/>
    <s v="Male"/>
    <n v="23"/>
    <s v="United States"/>
    <s v="High School"/>
    <s v="Hispanic or Latino"/>
  </r>
  <r>
    <s v="62ade22318134ddc75de385f"/>
    <s v="anonymous"/>
    <d v="2022-06-18T00:00:00"/>
    <d v="1899-12-30T10:33:00"/>
    <d v="1899-12-30T00:01:20"/>
    <m/>
    <m/>
    <m/>
    <m/>
    <m/>
    <s v="Data Analyst"/>
    <x v="1"/>
    <s v="86k-105k"/>
    <n v="96"/>
    <s v="Healthcare"/>
    <s v="Python"/>
    <x v="7"/>
    <n v="10"/>
    <n v="10"/>
    <n v="10"/>
    <n v="7"/>
    <n v="8"/>
    <s v="Neither easy nor difficult"/>
    <s v="Remote Work"/>
    <s v="Female"/>
    <n v="31"/>
    <s v="United States"/>
    <s v="Masters"/>
    <s v="Asian or Asian American"/>
  </r>
  <r>
    <s v="62adf26f18134ddc75de4bb4"/>
    <s v="anonymous"/>
    <d v="2022-06-18T00:00:00"/>
    <d v="1899-12-30T11:42:00"/>
    <d v="1899-12-30T00:01:47"/>
    <m/>
    <m/>
    <m/>
    <m/>
    <m/>
    <s v="Student"/>
    <x v="1"/>
    <s v="66k-85k"/>
    <n v="76"/>
    <s v="Construction"/>
    <s v="Other"/>
    <x v="8"/>
    <n v="5"/>
    <n v="7"/>
    <n v="7"/>
    <n v="9"/>
    <n v="10"/>
    <s v="Difficult"/>
    <s v="Better Salary"/>
    <s v="Female"/>
    <n v="24"/>
    <s v="United States"/>
    <s v="Bachelors"/>
    <s v="Asian or Asian American"/>
  </r>
  <r>
    <s v="62ae680024a2626027483ebc"/>
    <s v="anonymous"/>
    <d v="2022-06-18T00:00:00"/>
    <d v="1899-12-30T20:04:00"/>
    <d v="1899-12-30T00:02:05"/>
    <m/>
    <m/>
    <m/>
    <m/>
    <m/>
    <s v="Other"/>
    <x v="0"/>
    <s v="41k-65k"/>
    <n v="53"/>
    <s v="Finance"/>
    <s v="Python"/>
    <x v="10"/>
    <n v="10"/>
    <n v="10"/>
    <n v="10"/>
    <n v="10"/>
    <n v="10"/>
    <s v="Neither easy nor difficult"/>
    <s v="Better Salary"/>
    <s v="Male"/>
    <n v="29"/>
    <s v="Other"/>
    <s v="Bachelors"/>
    <s v="Hispanic or Latino"/>
  </r>
  <r>
    <s v="62aee103f8f756164595adb8"/>
    <s v="anonymous"/>
    <d v="2022-06-19T00:00:00"/>
    <d v="1899-12-30T04:40:00"/>
    <d v="1899-12-30T00:01:20"/>
    <m/>
    <m/>
    <m/>
    <m/>
    <m/>
    <s v="Student"/>
    <x v="0"/>
    <s v="0-40k"/>
    <n v="20"/>
    <s v="Education"/>
    <s v="Python"/>
    <x v="7"/>
    <n v="8"/>
    <n v="9"/>
    <n v="8"/>
    <n v="9"/>
    <n v="10"/>
    <s v="Difficult"/>
    <s v="Good Work/Life Balance"/>
    <s v="Male"/>
    <n v="26"/>
    <s v="Other"/>
    <s v="Bachelors"/>
    <s v="Asian or Asian American"/>
  </r>
  <r>
    <s v="62af07be7dc029e2d67cc3c8"/>
    <s v="anonymous"/>
    <d v="2022-06-19T00:00:00"/>
    <d v="1899-12-30T07:25:00"/>
    <d v="1899-12-30T00:01:52"/>
    <m/>
    <m/>
    <m/>
    <m/>
    <m/>
    <s v="Student"/>
    <x v="0"/>
    <s v="0-40k"/>
    <n v="20"/>
    <s v="Other"/>
    <s v="Python"/>
    <x v="6"/>
    <n v="9"/>
    <n v="9"/>
    <n v="9"/>
    <n v="9"/>
    <n v="9"/>
    <s v="Neither easy nor difficult"/>
    <s v="Better Salary"/>
    <s v="Male"/>
    <n v="20"/>
    <s v="India"/>
    <s v="High School"/>
    <s v="Asian or Asian American"/>
  </r>
  <r>
    <s v="62af10295d257a28a31e6ff8"/>
    <s v="anonymous"/>
    <d v="2022-06-19T00:00:00"/>
    <d v="1899-12-30T08:01:00"/>
    <d v="1899-12-30T00:01:24"/>
    <m/>
    <m/>
    <m/>
    <m/>
    <m/>
    <s v="Data Analyst"/>
    <x v="0"/>
    <s v="0-40k"/>
    <n v="20"/>
    <s v="Education"/>
    <s v="Python"/>
    <x v="2"/>
    <n v="2"/>
    <n v="3"/>
    <n v="2"/>
    <n v="4"/>
    <n v="2"/>
    <s v="Neither easy nor difficult"/>
    <s v="Better Salary"/>
    <s v="Male"/>
    <n v="23"/>
    <s v="India"/>
    <s v="Bachelors"/>
    <s v="Asian or Asian American"/>
  </r>
  <r>
    <s v="62af387018134ddc75df894e"/>
    <s v="anonymous"/>
    <d v="2022-06-19T00:00:00"/>
    <d v="1899-12-30T10:53:00"/>
    <d v="1899-12-30T00:01:47"/>
    <m/>
    <m/>
    <m/>
    <m/>
    <m/>
    <s v="Data Analyst"/>
    <x v="1"/>
    <s v="106k-125k"/>
    <n v="116"/>
    <s v="Tech"/>
    <s v="Python"/>
    <x v="10"/>
    <n v="8"/>
    <n v="9"/>
    <n v="8"/>
    <n v="7"/>
    <n v="7"/>
    <s v="Neither easy nor difficult"/>
    <s v="Good Work/Life Balance"/>
    <s v="Male"/>
    <n v="33"/>
    <s v="United States"/>
    <s v="Masters"/>
    <s v="White or Caucasian"/>
  </r>
  <r>
    <s v="62af49025d257a28a31eb2f1"/>
    <s v="anonymous"/>
    <d v="2022-06-19T00:00:00"/>
    <d v="1899-12-30T12:04:00"/>
    <d v="1899-12-30T00:01:40"/>
    <m/>
    <m/>
    <m/>
    <m/>
    <m/>
    <s v="Student"/>
    <x v="0"/>
    <s v="0-40k"/>
    <n v="20"/>
    <s v="Tech"/>
    <s v="Python"/>
    <x v="4"/>
    <n v="3"/>
    <n v="3"/>
    <n v="5"/>
    <n v="5"/>
    <n v="9"/>
    <s v="Easy"/>
    <s v="Remote Work"/>
    <s v="Male"/>
    <n v="26"/>
    <s v="Other"/>
    <s v="Bachelors"/>
    <s v="Black or African American"/>
  </r>
  <r>
    <s v="62af53ce0f8c8599d5c04934"/>
    <s v="anonymous"/>
    <d v="2022-06-19T00:00:00"/>
    <d v="1899-12-30T12:50:00"/>
    <d v="1899-12-30T00:03:57"/>
    <m/>
    <m/>
    <m/>
    <m/>
    <m/>
    <s v="Data Analyst"/>
    <x v="0"/>
    <s v="0-40k"/>
    <n v="20"/>
    <s v="Other"/>
    <s v="R"/>
    <x v="6"/>
    <n v="9"/>
    <n v="8"/>
    <n v="8"/>
    <n v="6"/>
    <n v="6"/>
    <s v="Difficult"/>
    <s v="Better Salary"/>
    <s v="Male"/>
    <n v="27"/>
    <s v="India"/>
    <s v="Bachelors"/>
    <s v="Asian or Asian American"/>
  </r>
  <r>
    <s v="62af6371f8d5efcc2208e923"/>
    <s v="anonymous"/>
    <d v="2022-06-19T00:00:00"/>
    <d v="1899-12-30T13:57:00"/>
    <d v="1899-12-30T00:02:21"/>
    <m/>
    <m/>
    <m/>
    <m/>
    <m/>
    <s v="Student"/>
    <x v="1"/>
    <s v="0-40k"/>
    <n v="20"/>
    <s v="Agriculture"/>
    <s v="Other"/>
    <x v="2"/>
    <n v="8"/>
    <n v="8"/>
    <n v="8"/>
    <n v="8"/>
    <n v="8"/>
    <s v="Neither easy nor difficult"/>
    <s v="Better Salary"/>
    <s v="Male"/>
    <n v="22"/>
    <s v="Other"/>
    <s v="Bachelors"/>
    <s v="Asian or Asian American"/>
  </r>
  <r>
    <s v="62af9ed7f3072dd892739279"/>
    <s v="anonymous"/>
    <d v="2022-06-19T00:00:00"/>
    <d v="1899-12-30T18:10:00"/>
    <d v="1899-12-30T00:02:06"/>
    <m/>
    <m/>
    <m/>
    <m/>
    <m/>
    <s v="Data Analyst"/>
    <x v="0"/>
    <s v="0-40k"/>
    <n v="20"/>
    <s v="Tech"/>
    <s v="Python"/>
    <x v="6"/>
    <n v="9"/>
    <n v="9"/>
    <n v="6"/>
    <n v="9"/>
    <n v="4"/>
    <s v="Easy"/>
    <s v="Better Salary"/>
    <s v="Male"/>
    <n v="23"/>
    <s v="Other"/>
    <s v="Masters"/>
    <s v="White or Caucasian"/>
  </r>
  <r>
    <s v="62b152960f8c8599d5c31550"/>
    <s v="anonymous"/>
    <d v="2022-06-21T00:00:00"/>
    <d v="1899-12-30T01:09:00"/>
    <d v="1899-12-30T00:01:54"/>
    <m/>
    <m/>
    <m/>
    <m/>
    <m/>
    <s v="Other"/>
    <x v="0"/>
    <s v="0-40k"/>
    <n v="20"/>
    <s v="Other"/>
    <s v="Python"/>
    <x v="6"/>
    <n v="6"/>
    <n v="7"/>
    <n v="5"/>
    <n v="4"/>
    <n v="4"/>
    <s v="Neither easy nor difficult"/>
    <s v="Better Salary"/>
    <s v="Male"/>
    <n v="28"/>
    <s v="Other"/>
    <s v="Bachelors"/>
    <s v="Hispanic or Latino"/>
  </r>
  <r>
    <s v="62b16a5c5d257a28a321a74c"/>
    <s v="anonymous"/>
    <d v="2022-06-21T00:00:00"/>
    <d v="1899-12-30T02:51:00"/>
    <d v="1899-12-30T00:02:28"/>
    <m/>
    <m/>
    <m/>
    <m/>
    <m/>
    <s v="Data Analyst"/>
    <x v="1"/>
    <s v="41k-65k"/>
    <n v="53"/>
    <s v="Finance"/>
    <s v="Other"/>
    <x v="7"/>
    <n v="5"/>
    <n v="4"/>
    <n v="6"/>
    <n v="4"/>
    <n v="5"/>
    <s v="Easy"/>
    <s v="Good Work/Life Balance"/>
    <s v="Female"/>
    <n v="39"/>
    <s v="Other"/>
    <s v="Masters"/>
    <s v="White or Caucasian"/>
  </r>
  <r>
    <s v="62b21d40bae91e4b8b985154"/>
    <s v="anonymous"/>
    <d v="2022-06-21T00:00:00"/>
    <d v="1899-12-30T15:34:00"/>
    <d v="1899-12-30T00:03:25"/>
    <m/>
    <m/>
    <m/>
    <m/>
    <m/>
    <s v="Other"/>
    <x v="1"/>
    <s v="106k-125k"/>
    <n v="116"/>
    <s v="Other"/>
    <s v="Python"/>
    <x v="6"/>
    <n v="2"/>
    <n v="5"/>
    <n v="3"/>
    <n v="3"/>
    <n v="4"/>
    <s v="Neither easy nor difficult"/>
    <s v="Better Salary"/>
    <s v="Male"/>
    <n v="37"/>
    <s v="United States"/>
    <s v="Masters"/>
    <s v="White or Caucasian"/>
  </r>
  <r>
    <s v="62b27004bc6861bf318c9038"/>
    <s v="anonymous"/>
    <d v="2022-06-21T00:00:00"/>
    <d v="1899-12-30T21:27:00"/>
    <d v="1899-12-30T00:01:33"/>
    <m/>
    <m/>
    <m/>
    <m/>
    <m/>
    <s v="Database Developer"/>
    <x v="0"/>
    <s v="41k-65k"/>
    <n v="53"/>
    <s v="Education"/>
    <s v="Other"/>
    <x v="5"/>
    <n v="7"/>
    <n v="7"/>
    <n v="7"/>
    <n v="7"/>
    <n v="7"/>
    <s v="Difficult"/>
    <s v="Better Salary"/>
    <s v="Female"/>
    <n v="29"/>
    <s v="United States"/>
    <s v="Masters"/>
    <s v="White or Caucasian"/>
  </r>
  <r>
    <s v="62b2ea87f8d5efcc220e3e21"/>
    <s v="anonymous"/>
    <d v="2022-06-22T00:00:00"/>
    <d v="1899-12-30T06:10:00"/>
    <d v="1899-12-30T00:01:24"/>
    <m/>
    <m/>
    <m/>
    <m/>
    <m/>
    <s v="Data Analyst"/>
    <x v="0"/>
    <s v="106k-125k"/>
    <n v="116"/>
    <s v="Finance"/>
    <s v="Python"/>
    <x v="8"/>
    <n v="6"/>
    <n v="6"/>
    <n v="5"/>
    <n v="4"/>
    <n v="3"/>
    <s v="Easy"/>
    <s v="Good Work/Life Balance"/>
    <s v="Male"/>
    <n v="42"/>
    <s v="United States"/>
    <s v="Masters"/>
    <s v="White or Caucasian"/>
  </r>
  <r>
    <s v="62b35284cec54911e9e1818c"/>
    <s v="anonymous"/>
    <d v="2022-06-22T00:00:00"/>
    <d v="1899-12-30T13:33:00"/>
    <d v="1899-12-30T00:01:11"/>
    <m/>
    <m/>
    <m/>
    <m/>
    <m/>
    <s v="Student"/>
    <x v="1"/>
    <s v="0-40k"/>
    <n v="20"/>
    <s v="Tech"/>
    <s v="R"/>
    <x v="2"/>
    <n v="0"/>
    <n v="0"/>
    <n v="0"/>
    <n v="0"/>
    <n v="0"/>
    <s v="Neither easy nor difficult"/>
    <s v="Good Culture"/>
    <s v="Female"/>
    <n v="25"/>
    <s v="Canada"/>
    <s v="Bachelors"/>
    <s v="Asian or Asian American"/>
  </r>
  <r>
    <s v="62b4404df31287f32e14d1c1"/>
    <s v="anonymous"/>
    <d v="2022-06-23T00:00:00"/>
    <d v="1899-12-30T06:28:00"/>
    <d v="1899-12-30T00:01:20"/>
    <m/>
    <m/>
    <m/>
    <m/>
    <m/>
    <s v="Database Developer"/>
    <x v="0"/>
    <n v="0"/>
    <n v="20"/>
    <s v="Telecommunication"/>
    <s v="Python"/>
    <x v="8"/>
    <n v="5"/>
    <n v="5"/>
    <n v="5"/>
    <n v="4"/>
    <n v="5"/>
    <s v="Easy"/>
    <s v="Better Salary"/>
    <s v="Male"/>
    <n v="66"/>
    <s v="Other"/>
    <s v="High School"/>
    <s v="Black or African American"/>
  </r>
  <r>
    <s v="62b525563f28f20328aeee5c"/>
    <s v="anonymous"/>
    <d v="2022-06-23T00:00:00"/>
    <d v="1899-12-30T22:45:00"/>
    <d v="1899-12-30T00:00:50"/>
    <m/>
    <m/>
    <m/>
    <m/>
    <m/>
    <s v="Data Analyst"/>
    <x v="0"/>
    <s v="125k-150k"/>
    <n v="138"/>
    <s v="Other"/>
    <s v="R"/>
    <x v="10"/>
    <n v="5"/>
    <n v="6"/>
    <n v="6"/>
    <n v="5"/>
    <n v="7"/>
    <s v="Easy"/>
    <s v="Better Salary"/>
    <s v="Male"/>
    <n v="26"/>
    <s v="United States"/>
    <s v="Bachelors"/>
    <s v="White or Caucasian"/>
  </r>
  <r>
    <s v="62b5a3e29bc428d5345f6e89"/>
    <s v="anonymous"/>
    <d v="2022-06-24T00:00:00"/>
    <d v="1899-12-30T07:45:00"/>
    <d v="1899-12-30T00:03:12"/>
    <m/>
    <m/>
    <m/>
    <m/>
    <m/>
    <s v="Other"/>
    <x v="1"/>
    <s v="0-40k"/>
    <n v="20"/>
    <s v="Other"/>
    <s v="R"/>
    <x v="5"/>
    <n v="6"/>
    <n v="7"/>
    <n v="7"/>
    <n v="4"/>
    <n v="6"/>
    <s v="Difficult"/>
    <s v="Better Salary"/>
    <s v="Male"/>
    <n v="21"/>
    <s v="United States"/>
    <s v="Bachelors"/>
    <s v="White or Caucasian"/>
  </r>
  <r>
    <s v="62b71083f31287f32e189026"/>
    <s v="anonymous"/>
    <d v="2022-06-25T00:00:00"/>
    <d v="1899-12-30T09:41:00"/>
    <d v="1899-12-30T00:04:43"/>
    <m/>
    <m/>
    <m/>
    <m/>
    <m/>
    <s v="Student"/>
    <x v="0"/>
    <s v="0-40k"/>
    <n v="20"/>
    <s v="Tech"/>
    <s v="Python"/>
    <x v="1"/>
    <n v="2"/>
    <n v="1"/>
    <n v="2"/>
    <n v="1"/>
    <n v="2"/>
    <s v="Difficult"/>
    <s v="Better Salary"/>
    <s v="Male"/>
    <n v="26"/>
    <s v="Other"/>
    <s v="Bachelors"/>
    <s v="Asian or Asian American"/>
  </r>
  <r>
    <s v="62b795033b026e423f287ecd"/>
    <s v="anonymous"/>
    <d v="2022-06-25T00:00:00"/>
    <d v="1899-12-30T19:06:00"/>
    <d v="1899-12-30T00:02:17"/>
    <m/>
    <m/>
    <m/>
    <m/>
    <m/>
    <s v="Data Engineer"/>
    <x v="1"/>
    <s v="0-40k"/>
    <n v="20"/>
    <s v="Tech"/>
    <s v="Python"/>
    <x v="9"/>
    <n v="6"/>
    <n v="6"/>
    <n v="6"/>
    <n v="4"/>
    <n v="3"/>
    <s v="Easy"/>
    <s v="Other"/>
    <s v="Male"/>
    <n v="24"/>
    <s v="Other"/>
    <s v="Bachelors"/>
    <s v="Hispanic or Latino"/>
  </r>
  <r>
    <s v="62b89039377223ff07b80fb5"/>
    <s v="anonymous"/>
    <d v="2022-06-26T00:00:00"/>
    <d v="1899-12-30T12:58:00"/>
    <d v="1899-12-30T00:01:19"/>
    <m/>
    <m/>
    <m/>
    <m/>
    <m/>
    <s v="Data Analyst"/>
    <x v="1"/>
    <s v="41k-65k"/>
    <n v="53"/>
    <s v="Other"/>
    <s v="Python"/>
    <x v="10"/>
    <n v="7"/>
    <n v="6"/>
    <n v="7"/>
    <n v="6"/>
    <n v="8"/>
    <s v="Easy"/>
    <s v="Remote Work"/>
    <s v="Male"/>
    <n v="22"/>
    <s v="United States"/>
    <s v="Bachelors"/>
    <s v="Asian or Asian America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41" cacheId="10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switched /current role">
  <location ref="J1:J3" firstHeaderRow="1" firstDataRow="1" firstDataCol="1"/>
  <pivotFields count="32">
    <pivotField showAll="0"/>
    <pivotField showAll="0"/>
    <pivotField numFmtId="14" showAll="0"/>
    <pivotField numFmtId="19" showAll="0"/>
    <pivotField numFmtId="19" showAll="0"/>
    <pivotField showAll="0"/>
    <pivotField showAll="0"/>
    <pivotField showAll="0"/>
    <pivotField showAll="0"/>
    <pivotField showAll="0"/>
    <pivotField axis="axisRow" showAll="0" sortType="descending">
      <items count="8">
        <item x="4"/>
        <item x="2"/>
        <item x="6"/>
        <item x="3"/>
        <item x="1"/>
        <item x="5"/>
        <item x="0"/>
        <item t="default"/>
      </items>
    </pivotField>
    <pivotField axis="axisRow" showAll="0">
      <items count="3">
        <item h="1" x="1"/>
        <item sd="0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/>
  </pivotFields>
  <rowFields count="2">
    <field x="11"/>
    <field x="10"/>
  </rowFields>
  <rowItems count="2">
    <i>
      <x v="1"/>
    </i>
    <i t="grand">
      <x/>
    </i>
  </rowItems>
  <colItems count="1">
    <i/>
  </colItems>
  <formats count="7">
    <format dxfId="11">
      <pivotArea field="11" type="button" dataOnly="0" labelOnly="1" outline="0" axis="axisRow" fieldPosition="0"/>
    </format>
    <format dxfId="12">
      <pivotArea field="11" type="button" dataOnly="0" labelOnly="1" outline="0" axis="axisRow" fieldPosition="0"/>
    </format>
    <format dxfId="13">
      <pivotArea field="11" type="button" dataOnly="0" labelOnly="1" outline="0" axis="axisRow" fieldPosition="0"/>
    </format>
    <format dxfId="10">
      <pivotArea field="11" type="button" dataOnly="0" labelOnly="1" outline="0" axis="axisRow" fieldPosition="0"/>
    </format>
    <format dxfId="9">
      <pivotArea field="11" type="button" dataOnly="0" labelOnly="1" outline="0" axis="axisRow" fieldPosition="0"/>
    </format>
    <format dxfId="8">
      <pivotArea field="11" type="button" dataOnly="0" labelOnly="1" outline="0" axis="axisRow" fieldPosition="0"/>
    </format>
    <format dxfId="7">
      <pivotArea field="11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0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Job role/salary">
  <location ref="A3:A11" firstHeaderRow="1" firstDataRow="1" firstDataCol="1"/>
  <pivotFields count="32">
    <pivotField showAll="0"/>
    <pivotField showAll="0"/>
    <pivotField numFmtId="14" showAll="0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umFmtId="19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umFmtId="19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showAll="0">
      <items count="2">
        <item x="0"/>
        <item t="default"/>
      </items>
    </pivotField>
    <pivotField showAll="0">
      <items count="2">
        <item x="0"/>
        <item t="default"/>
      </items>
    </pivotField>
    <pivotField axis="axisRow" showAll="0">
      <items count="8">
        <item sd="0" x="0"/>
        <item sd="0" x="5"/>
        <item sd="0" x="1"/>
        <item sd="0" x="3"/>
        <item sd="0" x="6"/>
        <item sd="0" x="2"/>
        <item sd="0" x="4"/>
        <item t="default"/>
      </items>
    </pivotField>
    <pivotField showAll="0">
      <items count="3">
        <item x="1"/>
        <item x="0"/>
        <item t="default"/>
      </items>
    </pivotField>
    <pivotField showAll="0">
      <items count="10">
        <item x="8"/>
        <item x="2"/>
        <item x="0"/>
        <item x="4"/>
        <item x="3"/>
        <item x="7"/>
        <item x="1"/>
        <item x="6"/>
        <item x="5"/>
        <item t="default"/>
      </items>
    </pivotField>
    <pivotField axis="axisRow" showAll="0">
      <items count="9">
        <item x="2"/>
        <item x="1"/>
        <item x="6"/>
        <item x="5"/>
        <item x="0"/>
        <item x="4"/>
        <item x="3"/>
        <item x="7"/>
        <item t="default"/>
      </items>
    </pivotField>
    <pivotField showAll="0">
      <items count="10">
        <item x="8"/>
        <item x="6"/>
        <item x="5"/>
        <item x="1"/>
        <item x="0"/>
        <item x="2"/>
        <item x="7"/>
        <item x="4"/>
        <item x="3"/>
        <item t="default"/>
      </items>
    </pivotField>
    <pivotField showAll="0">
      <items count="7">
        <item x="4"/>
        <item x="5"/>
        <item x="3"/>
        <item x="2"/>
        <item x="0"/>
        <item x="1"/>
        <item t="default"/>
      </items>
    </pivotField>
    <pivotField showAll="0">
      <items count="13">
        <item x="2"/>
        <item x="1"/>
        <item x="4"/>
        <item x="6"/>
        <item x="5"/>
        <item x="8"/>
        <item x="9"/>
        <item x="7"/>
        <item x="10"/>
        <item x="0"/>
        <item x="3"/>
        <item x="11"/>
        <item t="default"/>
      </items>
    </pivotField>
    <pivotField showAll="0">
      <items count="13">
        <item x="7"/>
        <item x="9"/>
        <item x="1"/>
        <item x="5"/>
        <item x="4"/>
        <item x="6"/>
        <item x="3"/>
        <item x="10"/>
        <item x="2"/>
        <item x="0"/>
        <item x="8"/>
        <item x="11"/>
        <item t="default"/>
      </items>
    </pivotField>
    <pivotField showAll="0">
      <items count="13">
        <item x="10"/>
        <item x="9"/>
        <item x="8"/>
        <item x="3"/>
        <item x="2"/>
        <item x="1"/>
        <item x="4"/>
        <item x="0"/>
        <item x="5"/>
        <item x="7"/>
        <item x="6"/>
        <item x="11"/>
        <item t="default"/>
      </items>
    </pivotField>
    <pivotField showAll="0">
      <items count="13">
        <item x="10"/>
        <item x="9"/>
        <item x="1"/>
        <item x="4"/>
        <item x="3"/>
        <item x="0"/>
        <item x="5"/>
        <item x="8"/>
        <item x="6"/>
        <item x="7"/>
        <item x="2"/>
        <item x="11"/>
        <item t="default"/>
      </items>
    </pivotField>
    <pivotField showAll="0">
      <items count="13">
        <item x="3"/>
        <item x="1"/>
        <item x="8"/>
        <item x="4"/>
        <item x="7"/>
        <item x="0"/>
        <item x="5"/>
        <item x="2"/>
        <item x="6"/>
        <item x="10"/>
        <item x="9"/>
        <item x="11"/>
        <item t="default"/>
      </items>
    </pivotField>
    <pivotField showAll="0">
      <items count="13">
        <item x="9"/>
        <item x="3"/>
        <item x="4"/>
        <item x="1"/>
        <item x="7"/>
        <item x="5"/>
        <item x="10"/>
        <item x="0"/>
        <item x="8"/>
        <item x="6"/>
        <item x="2"/>
        <item x="11"/>
        <item t="default"/>
      </items>
    </pivotField>
    <pivotField showAll="0">
      <items count="6">
        <item x="3"/>
        <item x="1"/>
        <item x="4"/>
        <item x="0"/>
        <item x="2"/>
        <item t="default"/>
      </items>
    </pivotField>
    <pivotField showAll="0">
      <items count="6">
        <item x="2"/>
        <item x="3"/>
        <item x="1"/>
        <item x="4"/>
        <item x="0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>
      <items count="6">
        <item x="1"/>
        <item x="4"/>
        <item x="2"/>
        <item x="3"/>
        <item x="0"/>
        <item t="default"/>
      </items>
    </pivotField>
    <pivotField showAll="0">
      <items count="7">
        <item x="4"/>
        <item x="2"/>
        <item x="1"/>
        <item x="3"/>
        <item x="5"/>
        <item x="0"/>
        <item t="default"/>
      </items>
    </pivotField>
    <pivotField showAll="0">
      <items count="8">
        <item x="6"/>
        <item x="1"/>
        <item x="2"/>
        <item x="3"/>
        <item x="5"/>
        <item x="4"/>
        <item x="0"/>
        <item t="default"/>
      </items>
    </pivotField>
    <pivotField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</pivotFields>
  <rowFields count="2">
    <field x="10"/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5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A25" firstHeaderRow="1" firstDataRow="1" firstDataCol="1"/>
  <pivotFields count="2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5"/>
        <item x="1"/>
        <item x="3"/>
        <item x="6"/>
        <item x="2"/>
        <item x="4"/>
        <item n="blank" x="7"/>
        <item t="default"/>
      </items>
    </pivotField>
    <pivotField showAll="0"/>
    <pivotField showAll="0"/>
    <pivotField axis="axisRow" showAll="0">
      <items count="15">
        <item sd="0" x="2"/>
        <item sd="0" x="1"/>
        <item sd="0" x="13"/>
        <item sd="0" x="6"/>
        <item sd="0" x="5"/>
        <item sd="0" x="0"/>
        <item sd="0" x="4"/>
        <item sd="0" x="3"/>
        <item x="10"/>
        <item x="12"/>
        <item x="11"/>
        <item x="7"/>
        <item x="9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3"/>
    <field x="1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r="1">
      <x v="7"/>
    </i>
    <i>
      <x v="9"/>
    </i>
    <i r="1">
      <x v="7"/>
    </i>
    <i>
      <x v="10"/>
    </i>
    <i r="1">
      <x v="7"/>
    </i>
    <i>
      <x v="11"/>
    </i>
    <i r="1">
      <x v="2"/>
    </i>
    <i r="1">
      <x v="3"/>
    </i>
    <i>
      <x v="12"/>
    </i>
    <i r="1">
      <x v="7"/>
    </i>
    <i>
      <x v="13"/>
    </i>
    <i r="1">
      <x v="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2" cacheId="9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compact="0" compactData="0" multipleFieldFilters="0" chartFormat="1">
  <location ref="A3:C5" firstHeaderRow="1" firstDataRow="1" firstDataCol="2"/>
  <pivotFields count="2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dataField="1" compact="0" outline="0" showAll="0" defaultSubtotal="0">
      <items count="2">
        <item sd="0" x="1"/>
        <item sd="0"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2"/>
        <item x="1"/>
        <item x="4"/>
        <item x="6"/>
        <item x="5"/>
        <item x="8"/>
        <item x="9"/>
        <item x="7"/>
        <item x="10"/>
        <item x="0"/>
        <item x="3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1"/>
    <field x="16"/>
  </rowFields>
  <rowItems count="2">
    <i>
      <x/>
    </i>
    <i>
      <x v="1"/>
    </i>
  </rowItems>
  <colItems count="1">
    <i/>
  </colItems>
  <dataFields count="1">
    <dataField name="Count of Switched_Careers" fld="1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40"/>
  <sheetViews>
    <sheetView tabSelected="1" topLeftCell="L1" zoomScale="81" zoomScaleNormal="81" workbookViewId="0">
      <selection activeCell="W10" sqref="W10"/>
    </sheetView>
  </sheetViews>
  <sheetFormatPr defaultRowHeight="14.5" x14ac:dyDescent="0.35"/>
  <cols>
    <col min="1" max="1" width="27.08984375" customWidth="1"/>
    <col min="2" max="2" width="13.08984375" customWidth="1"/>
    <col min="3" max="3" width="14.08984375" customWidth="1"/>
    <col min="4" max="4" width="12.453125" customWidth="1"/>
    <col min="5" max="5" width="11.54296875" customWidth="1"/>
    <col min="11" max="11" width="14.36328125" customWidth="1"/>
    <col min="12" max="12" width="17.08984375" customWidth="1"/>
    <col min="13" max="13" width="14.81640625" customWidth="1"/>
    <col min="14" max="14" width="24.453125" customWidth="1"/>
    <col min="15" max="15" width="12" customWidth="1"/>
    <col min="16" max="16" width="12.7265625" customWidth="1"/>
    <col min="17" max="17" width="11.453125" customWidth="1"/>
    <col min="19" max="19" width="11.90625" customWidth="1"/>
    <col min="22" max="22" width="10.7265625" customWidth="1"/>
    <col min="23" max="23" width="16.26953125" customWidth="1"/>
    <col min="24" max="24" width="15.81640625" customWidth="1"/>
    <col min="25" max="25" width="10.26953125" customWidth="1"/>
    <col min="27" max="27" width="11.81640625" customWidth="1"/>
  </cols>
  <sheetData>
    <row r="1" spans="1:29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8</v>
      </c>
      <c r="AB1" s="3" t="s">
        <v>26</v>
      </c>
      <c r="AC1" s="3" t="s">
        <v>27</v>
      </c>
    </row>
    <row r="2" spans="1:29" x14ac:dyDescent="0.35">
      <c r="A2" t="s">
        <v>28</v>
      </c>
      <c r="B2" t="s">
        <v>29</v>
      </c>
      <c r="C2" s="1">
        <v>44722</v>
      </c>
      <c r="D2" s="2">
        <v>0.35972222222222222</v>
      </c>
      <c r="E2" s="2">
        <v>5.0925925925925921E-4</v>
      </c>
      <c r="K2" t="s">
        <v>30</v>
      </c>
      <c r="L2" t="s">
        <v>31</v>
      </c>
      <c r="M2" t="s">
        <v>32</v>
      </c>
      <c r="N2">
        <v>116</v>
      </c>
      <c r="O2" t="s">
        <v>33</v>
      </c>
      <c r="P2" t="s">
        <v>34</v>
      </c>
      <c r="Q2">
        <v>9</v>
      </c>
      <c r="R2">
        <v>9</v>
      </c>
      <c r="S2">
        <v>7</v>
      </c>
      <c r="T2">
        <v>5</v>
      </c>
      <c r="U2">
        <v>5</v>
      </c>
      <c r="V2">
        <v>7</v>
      </c>
      <c r="W2" t="s">
        <v>35</v>
      </c>
      <c r="X2" t="s">
        <v>36</v>
      </c>
      <c r="Y2" t="s">
        <v>37</v>
      </c>
      <c r="Z2">
        <v>26</v>
      </c>
      <c r="AA2" t="s">
        <v>38</v>
      </c>
      <c r="AC2" t="s">
        <v>39</v>
      </c>
    </row>
    <row r="3" spans="1:29" x14ac:dyDescent="0.35">
      <c r="A3" t="s">
        <v>40</v>
      </c>
      <c r="B3" t="s">
        <v>29</v>
      </c>
      <c r="C3" s="1">
        <v>44722</v>
      </c>
      <c r="D3" s="2">
        <v>0.3611111111111111</v>
      </c>
      <c r="E3" s="2">
        <v>1.0416666666666667E-3</v>
      </c>
      <c r="K3" t="s">
        <v>30</v>
      </c>
      <c r="L3" t="s">
        <v>41</v>
      </c>
      <c r="M3" t="s">
        <v>42</v>
      </c>
      <c r="N3">
        <v>53</v>
      </c>
      <c r="O3" t="s">
        <v>43</v>
      </c>
      <c r="P3" t="s">
        <v>44</v>
      </c>
      <c r="Q3">
        <v>1</v>
      </c>
      <c r="R3">
        <v>2</v>
      </c>
      <c r="S3">
        <v>5</v>
      </c>
      <c r="T3">
        <v>2</v>
      </c>
      <c r="U3">
        <v>1</v>
      </c>
      <c r="V3">
        <v>3</v>
      </c>
      <c r="W3" t="s">
        <v>35</v>
      </c>
      <c r="X3" t="s">
        <v>36</v>
      </c>
      <c r="Y3" t="s">
        <v>37</v>
      </c>
      <c r="Z3">
        <v>36</v>
      </c>
      <c r="AA3" t="s">
        <v>45</v>
      </c>
      <c r="AC3" t="s">
        <v>46</v>
      </c>
    </row>
    <row r="4" spans="1:29" x14ac:dyDescent="0.35">
      <c r="A4" t="s">
        <v>47</v>
      </c>
      <c r="B4" t="s">
        <v>29</v>
      </c>
      <c r="C4" s="1">
        <v>44722</v>
      </c>
      <c r="D4" s="2">
        <v>0.36249999999999999</v>
      </c>
      <c r="E4" s="2">
        <v>1.5972222222222221E-3</v>
      </c>
      <c r="K4" t="s">
        <v>48</v>
      </c>
      <c r="L4" t="s">
        <v>41</v>
      </c>
      <c r="M4" t="s">
        <v>49</v>
      </c>
      <c r="N4">
        <v>20</v>
      </c>
      <c r="O4" t="s">
        <v>50</v>
      </c>
      <c r="P4" t="s">
        <v>34</v>
      </c>
      <c r="Q4">
        <v>0</v>
      </c>
      <c r="R4">
        <v>8</v>
      </c>
      <c r="S4">
        <v>7</v>
      </c>
      <c r="T4">
        <v>5</v>
      </c>
      <c r="U4">
        <v>7</v>
      </c>
      <c r="V4">
        <v>7</v>
      </c>
      <c r="W4" t="s">
        <v>51</v>
      </c>
      <c r="X4" t="s">
        <v>52</v>
      </c>
      <c r="Y4" t="s">
        <v>37</v>
      </c>
      <c r="Z4">
        <v>23</v>
      </c>
      <c r="AA4" t="s">
        <v>50</v>
      </c>
      <c r="AC4" t="s">
        <v>53</v>
      </c>
    </row>
    <row r="5" spans="1:29" x14ac:dyDescent="0.35">
      <c r="A5" t="s">
        <v>54</v>
      </c>
      <c r="B5" t="s">
        <v>29</v>
      </c>
      <c r="C5" s="1">
        <v>44722</v>
      </c>
      <c r="D5" s="2">
        <v>0.36319444444444443</v>
      </c>
      <c r="E5" s="2">
        <v>1.5046296296296294E-3</v>
      </c>
      <c r="K5" t="s">
        <v>50</v>
      </c>
      <c r="L5" t="s">
        <v>31</v>
      </c>
      <c r="M5" t="s">
        <v>55</v>
      </c>
      <c r="N5">
        <v>188</v>
      </c>
      <c r="O5" t="s">
        <v>43</v>
      </c>
      <c r="P5" t="s">
        <v>44</v>
      </c>
      <c r="Q5">
        <v>10</v>
      </c>
      <c r="R5">
        <v>6</v>
      </c>
      <c r="S5">
        <v>7</v>
      </c>
      <c r="T5">
        <v>10</v>
      </c>
      <c r="U5">
        <v>7</v>
      </c>
      <c r="V5">
        <v>10</v>
      </c>
      <c r="W5" t="s">
        <v>56</v>
      </c>
      <c r="X5" t="s">
        <v>36</v>
      </c>
      <c r="Y5" t="s">
        <v>57</v>
      </c>
      <c r="Z5">
        <v>35</v>
      </c>
      <c r="AA5" t="s">
        <v>45</v>
      </c>
      <c r="AC5" t="s">
        <v>39</v>
      </c>
    </row>
    <row r="6" spans="1:29" x14ac:dyDescent="0.35">
      <c r="A6" t="s">
        <v>58</v>
      </c>
      <c r="B6" t="s">
        <v>29</v>
      </c>
      <c r="C6" s="1">
        <v>44722</v>
      </c>
      <c r="D6" s="2">
        <v>0.36388888888888887</v>
      </c>
      <c r="E6" s="2">
        <v>1.2847222222222223E-3</v>
      </c>
      <c r="K6" t="s">
        <v>30</v>
      </c>
      <c r="L6" t="s">
        <v>31</v>
      </c>
      <c r="M6" t="s">
        <v>42</v>
      </c>
      <c r="N6">
        <v>53</v>
      </c>
      <c r="O6" t="s">
        <v>33</v>
      </c>
      <c r="P6" t="s">
        <v>44</v>
      </c>
      <c r="Q6">
        <v>1</v>
      </c>
      <c r="R6">
        <v>4</v>
      </c>
      <c r="S6">
        <v>4</v>
      </c>
      <c r="T6">
        <v>4</v>
      </c>
      <c r="U6">
        <v>0</v>
      </c>
      <c r="V6">
        <v>1</v>
      </c>
      <c r="W6" t="s">
        <v>59</v>
      </c>
      <c r="X6" t="s">
        <v>60</v>
      </c>
      <c r="Y6" t="s">
        <v>37</v>
      </c>
      <c r="Z6">
        <v>44</v>
      </c>
      <c r="AA6" t="s">
        <v>38</v>
      </c>
      <c r="AC6" t="s">
        <v>53</v>
      </c>
    </row>
    <row r="7" spans="1:29" x14ac:dyDescent="0.35">
      <c r="A7" t="s">
        <v>61</v>
      </c>
      <c r="B7" t="s">
        <v>29</v>
      </c>
      <c r="C7" s="1">
        <v>44722</v>
      </c>
      <c r="D7" s="2">
        <v>0.36388888888888887</v>
      </c>
      <c r="E7" s="2">
        <v>1.7824074074074072E-3</v>
      </c>
      <c r="K7" t="s">
        <v>30</v>
      </c>
      <c r="L7" t="s">
        <v>31</v>
      </c>
      <c r="M7" t="s">
        <v>49</v>
      </c>
      <c r="N7">
        <v>20</v>
      </c>
      <c r="O7" t="s">
        <v>50</v>
      </c>
      <c r="P7" t="s">
        <v>34</v>
      </c>
      <c r="Q7">
        <v>2</v>
      </c>
      <c r="R7">
        <v>3</v>
      </c>
      <c r="S7">
        <v>3</v>
      </c>
      <c r="T7">
        <v>3</v>
      </c>
      <c r="U7">
        <v>3</v>
      </c>
      <c r="V7">
        <v>2</v>
      </c>
      <c r="W7" t="s">
        <v>59</v>
      </c>
      <c r="X7" t="s">
        <v>52</v>
      </c>
      <c r="Y7" t="s">
        <v>37</v>
      </c>
      <c r="Z7">
        <v>33</v>
      </c>
      <c r="AA7" t="s">
        <v>50</v>
      </c>
      <c r="AC7" t="s">
        <v>53</v>
      </c>
    </row>
    <row r="8" spans="1:29" x14ac:dyDescent="0.35">
      <c r="A8" t="s">
        <v>62</v>
      </c>
      <c r="B8" t="s">
        <v>29</v>
      </c>
      <c r="C8" s="1">
        <v>44722</v>
      </c>
      <c r="D8" s="2">
        <v>0.36388888888888887</v>
      </c>
      <c r="E8" s="2">
        <v>8.6805555555555551E-4</v>
      </c>
      <c r="K8" t="s">
        <v>63</v>
      </c>
      <c r="L8" t="s">
        <v>31</v>
      </c>
      <c r="M8" t="s">
        <v>49</v>
      </c>
      <c r="N8">
        <v>20</v>
      </c>
      <c r="O8" t="s">
        <v>43</v>
      </c>
      <c r="P8" t="s">
        <v>34</v>
      </c>
      <c r="Q8">
        <v>0</v>
      </c>
      <c r="R8">
        <v>6</v>
      </c>
      <c r="S8">
        <v>6</v>
      </c>
      <c r="T8">
        <v>6</v>
      </c>
      <c r="U8">
        <v>6</v>
      </c>
      <c r="V8">
        <v>5</v>
      </c>
      <c r="W8" t="s">
        <v>59</v>
      </c>
      <c r="X8" t="s">
        <v>60</v>
      </c>
      <c r="Y8" t="s">
        <v>37</v>
      </c>
      <c r="Z8">
        <v>24</v>
      </c>
      <c r="AA8" t="s">
        <v>50</v>
      </c>
      <c r="AC8" t="s">
        <v>53</v>
      </c>
    </row>
    <row r="9" spans="1:29" x14ac:dyDescent="0.35">
      <c r="A9" t="s">
        <v>64</v>
      </c>
      <c r="B9" t="s">
        <v>29</v>
      </c>
      <c r="C9" s="1">
        <v>44722</v>
      </c>
      <c r="D9" s="2">
        <v>0.36458333333333331</v>
      </c>
      <c r="E9" s="2">
        <v>9.8379629629629642E-4</v>
      </c>
      <c r="K9" t="s">
        <v>48</v>
      </c>
      <c r="L9" t="s">
        <v>31</v>
      </c>
      <c r="M9" t="s">
        <v>65</v>
      </c>
      <c r="N9">
        <v>138</v>
      </c>
      <c r="O9" t="s">
        <v>50</v>
      </c>
      <c r="P9" t="s">
        <v>50</v>
      </c>
      <c r="Q9">
        <v>10</v>
      </c>
      <c r="R9">
        <v>5</v>
      </c>
      <c r="S9">
        <v>5</v>
      </c>
      <c r="T9">
        <v>5</v>
      </c>
      <c r="U9">
        <v>5</v>
      </c>
      <c r="V9">
        <v>9</v>
      </c>
      <c r="W9" t="s">
        <v>66</v>
      </c>
      <c r="X9" t="s">
        <v>36</v>
      </c>
      <c r="Y9" t="s">
        <v>37</v>
      </c>
      <c r="Z9">
        <v>35</v>
      </c>
      <c r="AA9" t="s">
        <v>38</v>
      </c>
      <c r="AC9" t="s">
        <v>46</v>
      </c>
    </row>
    <row r="10" spans="1:29" x14ac:dyDescent="0.35">
      <c r="A10" t="s">
        <v>67</v>
      </c>
      <c r="B10" t="s">
        <v>29</v>
      </c>
      <c r="C10" s="1">
        <v>44722</v>
      </c>
      <c r="D10" s="2">
        <v>0.36458333333333331</v>
      </c>
      <c r="E10" s="2">
        <v>1.5046296296296294E-3</v>
      </c>
      <c r="K10" t="s">
        <v>30</v>
      </c>
      <c r="L10" t="s">
        <v>31</v>
      </c>
      <c r="M10" t="s">
        <v>68</v>
      </c>
      <c r="N10">
        <v>96</v>
      </c>
      <c r="O10" t="s">
        <v>33</v>
      </c>
      <c r="P10" t="s">
        <v>44</v>
      </c>
      <c r="Q10">
        <v>4</v>
      </c>
      <c r="R10">
        <v>4</v>
      </c>
      <c r="S10">
        <v>4</v>
      </c>
      <c r="T10">
        <v>4</v>
      </c>
      <c r="U10">
        <v>5</v>
      </c>
      <c r="V10">
        <v>5</v>
      </c>
      <c r="W10" t="s">
        <v>66</v>
      </c>
      <c r="X10" t="s">
        <v>60</v>
      </c>
      <c r="Y10" t="s">
        <v>37</v>
      </c>
      <c r="Z10">
        <v>35</v>
      </c>
      <c r="AA10" t="s">
        <v>38</v>
      </c>
      <c r="AC10" t="s">
        <v>46</v>
      </c>
    </row>
    <row r="11" spans="1:29" x14ac:dyDescent="0.35">
      <c r="A11" t="s">
        <v>69</v>
      </c>
      <c r="B11" t="s">
        <v>29</v>
      </c>
      <c r="C11" s="1">
        <v>44722</v>
      </c>
      <c r="D11" s="2">
        <v>0.36458333333333331</v>
      </c>
      <c r="E11" s="2">
        <v>1.0069444444444444E-3</v>
      </c>
      <c r="K11" t="s">
        <v>30</v>
      </c>
      <c r="L11" t="s">
        <v>31</v>
      </c>
      <c r="M11" t="s">
        <v>42</v>
      </c>
      <c r="N11">
        <v>53</v>
      </c>
      <c r="O11" t="s">
        <v>70</v>
      </c>
      <c r="P11" t="s">
        <v>34</v>
      </c>
      <c r="Q11">
        <v>2</v>
      </c>
      <c r="R11">
        <v>0</v>
      </c>
      <c r="S11">
        <v>3</v>
      </c>
      <c r="T11">
        <v>3</v>
      </c>
      <c r="U11">
        <v>0</v>
      </c>
      <c r="V11">
        <v>4</v>
      </c>
      <c r="W11" t="s">
        <v>35</v>
      </c>
      <c r="X11" t="s">
        <v>60</v>
      </c>
      <c r="Y11" t="s">
        <v>37</v>
      </c>
      <c r="Z11">
        <v>28</v>
      </c>
      <c r="AA11" t="s">
        <v>38</v>
      </c>
      <c r="AC11" t="s">
        <v>71</v>
      </c>
    </row>
    <row r="12" spans="1:29" x14ac:dyDescent="0.35">
      <c r="A12" t="s">
        <v>72</v>
      </c>
      <c r="B12" t="s">
        <v>29</v>
      </c>
      <c r="C12" s="1">
        <v>44722</v>
      </c>
      <c r="D12" s="2">
        <v>0.36458333333333331</v>
      </c>
      <c r="E12" s="2">
        <v>1.0300925925925926E-3</v>
      </c>
      <c r="K12" t="s">
        <v>30</v>
      </c>
      <c r="L12" t="s">
        <v>31</v>
      </c>
      <c r="M12" t="s">
        <v>73</v>
      </c>
      <c r="N12">
        <v>76</v>
      </c>
      <c r="O12" t="s">
        <v>50</v>
      </c>
      <c r="P12" t="s">
        <v>34</v>
      </c>
      <c r="Q12">
        <v>10</v>
      </c>
      <c r="R12">
        <v>10</v>
      </c>
      <c r="S12">
        <v>8</v>
      </c>
      <c r="T12">
        <v>8</v>
      </c>
      <c r="U12">
        <v>8</v>
      </c>
      <c r="V12">
        <v>10</v>
      </c>
      <c r="W12" t="s">
        <v>66</v>
      </c>
      <c r="X12" t="s">
        <v>36</v>
      </c>
      <c r="Y12" t="s">
        <v>37</v>
      </c>
      <c r="Z12">
        <v>37</v>
      </c>
      <c r="AA12" t="s">
        <v>45</v>
      </c>
      <c r="AC12" t="s">
        <v>39</v>
      </c>
    </row>
    <row r="13" spans="1:29" x14ac:dyDescent="0.35">
      <c r="A13" t="s">
        <v>74</v>
      </c>
      <c r="B13" t="s">
        <v>29</v>
      </c>
      <c r="C13" s="1">
        <v>44722</v>
      </c>
      <c r="D13" s="2">
        <v>0.36458333333333331</v>
      </c>
      <c r="E13" s="2">
        <v>1.7476851851851852E-3</v>
      </c>
      <c r="K13" t="s">
        <v>30</v>
      </c>
      <c r="L13" t="s">
        <v>31</v>
      </c>
      <c r="M13" t="s">
        <v>49</v>
      </c>
      <c r="N13">
        <v>20</v>
      </c>
      <c r="O13" t="s">
        <v>50</v>
      </c>
      <c r="P13" t="s">
        <v>34</v>
      </c>
      <c r="Q13">
        <v>3</v>
      </c>
      <c r="R13">
        <v>8</v>
      </c>
      <c r="S13">
        <v>10</v>
      </c>
      <c r="T13">
        <v>10</v>
      </c>
      <c r="U13">
        <v>7</v>
      </c>
      <c r="V13">
        <v>8</v>
      </c>
      <c r="W13" t="s">
        <v>66</v>
      </c>
      <c r="X13" t="s">
        <v>60</v>
      </c>
      <c r="Y13" t="s">
        <v>37</v>
      </c>
      <c r="Z13">
        <v>32</v>
      </c>
      <c r="AA13" t="s">
        <v>50</v>
      </c>
      <c r="AC13" t="s">
        <v>39</v>
      </c>
    </row>
    <row r="14" spans="1:29" x14ac:dyDescent="0.35">
      <c r="A14" t="s">
        <v>75</v>
      </c>
      <c r="B14" t="s">
        <v>29</v>
      </c>
      <c r="C14" s="1">
        <v>44722</v>
      </c>
      <c r="D14" s="2">
        <v>0.36527777777777781</v>
      </c>
      <c r="E14" s="2">
        <v>2.3148148148148151E-3</v>
      </c>
      <c r="K14" t="s">
        <v>30</v>
      </c>
      <c r="L14" t="s">
        <v>31</v>
      </c>
      <c r="M14" t="s">
        <v>49</v>
      </c>
      <c r="N14">
        <v>20</v>
      </c>
      <c r="O14" t="s">
        <v>76</v>
      </c>
      <c r="P14" t="s">
        <v>44</v>
      </c>
      <c r="Q14">
        <v>1</v>
      </c>
      <c r="R14">
        <v>10</v>
      </c>
      <c r="S14">
        <v>9</v>
      </c>
      <c r="T14">
        <v>9</v>
      </c>
      <c r="U14">
        <v>5</v>
      </c>
      <c r="V14">
        <v>10</v>
      </c>
      <c r="W14" t="s">
        <v>66</v>
      </c>
      <c r="X14" t="s">
        <v>60</v>
      </c>
      <c r="Y14" t="s">
        <v>37</v>
      </c>
      <c r="Z14">
        <v>34</v>
      </c>
      <c r="AA14" t="s">
        <v>50</v>
      </c>
      <c r="AC14" t="s">
        <v>50</v>
      </c>
    </row>
    <row r="15" spans="1:29" x14ac:dyDescent="0.35">
      <c r="A15" t="s">
        <v>77</v>
      </c>
      <c r="B15" t="s">
        <v>29</v>
      </c>
      <c r="C15" s="1">
        <v>44722</v>
      </c>
      <c r="D15" s="2">
        <v>0.36527777777777781</v>
      </c>
      <c r="E15" s="2">
        <v>6.3657407407407402E-4</v>
      </c>
      <c r="K15" t="s">
        <v>63</v>
      </c>
      <c r="L15" t="s">
        <v>31</v>
      </c>
      <c r="M15" t="s">
        <v>49</v>
      </c>
      <c r="N15">
        <v>20</v>
      </c>
      <c r="O15" t="s">
        <v>78</v>
      </c>
      <c r="P15" t="s">
        <v>34</v>
      </c>
      <c r="Q15">
        <v>3</v>
      </c>
      <c r="R15">
        <v>10</v>
      </c>
      <c r="S15">
        <v>10</v>
      </c>
      <c r="T15">
        <v>6</v>
      </c>
      <c r="U15">
        <v>7</v>
      </c>
      <c r="V15">
        <v>8</v>
      </c>
      <c r="W15" t="s">
        <v>51</v>
      </c>
      <c r="X15" t="s">
        <v>52</v>
      </c>
      <c r="Y15" t="s">
        <v>37</v>
      </c>
      <c r="Z15">
        <v>30</v>
      </c>
      <c r="AA15" t="s">
        <v>79</v>
      </c>
      <c r="AC15" t="s">
        <v>39</v>
      </c>
    </row>
    <row r="16" spans="1:29" x14ac:dyDescent="0.35">
      <c r="A16" t="s">
        <v>80</v>
      </c>
      <c r="B16" t="s">
        <v>29</v>
      </c>
      <c r="C16" s="1">
        <v>44722</v>
      </c>
      <c r="D16" s="2">
        <v>0.3659722222222222</v>
      </c>
      <c r="E16" s="2">
        <v>9.7222222222222209E-4</v>
      </c>
      <c r="K16" t="s">
        <v>30</v>
      </c>
      <c r="L16" t="s">
        <v>41</v>
      </c>
      <c r="M16" t="s">
        <v>42</v>
      </c>
      <c r="N16">
        <v>53</v>
      </c>
      <c r="O16" t="s">
        <v>81</v>
      </c>
      <c r="P16" t="s">
        <v>44</v>
      </c>
      <c r="Q16">
        <v>4</v>
      </c>
      <c r="R16">
        <v>5</v>
      </c>
      <c r="S16">
        <v>5</v>
      </c>
      <c r="T16">
        <v>5</v>
      </c>
      <c r="U16">
        <v>4</v>
      </c>
      <c r="V16">
        <v>5</v>
      </c>
      <c r="W16" t="s">
        <v>66</v>
      </c>
      <c r="X16" t="s">
        <v>82</v>
      </c>
      <c r="Y16" t="s">
        <v>37</v>
      </c>
      <c r="Z16">
        <v>31</v>
      </c>
      <c r="AA16" t="s">
        <v>38</v>
      </c>
      <c r="AC16" t="s">
        <v>39</v>
      </c>
    </row>
    <row r="17" spans="1:29" x14ac:dyDescent="0.35">
      <c r="A17" t="s">
        <v>83</v>
      </c>
      <c r="B17" t="s">
        <v>29</v>
      </c>
      <c r="C17" s="1">
        <v>44722</v>
      </c>
      <c r="D17" s="2">
        <v>0.3659722222222222</v>
      </c>
      <c r="E17" s="2">
        <v>5.4398148148148144E-4</v>
      </c>
      <c r="K17" t="s">
        <v>30</v>
      </c>
      <c r="L17" t="s">
        <v>31</v>
      </c>
      <c r="M17" t="s">
        <v>42</v>
      </c>
      <c r="N17">
        <v>53</v>
      </c>
      <c r="O17" t="s">
        <v>43</v>
      </c>
      <c r="P17" t="s">
        <v>34</v>
      </c>
      <c r="Q17">
        <v>4</v>
      </c>
      <c r="R17">
        <v>10</v>
      </c>
      <c r="S17">
        <v>7</v>
      </c>
      <c r="T17">
        <v>7</v>
      </c>
      <c r="U17">
        <v>7</v>
      </c>
      <c r="V17">
        <v>5</v>
      </c>
      <c r="W17" t="s">
        <v>59</v>
      </c>
      <c r="X17" t="s">
        <v>82</v>
      </c>
      <c r="Y17" t="s">
        <v>37</v>
      </c>
      <c r="Z17">
        <v>29</v>
      </c>
      <c r="AA17" t="s">
        <v>38</v>
      </c>
      <c r="AC17" t="s">
        <v>39</v>
      </c>
    </row>
    <row r="18" spans="1:29" x14ac:dyDescent="0.35">
      <c r="A18" t="s">
        <v>84</v>
      </c>
      <c r="B18" t="s">
        <v>29</v>
      </c>
      <c r="C18" s="1">
        <v>44722</v>
      </c>
      <c r="D18" s="2">
        <v>0.3666666666666667</v>
      </c>
      <c r="E18" s="2">
        <v>7.6388888888888893E-4</v>
      </c>
      <c r="K18" t="s">
        <v>30</v>
      </c>
      <c r="L18" t="s">
        <v>31</v>
      </c>
      <c r="M18" t="s">
        <v>49</v>
      </c>
      <c r="N18">
        <v>20</v>
      </c>
      <c r="O18" t="s">
        <v>76</v>
      </c>
      <c r="P18" t="s">
        <v>34</v>
      </c>
      <c r="Q18">
        <v>1</v>
      </c>
      <c r="R18">
        <v>2</v>
      </c>
      <c r="S18">
        <v>4</v>
      </c>
      <c r="T18">
        <v>2</v>
      </c>
      <c r="U18">
        <v>2</v>
      </c>
      <c r="V18">
        <v>2</v>
      </c>
      <c r="W18" t="s">
        <v>66</v>
      </c>
      <c r="X18" t="s">
        <v>60</v>
      </c>
      <c r="Y18" t="s">
        <v>37</v>
      </c>
      <c r="Z18">
        <v>22</v>
      </c>
      <c r="AA18" t="s">
        <v>50</v>
      </c>
      <c r="AC18" t="s">
        <v>53</v>
      </c>
    </row>
    <row r="19" spans="1:29" x14ac:dyDescent="0.35">
      <c r="A19" t="s">
        <v>85</v>
      </c>
      <c r="B19" t="s">
        <v>29</v>
      </c>
      <c r="C19" s="1">
        <v>44722</v>
      </c>
      <c r="D19" s="2">
        <v>0.3666666666666667</v>
      </c>
      <c r="E19" s="2">
        <v>7.407407407407407E-4</v>
      </c>
      <c r="K19" t="s">
        <v>86</v>
      </c>
      <c r="L19" t="s">
        <v>31</v>
      </c>
      <c r="M19" t="s">
        <v>49</v>
      </c>
      <c r="N19">
        <v>20</v>
      </c>
      <c r="O19" t="s">
        <v>50</v>
      </c>
      <c r="P19" t="s">
        <v>34</v>
      </c>
      <c r="Q19">
        <v>1</v>
      </c>
      <c r="R19">
        <v>3</v>
      </c>
      <c r="S19">
        <v>2</v>
      </c>
      <c r="T19">
        <v>2</v>
      </c>
      <c r="U19">
        <v>4</v>
      </c>
      <c r="V19">
        <v>1</v>
      </c>
      <c r="W19" t="s">
        <v>59</v>
      </c>
      <c r="X19" t="s">
        <v>60</v>
      </c>
      <c r="Y19" t="s">
        <v>37</v>
      </c>
      <c r="Z19">
        <v>23</v>
      </c>
      <c r="AA19" t="s">
        <v>38</v>
      </c>
      <c r="AC19" t="s">
        <v>53</v>
      </c>
    </row>
    <row r="20" spans="1:29" x14ac:dyDescent="0.35">
      <c r="A20" t="s">
        <v>87</v>
      </c>
      <c r="B20" t="s">
        <v>29</v>
      </c>
      <c r="C20" s="1">
        <v>44722</v>
      </c>
      <c r="D20" s="2">
        <v>0.36736111111111108</v>
      </c>
      <c r="E20" s="2">
        <v>7.5231481481481471E-4</v>
      </c>
      <c r="K20" t="s">
        <v>86</v>
      </c>
      <c r="L20" t="s">
        <v>41</v>
      </c>
      <c r="M20" t="s">
        <v>42</v>
      </c>
      <c r="N20">
        <v>53</v>
      </c>
      <c r="O20" t="s">
        <v>76</v>
      </c>
      <c r="P20" t="s">
        <v>44</v>
      </c>
      <c r="Q20">
        <v>7</v>
      </c>
      <c r="R20">
        <v>8</v>
      </c>
      <c r="S20">
        <v>8</v>
      </c>
      <c r="T20">
        <v>6</v>
      </c>
      <c r="U20">
        <v>8</v>
      </c>
      <c r="V20">
        <v>3</v>
      </c>
      <c r="W20" t="s">
        <v>35</v>
      </c>
      <c r="X20" t="s">
        <v>60</v>
      </c>
      <c r="Y20" t="s">
        <v>57</v>
      </c>
      <c r="Z20">
        <v>26</v>
      </c>
      <c r="AA20" t="s">
        <v>45</v>
      </c>
      <c r="AC20" t="s">
        <v>46</v>
      </c>
    </row>
    <row r="21" spans="1:29" x14ac:dyDescent="0.35">
      <c r="A21" t="s">
        <v>88</v>
      </c>
      <c r="B21" t="s">
        <v>29</v>
      </c>
      <c r="C21" s="1">
        <v>44722</v>
      </c>
      <c r="D21" s="2">
        <v>0.36736111111111108</v>
      </c>
      <c r="E21" s="2">
        <v>9.3750000000000007E-4</v>
      </c>
      <c r="K21" t="s">
        <v>30</v>
      </c>
      <c r="L21" t="s">
        <v>41</v>
      </c>
      <c r="M21" t="s">
        <v>49</v>
      </c>
      <c r="N21">
        <v>20</v>
      </c>
      <c r="O21" t="s">
        <v>50</v>
      </c>
      <c r="P21" t="s">
        <v>34</v>
      </c>
      <c r="Q21">
        <v>1</v>
      </c>
      <c r="R21">
        <v>1</v>
      </c>
      <c r="S21">
        <v>1</v>
      </c>
      <c r="T21">
        <v>1</v>
      </c>
      <c r="U21">
        <v>2</v>
      </c>
      <c r="V21">
        <v>0</v>
      </c>
      <c r="W21" t="s">
        <v>35</v>
      </c>
      <c r="X21" t="s">
        <v>60</v>
      </c>
      <c r="Y21" t="s">
        <v>37</v>
      </c>
      <c r="Z21">
        <v>28</v>
      </c>
      <c r="AA21" t="s">
        <v>50</v>
      </c>
      <c r="AC21" t="s">
        <v>53</v>
      </c>
    </row>
    <row r="22" spans="1:29" x14ac:dyDescent="0.35">
      <c r="A22" t="s">
        <v>89</v>
      </c>
      <c r="B22" t="s">
        <v>29</v>
      </c>
      <c r="C22" s="1">
        <v>44722</v>
      </c>
      <c r="D22" s="2">
        <v>0.36736111111111108</v>
      </c>
      <c r="E22" s="2">
        <v>9.6064814814814808E-4</v>
      </c>
      <c r="K22" t="s">
        <v>30</v>
      </c>
      <c r="L22" t="s">
        <v>31</v>
      </c>
      <c r="M22" t="s">
        <v>42</v>
      </c>
      <c r="N22">
        <v>53</v>
      </c>
      <c r="O22" t="s">
        <v>43</v>
      </c>
      <c r="P22" t="s">
        <v>34</v>
      </c>
      <c r="Q22">
        <v>5</v>
      </c>
      <c r="R22">
        <v>5</v>
      </c>
      <c r="S22">
        <v>5</v>
      </c>
      <c r="T22">
        <v>5</v>
      </c>
      <c r="U22">
        <v>5</v>
      </c>
      <c r="V22">
        <v>5</v>
      </c>
      <c r="W22" t="s">
        <v>51</v>
      </c>
      <c r="X22" t="s">
        <v>36</v>
      </c>
      <c r="Y22" t="s">
        <v>37</v>
      </c>
      <c r="Z22">
        <v>29</v>
      </c>
      <c r="AA22" t="s">
        <v>50</v>
      </c>
      <c r="AC22" t="s">
        <v>53</v>
      </c>
    </row>
    <row r="23" spans="1:29" x14ac:dyDescent="0.35">
      <c r="A23" t="s">
        <v>90</v>
      </c>
      <c r="B23" t="s">
        <v>29</v>
      </c>
      <c r="C23" s="1">
        <v>44722</v>
      </c>
      <c r="D23" s="2">
        <v>0.36805555555555558</v>
      </c>
      <c r="E23" s="2">
        <v>1.0995370370370371E-3</v>
      </c>
      <c r="K23" t="s">
        <v>30</v>
      </c>
      <c r="L23" t="s">
        <v>31</v>
      </c>
      <c r="M23" t="s">
        <v>32</v>
      </c>
      <c r="N23">
        <v>116</v>
      </c>
      <c r="O23" t="s">
        <v>76</v>
      </c>
      <c r="P23" t="s">
        <v>50</v>
      </c>
      <c r="Q23">
        <v>10</v>
      </c>
      <c r="R23">
        <v>5</v>
      </c>
      <c r="S23">
        <v>10</v>
      </c>
      <c r="T23">
        <v>6</v>
      </c>
      <c r="U23">
        <v>10</v>
      </c>
      <c r="V23">
        <v>10</v>
      </c>
      <c r="W23" t="s">
        <v>66</v>
      </c>
      <c r="X23" t="s">
        <v>36</v>
      </c>
      <c r="Y23" t="s">
        <v>57</v>
      </c>
      <c r="Z23">
        <v>31</v>
      </c>
      <c r="AA23" t="s">
        <v>38</v>
      </c>
      <c r="AC23" t="s">
        <v>39</v>
      </c>
    </row>
    <row r="24" spans="1:29" x14ac:dyDescent="0.35">
      <c r="A24" t="s">
        <v>91</v>
      </c>
      <c r="B24" t="s">
        <v>29</v>
      </c>
      <c r="C24" s="1">
        <v>44722</v>
      </c>
      <c r="D24" s="2">
        <v>0.36874999999999997</v>
      </c>
      <c r="E24" s="2">
        <v>9.8379629629629642E-4</v>
      </c>
      <c r="K24" t="s">
        <v>30</v>
      </c>
      <c r="L24" t="s">
        <v>31</v>
      </c>
      <c r="M24" t="s">
        <v>49</v>
      </c>
      <c r="N24">
        <v>20</v>
      </c>
      <c r="O24" t="s">
        <v>33</v>
      </c>
      <c r="P24" t="s">
        <v>34</v>
      </c>
      <c r="Q24">
        <v>5</v>
      </c>
      <c r="R24">
        <v>6</v>
      </c>
      <c r="S24">
        <v>8</v>
      </c>
      <c r="T24">
        <v>8</v>
      </c>
      <c r="U24">
        <v>7</v>
      </c>
      <c r="V24">
        <v>1</v>
      </c>
      <c r="W24" t="s">
        <v>66</v>
      </c>
      <c r="X24" t="s">
        <v>36</v>
      </c>
      <c r="Y24" t="s">
        <v>37</v>
      </c>
      <c r="Z24">
        <v>28</v>
      </c>
      <c r="AA24" t="s">
        <v>50</v>
      </c>
      <c r="AC24" t="s">
        <v>39</v>
      </c>
    </row>
    <row r="25" spans="1:29" x14ac:dyDescent="0.35">
      <c r="A25" t="s">
        <v>92</v>
      </c>
      <c r="B25" t="s">
        <v>29</v>
      </c>
      <c r="C25" s="1">
        <v>44722</v>
      </c>
      <c r="D25" s="2">
        <v>0.36874999999999997</v>
      </c>
      <c r="E25" s="2">
        <v>1.2384259259259258E-3</v>
      </c>
      <c r="K25" t="s">
        <v>30</v>
      </c>
      <c r="L25" t="s">
        <v>41</v>
      </c>
      <c r="M25" t="s">
        <v>49</v>
      </c>
      <c r="N25">
        <v>20</v>
      </c>
      <c r="O25" t="s">
        <v>43</v>
      </c>
      <c r="P25" t="s">
        <v>34</v>
      </c>
      <c r="Q25">
        <v>4</v>
      </c>
      <c r="R25">
        <v>4</v>
      </c>
      <c r="S25">
        <v>4</v>
      </c>
      <c r="T25">
        <v>4</v>
      </c>
      <c r="U25">
        <v>4</v>
      </c>
      <c r="V25">
        <v>4</v>
      </c>
      <c r="W25" t="s">
        <v>66</v>
      </c>
      <c r="X25" t="s">
        <v>60</v>
      </c>
      <c r="Y25" t="s">
        <v>37</v>
      </c>
      <c r="Z25">
        <v>32</v>
      </c>
      <c r="AA25" t="s">
        <v>50</v>
      </c>
      <c r="AC25" t="s">
        <v>71</v>
      </c>
    </row>
    <row r="26" spans="1:29" x14ac:dyDescent="0.35">
      <c r="A26" t="s">
        <v>93</v>
      </c>
      <c r="B26" t="s">
        <v>29</v>
      </c>
      <c r="C26" s="1">
        <v>44722</v>
      </c>
      <c r="D26" s="2">
        <v>0.36874999999999997</v>
      </c>
      <c r="E26" s="2">
        <v>1.5509259259259261E-3</v>
      </c>
      <c r="K26" t="s">
        <v>30</v>
      </c>
      <c r="L26" t="s">
        <v>41</v>
      </c>
      <c r="M26" t="s">
        <v>49</v>
      </c>
      <c r="N26">
        <v>20</v>
      </c>
      <c r="O26" t="s">
        <v>76</v>
      </c>
      <c r="P26" t="s">
        <v>34</v>
      </c>
      <c r="Q26">
        <v>7</v>
      </c>
      <c r="R26">
        <v>8</v>
      </c>
      <c r="S26">
        <v>8</v>
      </c>
      <c r="T26">
        <v>8</v>
      </c>
      <c r="U26">
        <v>3</v>
      </c>
      <c r="V26">
        <v>8</v>
      </c>
      <c r="W26" t="s">
        <v>51</v>
      </c>
      <c r="X26" t="s">
        <v>60</v>
      </c>
      <c r="Y26" t="s">
        <v>37</v>
      </c>
      <c r="Z26">
        <v>24</v>
      </c>
      <c r="AA26" t="s">
        <v>50</v>
      </c>
      <c r="AC26" t="s">
        <v>53</v>
      </c>
    </row>
    <row r="27" spans="1:29" x14ac:dyDescent="0.35">
      <c r="A27" t="s">
        <v>94</v>
      </c>
      <c r="B27" t="s">
        <v>29</v>
      </c>
      <c r="C27" s="1">
        <v>44722</v>
      </c>
      <c r="D27" s="2">
        <v>0.36874999999999997</v>
      </c>
      <c r="E27" s="2">
        <v>1.6319444444444445E-3</v>
      </c>
      <c r="K27" t="s">
        <v>30</v>
      </c>
      <c r="L27" t="s">
        <v>41</v>
      </c>
      <c r="M27" t="s">
        <v>49</v>
      </c>
      <c r="N27">
        <v>20</v>
      </c>
      <c r="O27" t="s">
        <v>76</v>
      </c>
      <c r="P27" t="s">
        <v>34</v>
      </c>
      <c r="Q27">
        <v>4</v>
      </c>
      <c r="R27">
        <v>6</v>
      </c>
      <c r="S27">
        <v>6</v>
      </c>
      <c r="T27">
        <v>6</v>
      </c>
      <c r="U27">
        <v>7</v>
      </c>
      <c r="V27">
        <v>7</v>
      </c>
      <c r="W27" t="s">
        <v>51</v>
      </c>
      <c r="X27" t="s">
        <v>52</v>
      </c>
      <c r="Y27" t="s">
        <v>37</v>
      </c>
      <c r="Z27">
        <v>31</v>
      </c>
      <c r="AA27" t="s">
        <v>95</v>
      </c>
      <c r="AC27" t="s">
        <v>46</v>
      </c>
    </row>
    <row r="28" spans="1:29" x14ac:dyDescent="0.35">
      <c r="A28" t="s">
        <v>96</v>
      </c>
      <c r="B28" t="s">
        <v>29</v>
      </c>
      <c r="C28" s="1">
        <v>44722</v>
      </c>
      <c r="D28" s="2">
        <v>0.36944444444444446</v>
      </c>
      <c r="E28" s="2">
        <v>1.4699074074074074E-3</v>
      </c>
      <c r="K28" t="s">
        <v>30</v>
      </c>
      <c r="L28" t="s">
        <v>41</v>
      </c>
      <c r="M28" t="s">
        <v>73</v>
      </c>
      <c r="N28">
        <v>76</v>
      </c>
      <c r="O28" t="s">
        <v>50</v>
      </c>
      <c r="P28" t="s">
        <v>50</v>
      </c>
      <c r="Q28">
        <v>7</v>
      </c>
      <c r="R28">
        <v>10</v>
      </c>
      <c r="S28">
        <v>5</v>
      </c>
      <c r="T28">
        <v>5</v>
      </c>
      <c r="U28">
        <v>5</v>
      </c>
      <c r="V28">
        <v>2</v>
      </c>
      <c r="W28" t="s">
        <v>59</v>
      </c>
      <c r="X28" t="s">
        <v>50</v>
      </c>
      <c r="Y28" t="s">
        <v>37</v>
      </c>
      <c r="Z28">
        <v>23</v>
      </c>
      <c r="AA28" t="s">
        <v>38</v>
      </c>
      <c r="AC28" t="s">
        <v>39</v>
      </c>
    </row>
    <row r="29" spans="1:29" x14ac:dyDescent="0.35">
      <c r="A29" t="s">
        <v>97</v>
      </c>
      <c r="B29" t="s">
        <v>29</v>
      </c>
      <c r="C29" s="1">
        <v>44722</v>
      </c>
      <c r="D29" s="2">
        <v>0.36944444444444446</v>
      </c>
      <c r="E29" s="2">
        <v>9.2592592592592585E-4</v>
      </c>
      <c r="K29" t="s">
        <v>30</v>
      </c>
      <c r="L29" t="s">
        <v>31</v>
      </c>
      <c r="M29" t="s">
        <v>32</v>
      </c>
      <c r="N29">
        <v>116</v>
      </c>
      <c r="O29" t="s">
        <v>50</v>
      </c>
      <c r="P29" t="s">
        <v>34</v>
      </c>
      <c r="Q29">
        <v>1</v>
      </c>
      <c r="R29">
        <v>6</v>
      </c>
      <c r="S29">
        <v>9</v>
      </c>
      <c r="T29">
        <v>1</v>
      </c>
      <c r="U29">
        <v>0</v>
      </c>
      <c r="V29">
        <v>2</v>
      </c>
      <c r="W29" t="s">
        <v>59</v>
      </c>
      <c r="X29" t="s">
        <v>36</v>
      </c>
      <c r="Y29" t="s">
        <v>57</v>
      </c>
      <c r="Z29">
        <v>33</v>
      </c>
      <c r="AA29" t="s">
        <v>38</v>
      </c>
      <c r="AC29" t="s">
        <v>46</v>
      </c>
    </row>
    <row r="30" spans="1:29" x14ac:dyDescent="0.35">
      <c r="A30" t="s">
        <v>98</v>
      </c>
      <c r="B30" t="s">
        <v>29</v>
      </c>
      <c r="C30" s="1">
        <v>44722</v>
      </c>
      <c r="D30" s="2">
        <v>0.36944444444444446</v>
      </c>
      <c r="E30" s="2">
        <v>1.0879629629629629E-3</v>
      </c>
      <c r="K30" t="s">
        <v>30</v>
      </c>
      <c r="L30" t="s">
        <v>41</v>
      </c>
      <c r="M30" t="s">
        <v>68</v>
      </c>
      <c r="N30">
        <v>96</v>
      </c>
      <c r="O30" t="s">
        <v>33</v>
      </c>
      <c r="P30" t="s">
        <v>50</v>
      </c>
      <c r="Q30">
        <v>6</v>
      </c>
      <c r="R30">
        <v>7</v>
      </c>
      <c r="S30">
        <v>7</v>
      </c>
      <c r="T30">
        <v>7</v>
      </c>
      <c r="U30">
        <v>7</v>
      </c>
      <c r="V30">
        <v>4</v>
      </c>
      <c r="W30" t="s">
        <v>56</v>
      </c>
      <c r="X30" t="s">
        <v>60</v>
      </c>
      <c r="Y30" t="s">
        <v>37</v>
      </c>
      <c r="Z30">
        <v>43</v>
      </c>
      <c r="AA30" t="s">
        <v>38</v>
      </c>
      <c r="AC30" t="s">
        <v>39</v>
      </c>
    </row>
    <row r="31" spans="1:29" x14ac:dyDescent="0.35">
      <c r="A31" t="s">
        <v>99</v>
      </c>
      <c r="B31" t="s">
        <v>29</v>
      </c>
      <c r="C31" s="1">
        <v>44722</v>
      </c>
      <c r="D31" s="2">
        <v>0.36944444444444446</v>
      </c>
      <c r="E31" s="2">
        <v>1.0879629629629629E-3</v>
      </c>
      <c r="K31" t="s">
        <v>86</v>
      </c>
      <c r="L31" t="s">
        <v>31</v>
      </c>
      <c r="M31" t="s">
        <v>49</v>
      </c>
      <c r="N31">
        <v>20</v>
      </c>
      <c r="O31" t="s">
        <v>50</v>
      </c>
      <c r="P31" t="s">
        <v>44</v>
      </c>
      <c r="Q31">
        <v>0</v>
      </c>
      <c r="R31">
        <v>0</v>
      </c>
      <c r="S31">
        <v>5</v>
      </c>
      <c r="T31">
        <v>0</v>
      </c>
      <c r="U31">
        <v>0</v>
      </c>
      <c r="V31">
        <v>0</v>
      </c>
      <c r="W31" t="s">
        <v>35</v>
      </c>
      <c r="X31" t="s">
        <v>36</v>
      </c>
      <c r="Y31" t="s">
        <v>57</v>
      </c>
      <c r="Z31">
        <v>23</v>
      </c>
      <c r="AA31" t="s">
        <v>50</v>
      </c>
      <c r="AC31" t="s">
        <v>50</v>
      </c>
    </row>
    <row r="32" spans="1:29" x14ac:dyDescent="0.35">
      <c r="A32" t="s">
        <v>100</v>
      </c>
      <c r="B32" t="s">
        <v>29</v>
      </c>
      <c r="C32" s="1">
        <v>44722</v>
      </c>
      <c r="D32" s="2">
        <v>0.36944444444444446</v>
      </c>
      <c r="E32" s="2">
        <v>1.2384259259259258E-3</v>
      </c>
      <c r="K32" t="s">
        <v>86</v>
      </c>
      <c r="L32" t="s">
        <v>31</v>
      </c>
      <c r="M32" t="s">
        <v>42</v>
      </c>
      <c r="N32">
        <v>53</v>
      </c>
      <c r="O32" t="s">
        <v>43</v>
      </c>
      <c r="P32" t="s">
        <v>34</v>
      </c>
      <c r="Q32">
        <v>10</v>
      </c>
      <c r="R32">
        <v>7</v>
      </c>
      <c r="S32">
        <v>10</v>
      </c>
      <c r="T32">
        <v>10</v>
      </c>
      <c r="U32">
        <v>5</v>
      </c>
      <c r="V32">
        <v>3</v>
      </c>
      <c r="W32" t="s">
        <v>35</v>
      </c>
      <c r="X32" t="s">
        <v>52</v>
      </c>
      <c r="Y32" t="s">
        <v>37</v>
      </c>
      <c r="Z32">
        <v>31</v>
      </c>
      <c r="AA32" t="s">
        <v>38</v>
      </c>
      <c r="AC32" t="s">
        <v>53</v>
      </c>
    </row>
    <row r="33" spans="1:29" x14ac:dyDescent="0.35">
      <c r="A33" t="s">
        <v>101</v>
      </c>
      <c r="B33" t="s">
        <v>29</v>
      </c>
      <c r="C33" s="1">
        <v>44722</v>
      </c>
      <c r="D33" s="2">
        <v>0.37013888888888885</v>
      </c>
      <c r="E33" s="2">
        <v>1.1342592592592591E-3</v>
      </c>
      <c r="K33" t="s">
        <v>30</v>
      </c>
      <c r="L33" t="s">
        <v>31</v>
      </c>
      <c r="M33" t="s">
        <v>73</v>
      </c>
      <c r="N33">
        <v>76</v>
      </c>
      <c r="O33" t="s">
        <v>43</v>
      </c>
      <c r="P33" t="s">
        <v>34</v>
      </c>
      <c r="Q33">
        <v>5</v>
      </c>
      <c r="R33">
        <v>6</v>
      </c>
      <c r="S33">
        <v>7</v>
      </c>
      <c r="T33">
        <v>5</v>
      </c>
      <c r="U33">
        <v>4</v>
      </c>
      <c r="V33">
        <v>4</v>
      </c>
      <c r="W33" t="s">
        <v>66</v>
      </c>
      <c r="X33" t="s">
        <v>50</v>
      </c>
      <c r="Y33" t="s">
        <v>37</v>
      </c>
      <c r="Z33">
        <v>31</v>
      </c>
      <c r="AA33" t="s">
        <v>79</v>
      </c>
      <c r="AC33" t="s">
        <v>39</v>
      </c>
    </row>
    <row r="34" spans="1:29" x14ac:dyDescent="0.35">
      <c r="A34" t="s">
        <v>102</v>
      </c>
      <c r="B34" t="s">
        <v>29</v>
      </c>
      <c r="C34" s="1">
        <v>44722</v>
      </c>
      <c r="D34" s="2">
        <v>0.37013888888888885</v>
      </c>
      <c r="E34" s="2">
        <v>2.4305555555555556E-3</v>
      </c>
      <c r="K34" t="s">
        <v>30</v>
      </c>
      <c r="L34" t="s">
        <v>31</v>
      </c>
      <c r="M34" t="s">
        <v>49</v>
      </c>
      <c r="N34">
        <v>20</v>
      </c>
      <c r="O34" t="s">
        <v>50</v>
      </c>
      <c r="P34" t="s">
        <v>34</v>
      </c>
      <c r="Q34">
        <v>8</v>
      </c>
      <c r="R34">
        <v>7</v>
      </c>
      <c r="S34">
        <v>8</v>
      </c>
      <c r="T34">
        <v>7</v>
      </c>
      <c r="U34">
        <v>7</v>
      </c>
      <c r="V34">
        <v>7</v>
      </c>
      <c r="W34" t="s">
        <v>59</v>
      </c>
      <c r="X34" t="s">
        <v>52</v>
      </c>
      <c r="Y34" t="s">
        <v>37</v>
      </c>
      <c r="Z34">
        <v>25</v>
      </c>
      <c r="AA34" t="s">
        <v>95</v>
      </c>
      <c r="AC34" t="s">
        <v>46</v>
      </c>
    </row>
    <row r="35" spans="1:29" x14ac:dyDescent="0.35">
      <c r="A35" t="s">
        <v>103</v>
      </c>
      <c r="B35" t="s">
        <v>29</v>
      </c>
      <c r="C35" s="1">
        <v>44722</v>
      </c>
      <c r="D35" s="2">
        <v>0.37083333333333335</v>
      </c>
      <c r="E35" s="2">
        <v>1.1226851851851851E-3</v>
      </c>
      <c r="K35" t="s">
        <v>48</v>
      </c>
      <c r="L35" t="s">
        <v>41</v>
      </c>
      <c r="M35" t="s">
        <v>65</v>
      </c>
      <c r="N35">
        <v>138</v>
      </c>
      <c r="O35" t="s">
        <v>76</v>
      </c>
      <c r="P35" t="s">
        <v>50</v>
      </c>
      <c r="Q35">
        <v>8</v>
      </c>
      <c r="R35">
        <v>10</v>
      </c>
      <c r="S35">
        <v>10</v>
      </c>
      <c r="T35">
        <v>9</v>
      </c>
      <c r="U35">
        <v>9</v>
      </c>
      <c r="V35">
        <v>9</v>
      </c>
      <c r="W35" t="s">
        <v>51</v>
      </c>
      <c r="X35" t="s">
        <v>60</v>
      </c>
      <c r="Y35" t="s">
        <v>37</v>
      </c>
      <c r="Z35">
        <v>43</v>
      </c>
      <c r="AA35" t="s">
        <v>38</v>
      </c>
      <c r="AC35" t="s">
        <v>39</v>
      </c>
    </row>
    <row r="36" spans="1:29" x14ac:dyDescent="0.35">
      <c r="A36" t="s">
        <v>104</v>
      </c>
      <c r="B36" t="s">
        <v>29</v>
      </c>
      <c r="C36" s="1">
        <v>44722</v>
      </c>
      <c r="D36" s="2">
        <v>0.37083333333333335</v>
      </c>
      <c r="E36" s="2">
        <v>1.4814814814814814E-3</v>
      </c>
      <c r="K36" t="s">
        <v>30</v>
      </c>
      <c r="L36" t="s">
        <v>41</v>
      </c>
      <c r="M36" t="s">
        <v>42</v>
      </c>
      <c r="N36">
        <v>53</v>
      </c>
      <c r="O36" t="s">
        <v>43</v>
      </c>
      <c r="P36" t="s">
        <v>34</v>
      </c>
      <c r="Q36">
        <v>2</v>
      </c>
      <c r="R36">
        <v>3</v>
      </c>
      <c r="S36">
        <v>5</v>
      </c>
      <c r="T36">
        <v>5</v>
      </c>
      <c r="U36">
        <v>5</v>
      </c>
      <c r="V36">
        <v>5</v>
      </c>
      <c r="W36" t="s">
        <v>59</v>
      </c>
      <c r="X36" t="s">
        <v>60</v>
      </c>
      <c r="Y36" t="s">
        <v>57</v>
      </c>
      <c r="Z36">
        <v>26</v>
      </c>
      <c r="AA36" t="s">
        <v>45</v>
      </c>
      <c r="AC36" t="s">
        <v>50</v>
      </c>
    </row>
    <row r="37" spans="1:29" x14ac:dyDescent="0.35">
      <c r="A37" t="s">
        <v>105</v>
      </c>
      <c r="B37" t="s">
        <v>29</v>
      </c>
      <c r="C37" s="1">
        <v>44722</v>
      </c>
      <c r="D37" s="2">
        <v>0.37083333333333335</v>
      </c>
      <c r="E37" s="2">
        <v>2.7083333333333334E-3</v>
      </c>
      <c r="K37" t="s">
        <v>50</v>
      </c>
      <c r="L37" t="s">
        <v>41</v>
      </c>
      <c r="M37" t="s">
        <v>42</v>
      </c>
      <c r="N37">
        <v>53</v>
      </c>
      <c r="O37" t="s">
        <v>50</v>
      </c>
      <c r="P37" t="s">
        <v>34</v>
      </c>
      <c r="Q37">
        <v>5</v>
      </c>
      <c r="R37">
        <v>10</v>
      </c>
      <c r="S37">
        <v>8</v>
      </c>
      <c r="T37">
        <v>8</v>
      </c>
      <c r="U37">
        <v>8</v>
      </c>
      <c r="V37">
        <v>7</v>
      </c>
      <c r="W37" t="s">
        <v>66</v>
      </c>
      <c r="X37" t="s">
        <v>36</v>
      </c>
      <c r="Y37" t="s">
        <v>37</v>
      </c>
      <c r="Z37">
        <v>32</v>
      </c>
      <c r="AA37" t="s">
        <v>50</v>
      </c>
      <c r="AC37" t="s">
        <v>39</v>
      </c>
    </row>
    <row r="38" spans="1:29" x14ac:dyDescent="0.35">
      <c r="A38" t="s">
        <v>106</v>
      </c>
      <c r="B38" t="s">
        <v>29</v>
      </c>
      <c r="C38" s="1">
        <v>44722</v>
      </c>
      <c r="D38" s="2">
        <v>0.37083333333333335</v>
      </c>
      <c r="E38" s="2">
        <v>1.712962962962963E-3</v>
      </c>
      <c r="K38" t="s">
        <v>50</v>
      </c>
      <c r="L38" t="s">
        <v>41</v>
      </c>
      <c r="M38" t="s">
        <v>49</v>
      </c>
      <c r="N38">
        <v>20</v>
      </c>
      <c r="O38" t="s">
        <v>76</v>
      </c>
      <c r="P38" t="s">
        <v>34</v>
      </c>
      <c r="Q38">
        <v>2</v>
      </c>
      <c r="R38">
        <v>9</v>
      </c>
      <c r="S38">
        <v>7</v>
      </c>
      <c r="T38">
        <v>7</v>
      </c>
      <c r="U38">
        <v>5</v>
      </c>
      <c r="V38">
        <v>6</v>
      </c>
      <c r="W38" t="s">
        <v>59</v>
      </c>
      <c r="X38" t="s">
        <v>60</v>
      </c>
      <c r="Y38" t="s">
        <v>37</v>
      </c>
      <c r="Z38">
        <v>31</v>
      </c>
      <c r="AA38" t="s">
        <v>50</v>
      </c>
      <c r="AC38" t="s">
        <v>39</v>
      </c>
    </row>
    <row r="39" spans="1:29" x14ac:dyDescent="0.35">
      <c r="A39" t="s">
        <v>107</v>
      </c>
      <c r="B39" t="s">
        <v>29</v>
      </c>
      <c r="C39" s="1">
        <v>44722</v>
      </c>
      <c r="D39" s="2">
        <v>0.37152777777777773</v>
      </c>
      <c r="E39" s="2">
        <v>1.0763888888888889E-3</v>
      </c>
      <c r="K39" t="s">
        <v>30</v>
      </c>
      <c r="L39" t="s">
        <v>31</v>
      </c>
      <c r="M39" t="s">
        <v>68</v>
      </c>
      <c r="N39">
        <v>96</v>
      </c>
      <c r="O39" t="s">
        <v>33</v>
      </c>
      <c r="P39" t="s">
        <v>50</v>
      </c>
      <c r="Q39">
        <v>3</v>
      </c>
      <c r="R39">
        <v>5</v>
      </c>
      <c r="S39">
        <v>6</v>
      </c>
      <c r="T39">
        <v>4</v>
      </c>
      <c r="U39">
        <v>4</v>
      </c>
      <c r="V39">
        <v>5</v>
      </c>
      <c r="W39" t="s">
        <v>66</v>
      </c>
      <c r="X39" t="s">
        <v>60</v>
      </c>
      <c r="Y39" t="s">
        <v>37</v>
      </c>
      <c r="Z39">
        <v>29</v>
      </c>
      <c r="AA39" t="s">
        <v>38</v>
      </c>
      <c r="AC39" t="s">
        <v>39</v>
      </c>
    </row>
    <row r="40" spans="1:29" x14ac:dyDescent="0.35">
      <c r="A40" t="s">
        <v>108</v>
      </c>
      <c r="B40" t="s">
        <v>29</v>
      </c>
      <c r="C40" s="1">
        <v>44722</v>
      </c>
      <c r="D40" s="2">
        <v>0.37152777777777773</v>
      </c>
      <c r="E40" s="2">
        <v>6.4814814814814813E-4</v>
      </c>
      <c r="K40" t="s">
        <v>30</v>
      </c>
      <c r="L40" t="s">
        <v>31</v>
      </c>
      <c r="M40" t="s">
        <v>49</v>
      </c>
      <c r="N40">
        <v>20</v>
      </c>
      <c r="O40" t="s">
        <v>50</v>
      </c>
      <c r="P40" t="s">
        <v>34</v>
      </c>
      <c r="Q40">
        <v>3</v>
      </c>
      <c r="R40">
        <v>1</v>
      </c>
      <c r="S40">
        <v>3</v>
      </c>
      <c r="T40">
        <v>2</v>
      </c>
      <c r="U40">
        <v>3</v>
      </c>
      <c r="V40">
        <v>1</v>
      </c>
      <c r="W40" t="s">
        <v>66</v>
      </c>
      <c r="X40" t="s">
        <v>82</v>
      </c>
      <c r="Y40" t="s">
        <v>37</v>
      </c>
      <c r="Z40">
        <v>24</v>
      </c>
      <c r="AA40" t="s">
        <v>50</v>
      </c>
      <c r="AC40" t="s">
        <v>71</v>
      </c>
    </row>
    <row r="41" spans="1:29" x14ac:dyDescent="0.35">
      <c r="A41" t="s">
        <v>109</v>
      </c>
      <c r="B41" t="s">
        <v>29</v>
      </c>
      <c r="C41" s="1">
        <v>44722</v>
      </c>
      <c r="D41" s="2">
        <v>0.37152777777777773</v>
      </c>
      <c r="E41" s="2">
        <v>1.8287037037037037E-3</v>
      </c>
      <c r="K41" t="s">
        <v>86</v>
      </c>
      <c r="L41" t="s">
        <v>31</v>
      </c>
      <c r="M41" t="s">
        <v>42</v>
      </c>
      <c r="N41">
        <v>53</v>
      </c>
      <c r="O41" t="s">
        <v>81</v>
      </c>
      <c r="P41" t="s">
        <v>34</v>
      </c>
      <c r="Q41">
        <v>2</v>
      </c>
      <c r="R41">
        <v>0</v>
      </c>
      <c r="S41">
        <v>2</v>
      </c>
      <c r="T41">
        <v>2</v>
      </c>
      <c r="U41">
        <v>0</v>
      </c>
      <c r="V41">
        <v>0</v>
      </c>
      <c r="W41" t="s">
        <v>35</v>
      </c>
      <c r="X41" t="s">
        <v>36</v>
      </c>
      <c r="Y41" t="s">
        <v>37</v>
      </c>
      <c r="Z41">
        <v>34</v>
      </c>
      <c r="AA41" t="s">
        <v>38</v>
      </c>
      <c r="AC41" t="s">
        <v>39</v>
      </c>
    </row>
    <row r="42" spans="1:29" x14ac:dyDescent="0.35">
      <c r="A42" t="s">
        <v>110</v>
      </c>
      <c r="B42" t="s">
        <v>29</v>
      </c>
      <c r="C42" s="1">
        <v>44722</v>
      </c>
      <c r="D42" s="2">
        <v>0.37291666666666662</v>
      </c>
      <c r="E42" s="2">
        <v>1.2962962962962963E-3</v>
      </c>
      <c r="K42" t="s">
        <v>30</v>
      </c>
      <c r="L42" t="s">
        <v>31</v>
      </c>
      <c r="M42" t="s">
        <v>42</v>
      </c>
      <c r="N42">
        <v>53</v>
      </c>
      <c r="O42" t="s">
        <v>50</v>
      </c>
      <c r="P42" t="s">
        <v>50</v>
      </c>
      <c r="Q42">
        <v>5</v>
      </c>
      <c r="R42">
        <v>6</v>
      </c>
      <c r="S42">
        <v>6</v>
      </c>
      <c r="T42">
        <v>5</v>
      </c>
      <c r="U42">
        <v>4</v>
      </c>
      <c r="V42">
        <v>6</v>
      </c>
      <c r="W42" t="s">
        <v>35</v>
      </c>
      <c r="X42" t="s">
        <v>60</v>
      </c>
      <c r="Y42" t="s">
        <v>37</v>
      </c>
      <c r="Z42">
        <v>42</v>
      </c>
      <c r="AA42" t="s">
        <v>50</v>
      </c>
      <c r="AC42" t="s">
        <v>50</v>
      </c>
    </row>
    <row r="43" spans="1:29" x14ac:dyDescent="0.35">
      <c r="A43" t="s">
        <v>111</v>
      </c>
      <c r="B43" t="s">
        <v>29</v>
      </c>
      <c r="C43" s="1">
        <v>44722</v>
      </c>
      <c r="D43" s="2">
        <v>0.37291666666666662</v>
      </c>
      <c r="E43" s="2">
        <v>1.423611111111111E-3</v>
      </c>
      <c r="K43" t="s">
        <v>86</v>
      </c>
      <c r="L43" t="s">
        <v>31</v>
      </c>
      <c r="M43" t="s">
        <v>49</v>
      </c>
      <c r="N43">
        <v>20</v>
      </c>
      <c r="O43" t="s">
        <v>50</v>
      </c>
      <c r="P43" t="s">
        <v>112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 t="s">
        <v>59</v>
      </c>
      <c r="X43" t="s">
        <v>36</v>
      </c>
      <c r="Y43" t="s">
        <v>57</v>
      </c>
      <c r="Z43">
        <v>40</v>
      </c>
      <c r="AA43" t="s">
        <v>38</v>
      </c>
      <c r="AC43" t="s">
        <v>46</v>
      </c>
    </row>
    <row r="44" spans="1:29" x14ac:dyDescent="0.35">
      <c r="A44" t="s">
        <v>113</v>
      </c>
      <c r="B44" t="s">
        <v>29</v>
      </c>
      <c r="C44" s="1">
        <v>44722</v>
      </c>
      <c r="D44" s="2">
        <v>0.37291666666666662</v>
      </c>
      <c r="E44" s="2">
        <v>1.7592592592592592E-3</v>
      </c>
      <c r="K44" t="s">
        <v>86</v>
      </c>
      <c r="L44" t="s">
        <v>41</v>
      </c>
      <c r="M44" t="s">
        <v>42</v>
      </c>
      <c r="N44">
        <v>53</v>
      </c>
      <c r="O44" t="s">
        <v>70</v>
      </c>
      <c r="P44" t="s">
        <v>34</v>
      </c>
      <c r="Q44">
        <v>3</v>
      </c>
      <c r="R44">
        <v>1</v>
      </c>
      <c r="S44">
        <v>3</v>
      </c>
      <c r="T44">
        <v>4</v>
      </c>
      <c r="U44">
        <v>0</v>
      </c>
      <c r="V44">
        <v>3</v>
      </c>
      <c r="W44" t="s">
        <v>51</v>
      </c>
      <c r="X44" t="s">
        <v>52</v>
      </c>
      <c r="Y44" t="s">
        <v>37</v>
      </c>
      <c r="Z44">
        <v>43</v>
      </c>
      <c r="AA44" t="s">
        <v>50</v>
      </c>
      <c r="AC44" t="s">
        <v>39</v>
      </c>
    </row>
    <row r="45" spans="1:29" x14ac:dyDescent="0.35">
      <c r="A45" t="s">
        <v>114</v>
      </c>
      <c r="B45" t="s">
        <v>29</v>
      </c>
      <c r="C45" s="1">
        <v>44722</v>
      </c>
      <c r="D45" s="2">
        <v>0.37361111111111112</v>
      </c>
      <c r="E45" s="2">
        <v>1.8402777777777777E-3</v>
      </c>
      <c r="K45" t="s">
        <v>86</v>
      </c>
      <c r="L45" t="s">
        <v>31</v>
      </c>
      <c r="M45" t="s">
        <v>49</v>
      </c>
      <c r="N45">
        <v>20</v>
      </c>
      <c r="O45" t="s">
        <v>81</v>
      </c>
      <c r="P45" t="s">
        <v>34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 t="s">
        <v>35</v>
      </c>
      <c r="X45" t="s">
        <v>60</v>
      </c>
      <c r="Y45" t="s">
        <v>37</v>
      </c>
      <c r="Z45">
        <v>23</v>
      </c>
      <c r="AA45" t="s">
        <v>50</v>
      </c>
      <c r="AC45" t="s">
        <v>50</v>
      </c>
    </row>
    <row r="46" spans="1:29" x14ac:dyDescent="0.35">
      <c r="A46" t="s">
        <v>115</v>
      </c>
      <c r="B46" t="s">
        <v>29</v>
      </c>
      <c r="C46" s="1">
        <v>44722</v>
      </c>
      <c r="D46" s="2">
        <v>0.3743055555555555</v>
      </c>
      <c r="E46" s="2">
        <v>8.2175925925925917E-4</v>
      </c>
      <c r="K46" t="s">
        <v>86</v>
      </c>
      <c r="L46" t="s">
        <v>31</v>
      </c>
      <c r="M46" t="s">
        <v>49</v>
      </c>
      <c r="N46">
        <v>20</v>
      </c>
      <c r="O46" t="s">
        <v>78</v>
      </c>
      <c r="P46" t="s">
        <v>34</v>
      </c>
      <c r="Q46">
        <v>5</v>
      </c>
      <c r="R46">
        <v>5</v>
      </c>
      <c r="S46">
        <v>3</v>
      </c>
      <c r="T46">
        <v>5</v>
      </c>
      <c r="U46">
        <v>2</v>
      </c>
      <c r="V46">
        <v>6</v>
      </c>
      <c r="W46" t="s">
        <v>59</v>
      </c>
      <c r="X46" t="s">
        <v>60</v>
      </c>
      <c r="Y46" t="s">
        <v>37</v>
      </c>
      <c r="Z46">
        <v>23</v>
      </c>
      <c r="AA46" t="s">
        <v>50</v>
      </c>
      <c r="AC46" t="s">
        <v>46</v>
      </c>
    </row>
    <row r="47" spans="1:29" x14ac:dyDescent="0.35">
      <c r="A47" t="s">
        <v>116</v>
      </c>
      <c r="B47" t="s">
        <v>29</v>
      </c>
      <c r="C47" s="1">
        <v>44722</v>
      </c>
      <c r="D47" s="2">
        <v>0.3743055555555555</v>
      </c>
      <c r="E47" s="2">
        <v>2.7199074074074074E-3</v>
      </c>
      <c r="K47" t="s">
        <v>30</v>
      </c>
      <c r="L47" t="s">
        <v>31</v>
      </c>
      <c r="M47" t="s">
        <v>68</v>
      </c>
      <c r="N47">
        <v>96</v>
      </c>
      <c r="O47" t="s">
        <v>50</v>
      </c>
      <c r="P47" t="s">
        <v>34</v>
      </c>
      <c r="Q47">
        <v>8</v>
      </c>
      <c r="R47">
        <v>6</v>
      </c>
      <c r="S47">
        <v>2</v>
      </c>
      <c r="T47">
        <v>3</v>
      </c>
      <c r="U47">
        <v>6</v>
      </c>
      <c r="V47">
        <v>7</v>
      </c>
      <c r="W47" t="s">
        <v>66</v>
      </c>
      <c r="X47" t="s">
        <v>50</v>
      </c>
      <c r="Y47" t="s">
        <v>37</v>
      </c>
      <c r="Z47">
        <v>28</v>
      </c>
      <c r="AA47" t="s">
        <v>38</v>
      </c>
      <c r="AC47" t="s">
        <v>39</v>
      </c>
    </row>
    <row r="48" spans="1:29" x14ac:dyDescent="0.35">
      <c r="A48" t="s">
        <v>117</v>
      </c>
      <c r="B48" t="s">
        <v>29</v>
      </c>
      <c r="C48" s="1">
        <v>44722</v>
      </c>
      <c r="D48" s="2">
        <v>0.375</v>
      </c>
      <c r="E48" s="2">
        <v>9.8379629629629642E-4</v>
      </c>
      <c r="K48" t="s">
        <v>30</v>
      </c>
      <c r="L48" t="s">
        <v>41</v>
      </c>
      <c r="M48" t="s">
        <v>73</v>
      </c>
      <c r="N48">
        <v>76</v>
      </c>
      <c r="O48" t="s">
        <v>43</v>
      </c>
      <c r="P48" t="s">
        <v>50</v>
      </c>
      <c r="Q48">
        <v>5</v>
      </c>
      <c r="R48">
        <v>7</v>
      </c>
      <c r="S48">
        <v>1</v>
      </c>
      <c r="T48">
        <v>1</v>
      </c>
      <c r="U48">
        <v>0</v>
      </c>
      <c r="V48">
        <v>8</v>
      </c>
      <c r="W48" t="s">
        <v>66</v>
      </c>
      <c r="X48" t="s">
        <v>60</v>
      </c>
      <c r="Y48" t="s">
        <v>37</v>
      </c>
      <c r="Z48">
        <v>32</v>
      </c>
      <c r="AA48" t="s">
        <v>38</v>
      </c>
      <c r="AC48" t="s">
        <v>39</v>
      </c>
    </row>
    <row r="49" spans="1:29" x14ac:dyDescent="0.35">
      <c r="A49" t="s">
        <v>118</v>
      </c>
      <c r="B49" t="s">
        <v>29</v>
      </c>
      <c r="C49" s="1">
        <v>44722</v>
      </c>
      <c r="D49" s="2">
        <v>0.37638888888888888</v>
      </c>
      <c r="E49" s="2">
        <v>1.9328703703703704E-3</v>
      </c>
      <c r="K49" t="s">
        <v>30</v>
      </c>
      <c r="L49" t="s">
        <v>31</v>
      </c>
      <c r="M49" t="s">
        <v>73</v>
      </c>
      <c r="N49">
        <v>76</v>
      </c>
      <c r="O49" t="s">
        <v>50</v>
      </c>
      <c r="P49" t="s">
        <v>44</v>
      </c>
      <c r="Q49">
        <v>7</v>
      </c>
      <c r="R49">
        <v>8</v>
      </c>
      <c r="S49">
        <v>10</v>
      </c>
      <c r="T49">
        <v>8</v>
      </c>
      <c r="U49">
        <v>9</v>
      </c>
      <c r="V49">
        <v>9</v>
      </c>
      <c r="W49" t="s">
        <v>59</v>
      </c>
      <c r="X49" t="s">
        <v>36</v>
      </c>
      <c r="Y49" t="s">
        <v>57</v>
      </c>
      <c r="Z49">
        <v>41</v>
      </c>
      <c r="AA49" t="s">
        <v>38</v>
      </c>
      <c r="AC49" t="s">
        <v>39</v>
      </c>
    </row>
    <row r="50" spans="1:29" x14ac:dyDescent="0.35">
      <c r="A50" t="s">
        <v>119</v>
      </c>
      <c r="B50" t="s">
        <v>29</v>
      </c>
      <c r="C50" s="1">
        <v>44722</v>
      </c>
      <c r="D50" s="2">
        <v>0.37638888888888888</v>
      </c>
      <c r="E50" s="2">
        <v>6.4814814814814813E-4</v>
      </c>
      <c r="K50" t="s">
        <v>30</v>
      </c>
      <c r="L50" t="s">
        <v>31</v>
      </c>
      <c r="M50" t="s">
        <v>42</v>
      </c>
      <c r="N50">
        <v>53</v>
      </c>
      <c r="O50" t="s">
        <v>43</v>
      </c>
      <c r="P50" t="s">
        <v>34</v>
      </c>
      <c r="Q50">
        <v>5</v>
      </c>
      <c r="R50">
        <v>6</v>
      </c>
      <c r="S50">
        <v>6</v>
      </c>
      <c r="T50">
        <v>6</v>
      </c>
      <c r="U50">
        <v>6</v>
      </c>
      <c r="V50">
        <v>6</v>
      </c>
      <c r="W50" t="s">
        <v>66</v>
      </c>
      <c r="X50" t="s">
        <v>36</v>
      </c>
      <c r="Y50" t="s">
        <v>37</v>
      </c>
      <c r="Z50">
        <v>33</v>
      </c>
      <c r="AA50" t="s">
        <v>79</v>
      </c>
      <c r="AB50" t="s">
        <v>120</v>
      </c>
      <c r="AC50" t="s">
        <v>39</v>
      </c>
    </row>
    <row r="51" spans="1:29" x14ac:dyDescent="0.35">
      <c r="A51" t="s">
        <v>121</v>
      </c>
      <c r="B51" t="s">
        <v>29</v>
      </c>
      <c r="C51" s="1">
        <v>44722</v>
      </c>
      <c r="D51" s="2">
        <v>0.37638888888888888</v>
      </c>
      <c r="E51" s="2">
        <v>1.3541666666666667E-3</v>
      </c>
      <c r="K51" t="s">
        <v>50</v>
      </c>
      <c r="L51" t="s">
        <v>31</v>
      </c>
      <c r="M51" t="s">
        <v>55</v>
      </c>
      <c r="N51">
        <v>188</v>
      </c>
      <c r="O51" t="s">
        <v>76</v>
      </c>
      <c r="P51" t="s">
        <v>34</v>
      </c>
      <c r="Q51">
        <v>10</v>
      </c>
      <c r="R51">
        <v>8</v>
      </c>
      <c r="S51">
        <v>9</v>
      </c>
      <c r="T51">
        <v>8</v>
      </c>
      <c r="U51">
        <v>8</v>
      </c>
      <c r="V51">
        <v>10</v>
      </c>
      <c r="W51" t="s">
        <v>51</v>
      </c>
      <c r="X51" t="s">
        <v>52</v>
      </c>
      <c r="Y51" t="s">
        <v>37</v>
      </c>
      <c r="Z51">
        <v>38</v>
      </c>
      <c r="AA51" t="s">
        <v>38</v>
      </c>
      <c r="AC51" t="s">
        <v>71</v>
      </c>
    </row>
    <row r="52" spans="1:29" x14ac:dyDescent="0.35">
      <c r="A52" t="s">
        <v>122</v>
      </c>
      <c r="B52" t="s">
        <v>29</v>
      </c>
      <c r="C52" s="1">
        <v>44722</v>
      </c>
      <c r="D52" s="2">
        <v>0.37638888888888888</v>
      </c>
      <c r="E52" s="2">
        <v>1.7592592592592592E-3</v>
      </c>
      <c r="K52" t="s">
        <v>30</v>
      </c>
      <c r="L52" t="s">
        <v>41</v>
      </c>
      <c r="M52" t="s">
        <v>49</v>
      </c>
      <c r="N52">
        <v>20</v>
      </c>
      <c r="O52" t="s">
        <v>76</v>
      </c>
      <c r="P52" t="s">
        <v>50</v>
      </c>
      <c r="Q52">
        <v>8</v>
      </c>
      <c r="R52">
        <v>8</v>
      </c>
      <c r="S52">
        <v>8</v>
      </c>
      <c r="T52">
        <v>8</v>
      </c>
      <c r="U52">
        <v>5</v>
      </c>
      <c r="V52">
        <v>10</v>
      </c>
      <c r="W52" t="s">
        <v>51</v>
      </c>
      <c r="X52" t="s">
        <v>60</v>
      </c>
      <c r="Y52" t="s">
        <v>57</v>
      </c>
      <c r="Z52">
        <v>22</v>
      </c>
      <c r="AA52" t="s">
        <v>95</v>
      </c>
      <c r="AC52" t="s">
        <v>50</v>
      </c>
    </row>
    <row r="53" spans="1:29" x14ac:dyDescent="0.35">
      <c r="A53" t="s">
        <v>123</v>
      </c>
      <c r="B53" t="s">
        <v>29</v>
      </c>
      <c r="C53" s="1">
        <v>44722</v>
      </c>
      <c r="D53" s="2">
        <v>0.37708333333333338</v>
      </c>
      <c r="E53" s="2">
        <v>1.3773148148148147E-3</v>
      </c>
      <c r="K53" t="s">
        <v>86</v>
      </c>
      <c r="L53" t="s">
        <v>31</v>
      </c>
      <c r="M53" t="s">
        <v>49</v>
      </c>
      <c r="N53">
        <v>20</v>
      </c>
      <c r="O53" t="s">
        <v>50</v>
      </c>
      <c r="P53" t="s">
        <v>44</v>
      </c>
      <c r="Q53">
        <v>1</v>
      </c>
      <c r="R53">
        <v>3</v>
      </c>
      <c r="S53">
        <v>6</v>
      </c>
      <c r="T53">
        <v>6</v>
      </c>
      <c r="U53">
        <v>6</v>
      </c>
      <c r="V53">
        <v>9</v>
      </c>
      <c r="W53" t="s">
        <v>59</v>
      </c>
      <c r="X53" t="s">
        <v>36</v>
      </c>
      <c r="Y53" t="s">
        <v>37</v>
      </c>
      <c r="Z53">
        <v>36</v>
      </c>
      <c r="AA53" t="s">
        <v>50</v>
      </c>
      <c r="AB53" t="s">
        <v>124</v>
      </c>
      <c r="AC53" t="s">
        <v>53</v>
      </c>
    </row>
    <row r="54" spans="1:29" x14ac:dyDescent="0.35">
      <c r="A54" t="s">
        <v>125</v>
      </c>
      <c r="B54" t="s">
        <v>29</v>
      </c>
      <c r="C54" s="1">
        <v>44722</v>
      </c>
      <c r="D54" s="2">
        <v>0.37708333333333338</v>
      </c>
      <c r="E54" s="2">
        <v>9.0277777777777784E-4</v>
      </c>
      <c r="K54" t="s">
        <v>48</v>
      </c>
      <c r="L54" t="s">
        <v>41</v>
      </c>
      <c r="M54" t="s">
        <v>73</v>
      </c>
      <c r="N54">
        <v>76</v>
      </c>
      <c r="O54" t="s">
        <v>43</v>
      </c>
      <c r="P54" t="s">
        <v>34</v>
      </c>
      <c r="Q54">
        <v>2</v>
      </c>
      <c r="R54">
        <v>1</v>
      </c>
      <c r="S54">
        <v>1</v>
      </c>
      <c r="T54">
        <v>1</v>
      </c>
      <c r="U54">
        <v>3</v>
      </c>
      <c r="V54">
        <v>7</v>
      </c>
      <c r="W54" t="s">
        <v>51</v>
      </c>
      <c r="X54" t="s">
        <v>36</v>
      </c>
      <c r="Y54" t="s">
        <v>57</v>
      </c>
      <c r="Z54">
        <v>28</v>
      </c>
      <c r="AA54" t="s">
        <v>38</v>
      </c>
      <c r="AB54" t="s">
        <v>126</v>
      </c>
      <c r="AC54" t="s">
        <v>46</v>
      </c>
    </row>
    <row r="55" spans="1:29" x14ac:dyDescent="0.35">
      <c r="A55" t="s">
        <v>127</v>
      </c>
      <c r="B55" t="s">
        <v>29</v>
      </c>
      <c r="C55" s="1">
        <v>44722</v>
      </c>
      <c r="D55" s="2">
        <v>0.37847222222222227</v>
      </c>
      <c r="E55" s="2">
        <v>5.6828703703703702E-3</v>
      </c>
      <c r="K55" t="s">
        <v>86</v>
      </c>
      <c r="L55" t="s">
        <v>31</v>
      </c>
      <c r="M55" t="s">
        <v>49</v>
      </c>
      <c r="N55">
        <v>20</v>
      </c>
      <c r="O55" t="s">
        <v>50</v>
      </c>
      <c r="P55" t="s">
        <v>50</v>
      </c>
      <c r="Q55" t="s">
        <v>128</v>
      </c>
      <c r="V55">
        <v>7</v>
      </c>
      <c r="W55" t="s">
        <v>56</v>
      </c>
      <c r="X55" t="s">
        <v>50</v>
      </c>
      <c r="Y55" t="s">
        <v>37</v>
      </c>
      <c r="Z55">
        <v>30</v>
      </c>
      <c r="AA55" t="s">
        <v>50</v>
      </c>
      <c r="AC55" t="s">
        <v>50</v>
      </c>
    </row>
    <row r="56" spans="1:29" x14ac:dyDescent="0.35">
      <c r="A56" t="s">
        <v>129</v>
      </c>
      <c r="B56" t="s">
        <v>29</v>
      </c>
      <c r="C56" s="1">
        <v>44722</v>
      </c>
      <c r="D56" s="2">
        <v>0.37847222222222227</v>
      </c>
      <c r="E56" s="2">
        <v>1.2037037037037038E-3</v>
      </c>
      <c r="K56" t="s">
        <v>30</v>
      </c>
      <c r="L56" t="s">
        <v>31</v>
      </c>
      <c r="M56" t="s">
        <v>73</v>
      </c>
      <c r="N56">
        <v>76</v>
      </c>
      <c r="O56" t="s">
        <v>76</v>
      </c>
      <c r="P56" t="s">
        <v>34</v>
      </c>
      <c r="Q56">
        <v>6</v>
      </c>
      <c r="R56">
        <v>6</v>
      </c>
      <c r="S56">
        <v>6</v>
      </c>
      <c r="T56">
        <v>6</v>
      </c>
      <c r="U56">
        <v>5</v>
      </c>
      <c r="V56">
        <v>6</v>
      </c>
      <c r="W56" t="s">
        <v>59</v>
      </c>
      <c r="X56" t="s">
        <v>50</v>
      </c>
      <c r="Y56" t="s">
        <v>57</v>
      </c>
      <c r="Z56">
        <v>24</v>
      </c>
      <c r="AA56" t="s">
        <v>38</v>
      </c>
      <c r="AB56" t="s">
        <v>124</v>
      </c>
      <c r="AC56" t="s">
        <v>71</v>
      </c>
    </row>
    <row r="57" spans="1:29" x14ac:dyDescent="0.35">
      <c r="A57" t="s">
        <v>130</v>
      </c>
      <c r="B57" t="s">
        <v>29</v>
      </c>
      <c r="C57" s="1">
        <v>44722</v>
      </c>
      <c r="D57" s="2">
        <v>0.37916666666666665</v>
      </c>
      <c r="E57" s="2">
        <v>1.3657407407407409E-3</v>
      </c>
      <c r="K57" t="s">
        <v>50</v>
      </c>
      <c r="L57" t="s">
        <v>41</v>
      </c>
      <c r="M57" t="s">
        <v>42</v>
      </c>
      <c r="N57">
        <v>53</v>
      </c>
      <c r="O57" t="s">
        <v>50</v>
      </c>
      <c r="P57" t="s">
        <v>131</v>
      </c>
      <c r="Q57">
        <v>3</v>
      </c>
      <c r="R57">
        <v>6</v>
      </c>
      <c r="S57">
        <v>7</v>
      </c>
      <c r="T57">
        <v>7</v>
      </c>
      <c r="U57">
        <v>0</v>
      </c>
      <c r="V57">
        <v>3</v>
      </c>
      <c r="W57" t="s">
        <v>35</v>
      </c>
      <c r="X57" t="s">
        <v>60</v>
      </c>
      <c r="Y57" t="s">
        <v>37</v>
      </c>
      <c r="Z57">
        <v>29</v>
      </c>
      <c r="AA57" t="s">
        <v>38</v>
      </c>
      <c r="AB57" t="s">
        <v>124</v>
      </c>
      <c r="AC57" t="s">
        <v>39</v>
      </c>
    </row>
    <row r="58" spans="1:29" x14ac:dyDescent="0.35">
      <c r="A58" t="s">
        <v>132</v>
      </c>
      <c r="B58" t="s">
        <v>29</v>
      </c>
      <c r="C58" s="1">
        <v>44722</v>
      </c>
      <c r="D58" s="2">
        <v>0.37986111111111115</v>
      </c>
      <c r="E58" s="2">
        <v>1.5624999999999999E-3</v>
      </c>
      <c r="K58" t="s">
        <v>30</v>
      </c>
      <c r="L58" t="s">
        <v>41</v>
      </c>
      <c r="M58" t="s">
        <v>49</v>
      </c>
      <c r="N58">
        <v>20</v>
      </c>
      <c r="O58" t="s">
        <v>76</v>
      </c>
      <c r="P58" t="s">
        <v>34</v>
      </c>
      <c r="Q58">
        <v>4</v>
      </c>
      <c r="R58">
        <v>9</v>
      </c>
      <c r="S58">
        <v>10</v>
      </c>
      <c r="T58">
        <v>9</v>
      </c>
      <c r="U58">
        <v>9</v>
      </c>
      <c r="V58">
        <v>10</v>
      </c>
      <c r="W58" t="s">
        <v>51</v>
      </c>
      <c r="X58" t="s">
        <v>60</v>
      </c>
      <c r="Y58" t="s">
        <v>37</v>
      </c>
      <c r="Z58">
        <v>29</v>
      </c>
      <c r="AA58" t="s">
        <v>50</v>
      </c>
      <c r="AB58" t="s">
        <v>133</v>
      </c>
      <c r="AC58" t="s">
        <v>71</v>
      </c>
    </row>
    <row r="59" spans="1:29" x14ac:dyDescent="0.35">
      <c r="A59" t="s">
        <v>134</v>
      </c>
      <c r="B59" t="s">
        <v>29</v>
      </c>
      <c r="C59" s="1">
        <v>44722</v>
      </c>
      <c r="D59" s="2">
        <v>0.38055555555555554</v>
      </c>
      <c r="E59" s="2">
        <v>1.4351851851851854E-3</v>
      </c>
      <c r="K59" t="s">
        <v>50</v>
      </c>
      <c r="L59" t="s">
        <v>31</v>
      </c>
      <c r="M59" t="s">
        <v>42</v>
      </c>
      <c r="N59">
        <v>53</v>
      </c>
      <c r="O59" t="s">
        <v>50</v>
      </c>
      <c r="P59" t="s">
        <v>34</v>
      </c>
      <c r="Q59">
        <v>6</v>
      </c>
      <c r="R59">
        <v>8</v>
      </c>
      <c r="S59">
        <v>8</v>
      </c>
      <c r="T59">
        <v>7</v>
      </c>
      <c r="U59">
        <v>9</v>
      </c>
      <c r="V59">
        <v>7</v>
      </c>
      <c r="W59" t="s">
        <v>66</v>
      </c>
      <c r="X59" t="s">
        <v>52</v>
      </c>
      <c r="Y59" t="s">
        <v>37</v>
      </c>
      <c r="Z59">
        <v>38</v>
      </c>
      <c r="AA59" t="s">
        <v>50</v>
      </c>
      <c r="AB59" t="s">
        <v>126</v>
      </c>
      <c r="AC59" t="s">
        <v>39</v>
      </c>
    </row>
    <row r="60" spans="1:29" x14ac:dyDescent="0.35">
      <c r="A60" t="s">
        <v>135</v>
      </c>
      <c r="B60" t="s">
        <v>29</v>
      </c>
      <c r="C60" s="1">
        <v>44722</v>
      </c>
      <c r="D60" s="2">
        <v>0.38055555555555554</v>
      </c>
      <c r="E60" s="2">
        <v>1.2268518518518518E-3</v>
      </c>
      <c r="K60" t="s">
        <v>30</v>
      </c>
      <c r="L60" t="s">
        <v>31</v>
      </c>
      <c r="M60" t="s">
        <v>49</v>
      </c>
      <c r="N60">
        <v>20</v>
      </c>
      <c r="O60" t="s">
        <v>43</v>
      </c>
      <c r="P60" t="s">
        <v>50</v>
      </c>
      <c r="Q60">
        <v>3</v>
      </c>
      <c r="R60">
        <v>5</v>
      </c>
      <c r="S60">
        <v>4</v>
      </c>
      <c r="T60">
        <v>3</v>
      </c>
      <c r="U60">
        <v>3</v>
      </c>
      <c r="V60">
        <v>3</v>
      </c>
      <c r="W60" t="s">
        <v>59</v>
      </c>
      <c r="X60" t="s">
        <v>52</v>
      </c>
      <c r="Y60" t="s">
        <v>37</v>
      </c>
      <c r="Z60">
        <v>31</v>
      </c>
      <c r="AA60" t="s">
        <v>50</v>
      </c>
      <c r="AB60" t="s">
        <v>126</v>
      </c>
      <c r="AC60" t="s">
        <v>39</v>
      </c>
    </row>
    <row r="61" spans="1:29" x14ac:dyDescent="0.35">
      <c r="A61" t="s">
        <v>136</v>
      </c>
      <c r="B61" t="s">
        <v>29</v>
      </c>
      <c r="C61" s="1">
        <v>44722</v>
      </c>
      <c r="D61" s="2">
        <v>0.38125000000000003</v>
      </c>
      <c r="E61" s="2">
        <v>1.0763888888888889E-3</v>
      </c>
      <c r="K61" t="s">
        <v>86</v>
      </c>
      <c r="L61" t="s">
        <v>41</v>
      </c>
      <c r="M61" t="s">
        <v>49</v>
      </c>
      <c r="N61">
        <v>20</v>
      </c>
      <c r="O61" t="s">
        <v>76</v>
      </c>
      <c r="P61" t="s">
        <v>34</v>
      </c>
      <c r="Q61">
        <v>1</v>
      </c>
      <c r="R61">
        <v>4</v>
      </c>
      <c r="S61">
        <v>5</v>
      </c>
      <c r="T61">
        <v>5</v>
      </c>
      <c r="U61">
        <v>1</v>
      </c>
      <c r="V61">
        <v>1</v>
      </c>
      <c r="W61" t="s">
        <v>59</v>
      </c>
      <c r="X61" t="s">
        <v>60</v>
      </c>
      <c r="Y61" t="s">
        <v>37</v>
      </c>
      <c r="Z61">
        <v>25</v>
      </c>
      <c r="AA61" t="s">
        <v>38</v>
      </c>
      <c r="AB61" t="s">
        <v>126</v>
      </c>
      <c r="AC61" t="s">
        <v>39</v>
      </c>
    </row>
    <row r="62" spans="1:29" x14ac:dyDescent="0.35">
      <c r="A62" t="s">
        <v>137</v>
      </c>
      <c r="B62" t="s">
        <v>29</v>
      </c>
      <c r="C62" s="1">
        <v>44722</v>
      </c>
      <c r="D62" s="2">
        <v>0.38125000000000003</v>
      </c>
      <c r="E62" s="2">
        <v>7.9861111111111105E-4</v>
      </c>
      <c r="K62" t="s">
        <v>30</v>
      </c>
      <c r="L62" t="s">
        <v>41</v>
      </c>
      <c r="M62" t="s">
        <v>73</v>
      </c>
      <c r="N62">
        <v>76</v>
      </c>
      <c r="O62" t="s">
        <v>70</v>
      </c>
      <c r="P62" t="s">
        <v>34</v>
      </c>
      <c r="Q62">
        <v>4</v>
      </c>
      <c r="R62">
        <v>6</v>
      </c>
      <c r="S62">
        <v>4</v>
      </c>
      <c r="T62">
        <v>5</v>
      </c>
      <c r="U62">
        <v>4</v>
      </c>
      <c r="V62">
        <v>4</v>
      </c>
      <c r="W62" t="s">
        <v>66</v>
      </c>
      <c r="X62" t="s">
        <v>60</v>
      </c>
      <c r="Y62" t="s">
        <v>37</v>
      </c>
      <c r="Z62">
        <v>24</v>
      </c>
      <c r="AA62" t="s">
        <v>38</v>
      </c>
      <c r="AB62" t="s">
        <v>126</v>
      </c>
      <c r="AC62" t="s">
        <v>39</v>
      </c>
    </row>
    <row r="63" spans="1:29" x14ac:dyDescent="0.35">
      <c r="A63" t="s">
        <v>138</v>
      </c>
      <c r="B63" t="s">
        <v>29</v>
      </c>
      <c r="C63" s="1">
        <v>44722</v>
      </c>
      <c r="D63" s="2">
        <v>0.3833333333333333</v>
      </c>
      <c r="E63" s="2">
        <v>2.8124999999999995E-3</v>
      </c>
      <c r="K63" t="s">
        <v>50</v>
      </c>
      <c r="L63" t="s">
        <v>31</v>
      </c>
      <c r="M63" t="s">
        <v>42</v>
      </c>
      <c r="N63">
        <v>53</v>
      </c>
      <c r="O63" t="s">
        <v>76</v>
      </c>
      <c r="P63" t="s">
        <v>34</v>
      </c>
      <c r="Q63">
        <v>6</v>
      </c>
      <c r="R63">
        <v>7</v>
      </c>
      <c r="S63">
        <v>4</v>
      </c>
      <c r="T63">
        <v>3</v>
      </c>
      <c r="U63">
        <v>9</v>
      </c>
      <c r="V63">
        <v>8</v>
      </c>
      <c r="W63" t="s">
        <v>59</v>
      </c>
      <c r="X63" t="s">
        <v>60</v>
      </c>
      <c r="Y63" t="s">
        <v>37</v>
      </c>
      <c r="Z63">
        <v>28</v>
      </c>
      <c r="AA63" t="s">
        <v>50</v>
      </c>
      <c r="AB63" t="s">
        <v>124</v>
      </c>
      <c r="AC63" t="s">
        <v>39</v>
      </c>
    </row>
    <row r="64" spans="1:29" x14ac:dyDescent="0.35">
      <c r="A64" t="s">
        <v>139</v>
      </c>
      <c r="B64" t="s">
        <v>29</v>
      </c>
      <c r="C64" s="1">
        <v>44722</v>
      </c>
      <c r="D64" s="2">
        <v>0.3840277777777778</v>
      </c>
      <c r="E64" s="2">
        <v>7.291666666666667E-4</v>
      </c>
      <c r="K64" t="s">
        <v>86</v>
      </c>
      <c r="L64" t="s">
        <v>41</v>
      </c>
      <c r="M64" t="s">
        <v>49</v>
      </c>
      <c r="N64">
        <v>20</v>
      </c>
      <c r="O64" t="s">
        <v>76</v>
      </c>
      <c r="P64" t="s">
        <v>34</v>
      </c>
      <c r="Q64">
        <v>7</v>
      </c>
      <c r="R64">
        <v>5</v>
      </c>
      <c r="S64">
        <v>8</v>
      </c>
      <c r="T64">
        <v>0</v>
      </c>
      <c r="U64">
        <v>0</v>
      </c>
      <c r="V64">
        <v>0</v>
      </c>
      <c r="W64" t="s">
        <v>66</v>
      </c>
      <c r="X64" t="s">
        <v>82</v>
      </c>
      <c r="Y64" t="s">
        <v>57</v>
      </c>
      <c r="Z64">
        <v>23</v>
      </c>
      <c r="AA64" t="s">
        <v>95</v>
      </c>
      <c r="AB64" t="s">
        <v>124</v>
      </c>
      <c r="AC64" t="s">
        <v>46</v>
      </c>
    </row>
    <row r="65" spans="1:29" x14ac:dyDescent="0.35">
      <c r="A65" t="s">
        <v>140</v>
      </c>
      <c r="B65" t="s">
        <v>29</v>
      </c>
      <c r="C65" s="1">
        <v>44722</v>
      </c>
      <c r="D65" s="2">
        <v>0.3840277777777778</v>
      </c>
      <c r="E65" s="2">
        <v>7.0601851851851847E-4</v>
      </c>
      <c r="K65" t="s">
        <v>48</v>
      </c>
      <c r="L65" t="s">
        <v>41</v>
      </c>
      <c r="M65" t="s">
        <v>49</v>
      </c>
      <c r="N65">
        <v>20</v>
      </c>
      <c r="O65" t="s">
        <v>76</v>
      </c>
      <c r="P65" t="s">
        <v>44</v>
      </c>
      <c r="Q65">
        <v>2</v>
      </c>
      <c r="R65">
        <v>3</v>
      </c>
      <c r="S65">
        <v>2</v>
      </c>
      <c r="T65">
        <v>5</v>
      </c>
      <c r="U65">
        <v>5</v>
      </c>
      <c r="V65">
        <v>7</v>
      </c>
      <c r="W65" t="s">
        <v>66</v>
      </c>
      <c r="X65" t="s">
        <v>36</v>
      </c>
      <c r="Y65" t="s">
        <v>37</v>
      </c>
      <c r="Z65">
        <v>21</v>
      </c>
      <c r="AA65" t="s">
        <v>50</v>
      </c>
      <c r="AB65" t="s">
        <v>126</v>
      </c>
      <c r="AC65" t="s">
        <v>71</v>
      </c>
    </row>
    <row r="66" spans="1:29" x14ac:dyDescent="0.35">
      <c r="A66" t="s">
        <v>141</v>
      </c>
      <c r="B66" t="s">
        <v>29</v>
      </c>
      <c r="C66" s="1">
        <v>44722</v>
      </c>
      <c r="D66" s="2">
        <v>0.38472222222222219</v>
      </c>
      <c r="E66" s="2">
        <v>1.8865740740740742E-3</v>
      </c>
      <c r="K66" t="s">
        <v>30</v>
      </c>
      <c r="L66" t="s">
        <v>41</v>
      </c>
      <c r="M66" t="s">
        <v>49</v>
      </c>
      <c r="N66">
        <v>20</v>
      </c>
      <c r="O66" t="s">
        <v>50</v>
      </c>
      <c r="P66" t="s">
        <v>34</v>
      </c>
      <c r="Q66">
        <v>4</v>
      </c>
      <c r="R66">
        <v>4</v>
      </c>
      <c r="S66">
        <v>4</v>
      </c>
      <c r="T66">
        <v>4</v>
      </c>
      <c r="U66">
        <v>5</v>
      </c>
      <c r="V66">
        <v>6</v>
      </c>
      <c r="W66" t="s">
        <v>66</v>
      </c>
      <c r="X66" t="s">
        <v>36</v>
      </c>
      <c r="Y66" t="s">
        <v>37</v>
      </c>
      <c r="Z66">
        <v>29</v>
      </c>
      <c r="AA66" t="s">
        <v>50</v>
      </c>
      <c r="AB66" t="s">
        <v>124</v>
      </c>
      <c r="AC66" t="s">
        <v>50</v>
      </c>
    </row>
    <row r="67" spans="1:29" x14ac:dyDescent="0.35">
      <c r="A67" t="s">
        <v>142</v>
      </c>
      <c r="B67" t="s">
        <v>29</v>
      </c>
      <c r="C67" s="1">
        <v>44722</v>
      </c>
      <c r="D67" s="2">
        <v>0.38541666666666669</v>
      </c>
      <c r="E67" s="2">
        <v>2.2569444444444447E-3</v>
      </c>
      <c r="K67" t="s">
        <v>30</v>
      </c>
      <c r="L67" t="s">
        <v>31</v>
      </c>
      <c r="M67" t="s">
        <v>42</v>
      </c>
      <c r="N67">
        <v>53</v>
      </c>
      <c r="O67" t="s">
        <v>76</v>
      </c>
      <c r="P67" t="s">
        <v>34</v>
      </c>
      <c r="Q67">
        <v>5</v>
      </c>
      <c r="R67">
        <v>6</v>
      </c>
      <c r="S67">
        <v>7</v>
      </c>
      <c r="T67">
        <v>7</v>
      </c>
      <c r="U67">
        <v>7</v>
      </c>
      <c r="V67">
        <v>6</v>
      </c>
      <c r="W67" t="s">
        <v>59</v>
      </c>
      <c r="X67" t="s">
        <v>60</v>
      </c>
      <c r="Y67" t="s">
        <v>37</v>
      </c>
      <c r="Z67">
        <v>25</v>
      </c>
      <c r="AA67" t="s">
        <v>38</v>
      </c>
      <c r="AB67" t="s">
        <v>124</v>
      </c>
      <c r="AC67" t="s">
        <v>46</v>
      </c>
    </row>
    <row r="68" spans="1:29" x14ac:dyDescent="0.35">
      <c r="A68" t="s">
        <v>143</v>
      </c>
      <c r="B68" t="s">
        <v>29</v>
      </c>
      <c r="C68" s="1">
        <v>44722</v>
      </c>
      <c r="D68" s="2">
        <v>0.38541666666666669</v>
      </c>
      <c r="E68" s="2">
        <v>9.7222222222222209E-4</v>
      </c>
      <c r="K68" t="s">
        <v>30</v>
      </c>
      <c r="L68" t="s">
        <v>41</v>
      </c>
      <c r="M68" t="s">
        <v>42</v>
      </c>
      <c r="N68">
        <v>53</v>
      </c>
      <c r="O68" t="s">
        <v>76</v>
      </c>
      <c r="P68" t="s">
        <v>34</v>
      </c>
      <c r="Q68">
        <v>6</v>
      </c>
      <c r="R68">
        <v>6</v>
      </c>
      <c r="S68">
        <v>6</v>
      </c>
      <c r="T68">
        <v>6</v>
      </c>
      <c r="U68">
        <v>3</v>
      </c>
      <c r="V68">
        <v>5</v>
      </c>
      <c r="W68" t="s">
        <v>59</v>
      </c>
      <c r="X68" t="s">
        <v>82</v>
      </c>
      <c r="Y68" t="s">
        <v>37</v>
      </c>
      <c r="Z68">
        <v>27</v>
      </c>
      <c r="AA68" t="s">
        <v>50</v>
      </c>
      <c r="AB68" t="s">
        <v>126</v>
      </c>
      <c r="AC68" t="s">
        <v>53</v>
      </c>
    </row>
    <row r="69" spans="1:29" x14ac:dyDescent="0.35">
      <c r="A69" t="s">
        <v>144</v>
      </c>
      <c r="B69" t="s">
        <v>29</v>
      </c>
      <c r="C69" s="1">
        <v>44722</v>
      </c>
      <c r="D69" s="2">
        <v>0.38611111111111113</v>
      </c>
      <c r="E69" s="2">
        <v>1.0185185185185186E-3</v>
      </c>
      <c r="K69" t="s">
        <v>30</v>
      </c>
      <c r="L69" t="s">
        <v>31</v>
      </c>
      <c r="M69" t="s">
        <v>42</v>
      </c>
      <c r="N69">
        <v>53</v>
      </c>
      <c r="O69" t="s">
        <v>76</v>
      </c>
      <c r="P69" t="s">
        <v>34</v>
      </c>
      <c r="Q69">
        <v>3</v>
      </c>
      <c r="R69">
        <v>9</v>
      </c>
      <c r="S69">
        <v>10</v>
      </c>
      <c r="T69">
        <v>8</v>
      </c>
      <c r="U69">
        <v>9</v>
      </c>
      <c r="V69">
        <v>9</v>
      </c>
      <c r="W69" t="s">
        <v>51</v>
      </c>
      <c r="X69" t="s">
        <v>60</v>
      </c>
      <c r="Y69" t="s">
        <v>37</v>
      </c>
      <c r="Z69">
        <v>23</v>
      </c>
      <c r="AA69" t="s">
        <v>95</v>
      </c>
      <c r="AB69" t="s">
        <v>124</v>
      </c>
      <c r="AC69" t="s">
        <v>46</v>
      </c>
    </row>
    <row r="70" spans="1:29" x14ac:dyDescent="0.35">
      <c r="A70" t="s">
        <v>145</v>
      </c>
      <c r="B70" t="s">
        <v>29</v>
      </c>
      <c r="C70" s="1">
        <v>44722</v>
      </c>
      <c r="D70" s="2">
        <v>0.38611111111111113</v>
      </c>
      <c r="E70" s="2">
        <v>1.8055555555555557E-3</v>
      </c>
      <c r="K70" t="s">
        <v>50</v>
      </c>
      <c r="L70" t="s">
        <v>41</v>
      </c>
      <c r="M70" t="s">
        <v>68</v>
      </c>
      <c r="N70">
        <v>96</v>
      </c>
      <c r="O70" t="s">
        <v>50</v>
      </c>
      <c r="P70" t="s">
        <v>44</v>
      </c>
      <c r="Q70">
        <v>4</v>
      </c>
      <c r="R70">
        <v>3</v>
      </c>
      <c r="S70">
        <v>3</v>
      </c>
      <c r="T70">
        <v>5</v>
      </c>
      <c r="U70">
        <v>5</v>
      </c>
      <c r="V70">
        <v>5</v>
      </c>
      <c r="W70" t="s">
        <v>59</v>
      </c>
      <c r="X70" t="s">
        <v>60</v>
      </c>
      <c r="Y70" t="s">
        <v>37</v>
      </c>
      <c r="Z70">
        <v>32</v>
      </c>
      <c r="AA70" t="s">
        <v>38</v>
      </c>
      <c r="AB70" t="s">
        <v>126</v>
      </c>
      <c r="AC70" t="s">
        <v>46</v>
      </c>
    </row>
    <row r="71" spans="1:29" x14ac:dyDescent="0.35">
      <c r="A71" t="s">
        <v>146</v>
      </c>
      <c r="B71" t="s">
        <v>29</v>
      </c>
      <c r="C71" s="1">
        <v>44722</v>
      </c>
      <c r="D71" s="2">
        <v>0.38680555555555557</v>
      </c>
      <c r="E71" s="2">
        <v>1.8634259259259261E-3</v>
      </c>
      <c r="K71" t="s">
        <v>86</v>
      </c>
      <c r="L71" t="s">
        <v>31</v>
      </c>
      <c r="M71" t="s">
        <v>32</v>
      </c>
      <c r="N71">
        <v>116</v>
      </c>
      <c r="O71" t="s">
        <v>33</v>
      </c>
      <c r="P71" t="s">
        <v>34</v>
      </c>
      <c r="Q71">
        <v>5</v>
      </c>
      <c r="R71">
        <v>5</v>
      </c>
      <c r="S71">
        <v>7</v>
      </c>
      <c r="T71">
        <v>5</v>
      </c>
      <c r="U71">
        <v>7</v>
      </c>
      <c r="V71">
        <v>7</v>
      </c>
      <c r="W71" t="s">
        <v>66</v>
      </c>
      <c r="X71" t="s">
        <v>36</v>
      </c>
      <c r="Y71" t="s">
        <v>37</v>
      </c>
      <c r="Z71">
        <v>22</v>
      </c>
      <c r="AA71" t="s">
        <v>95</v>
      </c>
      <c r="AB71" t="s">
        <v>124</v>
      </c>
      <c r="AC71" t="s">
        <v>46</v>
      </c>
    </row>
    <row r="72" spans="1:29" x14ac:dyDescent="0.35">
      <c r="A72" t="s">
        <v>147</v>
      </c>
      <c r="B72" t="s">
        <v>29</v>
      </c>
      <c r="C72" s="1">
        <v>44722</v>
      </c>
      <c r="D72" s="2">
        <v>0.38680555555555557</v>
      </c>
      <c r="E72" s="2">
        <v>2.9398148148148148E-3</v>
      </c>
      <c r="K72" t="s">
        <v>30</v>
      </c>
      <c r="L72" t="s">
        <v>41</v>
      </c>
      <c r="M72" t="s">
        <v>49</v>
      </c>
      <c r="N72">
        <v>20</v>
      </c>
      <c r="O72" t="s">
        <v>76</v>
      </c>
      <c r="P72" t="s">
        <v>34</v>
      </c>
      <c r="Q72">
        <v>2</v>
      </c>
      <c r="R72">
        <v>9</v>
      </c>
      <c r="S72">
        <v>9</v>
      </c>
      <c r="T72">
        <v>8</v>
      </c>
      <c r="U72">
        <v>6</v>
      </c>
      <c r="V72">
        <v>2</v>
      </c>
      <c r="W72" t="s">
        <v>51</v>
      </c>
      <c r="X72" t="s">
        <v>60</v>
      </c>
      <c r="Y72" t="s">
        <v>37</v>
      </c>
      <c r="Z72">
        <v>25</v>
      </c>
      <c r="AA72" t="s">
        <v>50</v>
      </c>
      <c r="AB72" t="s">
        <v>124</v>
      </c>
      <c r="AC72" t="s">
        <v>46</v>
      </c>
    </row>
    <row r="73" spans="1:29" x14ac:dyDescent="0.35">
      <c r="A73" t="s">
        <v>148</v>
      </c>
      <c r="B73" t="s">
        <v>29</v>
      </c>
      <c r="C73" s="1">
        <v>44722</v>
      </c>
      <c r="D73" s="2">
        <v>0.38750000000000001</v>
      </c>
      <c r="E73" s="2">
        <v>8.6805555555555551E-4</v>
      </c>
      <c r="K73" t="s">
        <v>30</v>
      </c>
      <c r="L73" t="s">
        <v>31</v>
      </c>
      <c r="M73" t="s">
        <v>49</v>
      </c>
      <c r="N73">
        <v>20</v>
      </c>
      <c r="O73" t="s">
        <v>70</v>
      </c>
      <c r="P73" t="s">
        <v>34</v>
      </c>
      <c r="Q73">
        <v>2</v>
      </c>
      <c r="R73">
        <v>8</v>
      </c>
      <c r="S73">
        <v>6</v>
      </c>
      <c r="T73">
        <v>6</v>
      </c>
      <c r="U73">
        <v>5</v>
      </c>
      <c r="V73">
        <v>5</v>
      </c>
      <c r="W73" t="s">
        <v>66</v>
      </c>
      <c r="X73" t="s">
        <v>36</v>
      </c>
      <c r="Y73" t="s">
        <v>57</v>
      </c>
      <c r="Z73">
        <v>36</v>
      </c>
      <c r="AA73" t="s">
        <v>50</v>
      </c>
      <c r="AB73" t="s">
        <v>126</v>
      </c>
      <c r="AC73" t="s">
        <v>39</v>
      </c>
    </row>
    <row r="74" spans="1:29" x14ac:dyDescent="0.35">
      <c r="A74" t="s">
        <v>149</v>
      </c>
      <c r="B74" t="s">
        <v>29</v>
      </c>
      <c r="C74" s="1">
        <v>44722</v>
      </c>
      <c r="D74" s="2">
        <v>0.38819444444444445</v>
      </c>
      <c r="E74" s="2">
        <v>1.6319444444444445E-3</v>
      </c>
      <c r="K74" t="s">
        <v>30</v>
      </c>
      <c r="L74" t="s">
        <v>31</v>
      </c>
      <c r="M74" t="s">
        <v>32</v>
      </c>
      <c r="N74">
        <v>116</v>
      </c>
      <c r="O74" t="s">
        <v>76</v>
      </c>
      <c r="P74" t="s">
        <v>50</v>
      </c>
      <c r="Q74">
        <v>10</v>
      </c>
      <c r="R74">
        <v>6</v>
      </c>
      <c r="S74">
        <v>9</v>
      </c>
      <c r="T74">
        <v>5</v>
      </c>
      <c r="U74">
        <v>8</v>
      </c>
      <c r="V74">
        <v>7</v>
      </c>
      <c r="W74" t="s">
        <v>51</v>
      </c>
      <c r="X74" t="s">
        <v>52</v>
      </c>
      <c r="Y74" t="s">
        <v>57</v>
      </c>
      <c r="Z74">
        <v>27</v>
      </c>
      <c r="AA74" t="s">
        <v>38</v>
      </c>
      <c r="AB74" t="s">
        <v>124</v>
      </c>
      <c r="AC74" t="s">
        <v>39</v>
      </c>
    </row>
    <row r="75" spans="1:29" x14ac:dyDescent="0.35">
      <c r="A75" t="s">
        <v>150</v>
      </c>
      <c r="B75" t="s">
        <v>29</v>
      </c>
      <c r="C75" s="1">
        <v>44722</v>
      </c>
      <c r="D75" s="2">
        <v>0.38819444444444445</v>
      </c>
      <c r="E75" s="2">
        <v>1.5856481481481479E-3</v>
      </c>
      <c r="K75" t="s">
        <v>50</v>
      </c>
      <c r="L75" t="s">
        <v>31</v>
      </c>
      <c r="M75" t="s">
        <v>49</v>
      </c>
      <c r="N75">
        <v>20</v>
      </c>
      <c r="O75" t="s">
        <v>76</v>
      </c>
      <c r="P75" t="s">
        <v>34</v>
      </c>
      <c r="Q75">
        <v>5</v>
      </c>
      <c r="R75">
        <v>5</v>
      </c>
      <c r="S75">
        <v>5</v>
      </c>
      <c r="T75">
        <v>5</v>
      </c>
      <c r="U75">
        <v>5</v>
      </c>
      <c r="V75">
        <v>1</v>
      </c>
      <c r="W75" t="s">
        <v>66</v>
      </c>
      <c r="X75" t="s">
        <v>50</v>
      </c>
      <c r="Y75" t="s">
        <v>37</v>
      </c>
      <c r="Z75">
        <v>23</v>
      </c>
      <c r="AA75" t="s">
        <v>95</v>
      </c>
      <c r="AB75" t="s">
        <v>124</v>
      </c>
      <c r="AC75" t="s">
        <v>46</v>
      </c>
    </row>
    <row r="76" spans="1:29" x14ac:dyDescent="0.35">
      <c r="A76" t="s">
        <v>151</v>
      </c>
      <c r="B76" t="s">
        <v>29</v>
      </c>
      <c r="C76" s="1">
        <v>44722</v>
      </c>
      <c r="D76" s="2">
        <v>0.38819444444444445</v>
      </c>
      <c r="E76" s="2">
        <v>1.0648148148148147E-3</v>
      </c>
      <c r="K76" t="s">
        <v>86</v>
      </c>
      <c r="L76" t="s">
        <v>31</v>
      </c>
      <c r="M76" t="s">
        <v>49</v>
      </c>
      <c r="N76">
        <v>20</v>
      </c>
      <c r="O76" t="s">
        <v>76</v>
      </c>
      <c r="P76" t="s">
        <v>50</v>
      </c>
      <c r="Q76">
        <v>2</v>
      </c>
      <c r="R76">
        <v>3</v>
      </c>
      <c r="S76">
        <v>3</v>
      </c>
      <c r="T76">
        <v>3</v>
      </c>
      <c r="U76">
        <v>3</v>
      </c>
      <c r="V76">
        <v>6</v>
      </c>
      <c r="W76" t="s">
        <v>35</v>
      </c>
      <c r="X76" t="s">
        <v>60</v>
      </c>
      <c r="Y76" t="s">
        <v>37</v>
      </c>
      <c r="Z76">
        <v>26</v>
      </c>
      <c r="AA76" t="s">
        <v>50</v>
      </c>
      <c r="AB76" t="s">
        <v>124</v>
      </c>
      <c r="AC76" t="s">
        <v>53</v>
      </c>
    </row>
    <row r="77" spans="1:29" x14ac:dyDescent="0.35">
      <c r="A77" t="s">
        <v>152</v>
      </c>
      <c r="B77" t="s">
        <v>29</v>
      </c>
      <c r="C77" s="1">
        <v>44722</v>
      </c>
      <c r="D77" s="2">
        <v>0.3888888888888889</v>
      </c>
      <c r="E77" s="2">
        <v>9.1435185185185185E-4</v>
      </c>
      <c r="K77" t="s">
        <v>50</v>
      </c>
      <c r="L77" t="s">
        <v>41</v>
      </c>
      <c r="M77" t="s">
        <v>68</v>
      </c>
      <c r="N77">
        <v>96</v>
      </c>
      <c r="O77" t="s">
        <v>33</v>
      </c>
      <c r="P77" t="s">
        <v>34</v>
      </c>
      <c r="Q77">
        <v>9</v>
      </c>
      <c r="R77">
        <v>10</v>
      </c>
      <c r="S77">
        <v>10</v>
      </c>
      <c r="T77">
        <v>10</v>
      </c>
      <c r="U77">
        <v>10</v>
      </c>
      <c r="V77">
        <v>10</v>
      </c>
      <c r="W77" t="s">
        <v>56</v>
      </c>
      <c r="X77" t="s">
        <v>52</v>
      </c>
      <c r="Y77" t="s">
        <v>57</v>
      </c>
      <c r="Z77">
        <v>33</v>
      </c>
      <c r="AA77" t="s">
        <v>38</v>
      </c>
      <c r="AB77" t="s">
        <v>153</v>
      </c>
      <c r="AC77" t="s">
        <v>71</v>
      </c>
    </row>
    <row r="78" spans="1:29" x14ac:dyDescent="0.35">
      <c r="A78" t="s">
        <v>154</v>
      </c>
      <c r="B78" t="s">
        <v>29</v>
      </c>
      <c r="C78" s="1">
        <v>44722</v>
      </c>
      <c r="D78" s="2">
        <v>0.3888888888888889</v>
      </c>
      <c r="E78" s="2">
        <v>1.0763888888888889E-3</v>
      </c>
      <c r="K78" t="s">
        <v>30</v>
      </c>
      <c r="L78" t="s">
        <v>31</v>
      </c>
      <c r="M78" t="s">
        <v>32</v>
      </c>
      <c r="N78">
        <v>116</v>
      </c>
      <c r="O78" t="s">
        <v>50</v>
      </c>
      <c r="P78" t="s">
        <v>34</v>
      </c>
      <c r="Q78">
        <v>3</v>
      </c>
      <c r="R78">
        <v>5</v>
      </c>
      <c r="S78">
        <v>3</v>
      </c>
      <c r="T78">
        <v>3</v>
      </c>
      <c r="U78">
        <v>5</v>
      </c>
      <c r="V78">
        <v>5</v>
      </c>
      <c r="W78" t="s">
        <v>51</v>
      </c>
      <c r="X78" t="s">
        <v>60</v>
      </c>
      <c r="Y78" t="s">
        <v>37</v>
      </c>
      <c r="Z78">
        <v>27</v>
      </c>
      <c r="AA78" t="s">
        <v>50</v>
      </c>
      <c r="AB78" t="s">
        <v>126</v>
      </c>
      <c r="AC78" t="s">
        <v>39</v>
      </c>
    </row>
    <row r="79" spans="1:29" x14ac:dyDescent="0.35">
      <c r="A79" t="s">
        <v>155</v>
      </c>
      <c r="B79" t="s">
        <v>29</v>
      </c>
      <c r="C79" s="1">
        <v>44722</v>
      </c>
      <c r="D79" s="2">
        <v>0.38958333333333334</v>
      </c>
      <c r="E79" s="2">
        <v>1.1342592592592591E-3</v>
      </c>
      <c r="K79" t="s">
        <v>30</v>
      </c>
      <c r="L79" t="s">
        <v>31</v>
      </c>
      <c r="M79" t="s">
        <v>42</v>
      </c>
      <c r="N79">
        <v>53</v>
      </c>
      <c r="O79" t="s">
        <v>78</v>
      </c>
      <c r="P79" t="s">
        <v>44</v>
      </c>
      <c r="Q79">
        <v>3</v>
      </c>
      <c r="R79">
        <v>6</v>
      </c>
      <c r="S79">
        <v>5</v>
      </c>
      <c r="T79">
        <v>4</v>
      </c>
      <c r="U79">
        <v>3</v>
      </c>
      <c r="V79">
        <v>4</v>
      </c>
      <c r="W79" t="s">
        <v>66</v>
      </c>
      <c r="X79" t="s">
        <v>60</v>
      </c>
      <c r="Y79" t="s">
        <v>37</v>
      </c>
      <c r="Z79">
        <v>42</v>
      </c>
      <c r="AA79" t="s">
        <v>38</v>
      </c>
      <c r="AB79" t="s">
        <v>133</v>
      </c>
      <c r="AC79" t="s">
        <v>39</v>
      </c>
    </row>
    <row r="80" spans="1:29" x14ac:dyDescent="0.35">
      <c r="A80" t="s">
        <v>156</v>
      </c>
      <c r="B80" t="s">
        <v>29</v>
      </c>
      <c r="C80" s="1">
        <v>44722</v>
      </c>
      <c r="D80" s="2">
        <v>0.38958333333333334</v>
      </c>
      <c r="E80" s="2">
        <v>1.8055555555555557E-3</v>
      </c>
      <c r="K80" t="s">
        <v>30</v>
      </c>
      <c r="L80" t="s">
        <v>31</v>
      </c>
      <c r="M80" t="s">
        <v>49</v>
      </c>
      <c r="N80">
        <v>20</v>
      </c>
      <c r="O80" t="s">
        <v>76</v>
      </c>
      <c r="P80" t="s">
        <v>34</v>
      </c>
      <c r="Q80">
        <v>6</v>
      </c>
      <c r="R80">
        <v>7</v>
      </c>
      <c r="S80">
        <v>8</v>
      </c>
      <c r="T80">
        <v>7</v>
      </c>
      <c r="U80">
        <v>7</v>
      </c>
      <c r="V80">
        <v>8</v>
      </c>
      <c r="W80" t="s">
        <v>51</v>
      </c>
      <c r="X80" t="s">
        <v>52</v>
      </c>
      <c r="Y80" t="s">
        <v>37</v>
      </c>
      <c r="Z80">
        <v>29</v>
      </c>
      <c r="AA80" t="s">
        <v>50</v>
      </c>
      <c r="AB80" t="s">
        <v>126</v>
      </c>
      <c r="AC80" t="s">
        <v>39</v>
      </c>
    </row>
    <row r="81" spans="1:29" x14ac:dyDescent="0.35">
      <c r="A81" t="s">
        <v>157</v>
      </c>
      <c r="B81" t="s">
        <v>29</v>
      </c>
      <c r="C81" s="1">
        <v>44722</v>
      </c>
      <c r="D81" s="2">
        <v>0.39027777777777778</v>
      </c>
      <c r="E81" s="2">
        <v>7.8703703703703705E-4</v>
      </c>
      <c r="K81" t="s">
        <v>30</v>
      </c>
      <c r="L81" t="s">
        <v>41</v>
      </c>
      <c r="M81" t="s">
        <v>65</v>
      </c>
      <c r="N81">
        <v>138</v>
      </c>
      <c r="O81" t="s">
        <v>76</v>
      </c>
      <c r="P81" t="s">
        <v>34</v>
      </c>
      <c r="Q81">
        <v>4</v>
      </c>
      <c r="R81">
        <v>7</v>
      </c>
      <c r="S81">
        <v>6</v>
      </c>
      <c r="T81">
        <v>4</v>
      </c>
      <c r="U81">
        <v>2</v>
      </c>
      <c r="V81">
        <v>4</v>
      </c>
      <c r="W81" t="s">
        <v>51</v>
      </c>
      <c r="X81" t="s">
        <v>60</v>
      </c>
      <c r="Y81" t="s">
        <v>57</v>
      </c>
      <c r="Z81">
        <v>27</v>
      </c>
      <c r="AA81" t="s">
        <v>38</v>
      </c>
      <c r="AB81" t="s">
        <v>126</v>
      </c>
      <c r="AC81" t="s">
        <v>46</v>
      </c>
    </row>
    <row r="82" spans="1:29" x14ac:dyDescent="0.35">
      <c r="A82" t="s">
        <v>158</v>
      </c>
      <c r="B82" t="s">
        <v>29</v>
      </c>
      <c r="C82" s="1">
        <v>44722</v>
      </c>
      <c r="D82" s="2">
        <v>0.39027777777777778</v>
      </c>
      <c r="E82" s="2">
        <v>1.1689814814814816E-3</v>
      </c>
      <c r="K82" t="s">
        <v>86</v>
      </c>
      <c r="L82" t="s">
        <v>41</v>
      </c>
      <c r="M82" t="s">
        <v>42</v>
      </c>
      <c r="N82">
        <v>53</v>
      </c>
      <c r="O82" t="s">
        <v>33</v>
      </c>
      <c r="P82" t="s">
        <v>34</v>
      </c>
      <c r="Q82">
        <v>0</v>
      </c>
      <c r="R82">
        <v>10</v>
      </c>
      <c r="S82">
        <v>10</v>
      </c>
      <c r="T82">
        <v>10</v>
      </c>
      <c r="U82">
        <v>4</v>
      </c>
      <c r="V82">
        <v>2</v>
      </c>
      <c r="W82" t="s">
        <v>66</v>
      </c>
      <c r="X82" t="s">
        <v>36</v>
      </c>
      <c r="Y82" t="s">
        <v>57</v>
      </c>
      <c r="Z82">
        <v>39</v>
      </c>
      <c r="AA82" t="s">
        <v>38</v>
      </c>
      <c r="AB82" t="s">
        <v>124</v>
      </c>
      <c r="AC82" t="s">
        <v>71</v>
      </c>
    </row>
    <row r="83" spans="1:29" x14ac:dyDescent="0.35">
      <c r="A83" t="s">
        <v>159</v>
      </c>
      <c r="B83" t="s">
        <v>29</v>
      </c>
      <c r="C83" s="1">
        <v>44722</v>
      </c>
      <c r="D83" s="2">
        <v>0.39097222222222222</v>
      </c>
      <c r="E83" s="2">
        <v>1.1111111111111111E-3</v>
      </c>
      <c r="K83" t="s">
        <v>30</v>
      </c>
      <c r="L83" t="s">
        <v>31</v>
      </c>
      <c r="M83" t="s">
        <v>42</v>
      </c>
      <c r="N83">
        <v>53</v>
      </c>
      <c r="O83" t="s">
        <v>70</v>
      </c>
      <c r="P83" t="s">
        <v>34</v>
      </c>
      <c r="Q83">
        <v>6</v>
      </c>
      <c r="R83">
        <v>6</v>
      </c>
      <c r="S83">
        <v>7</v>
      </c>
      <c r="T83">
        <v>5</v>
      </c>
      <c r="U83">
        <v>6</v>
      </c>
      <c r="V83">
        <v>7</v>
      </c>
      <c r="W83" t="s">
        <v>59</v>
      </c>
      <c r="X83" t="s">
        <v>82</v>
      </c>
      <c r="Y83" t="s">
        <v>37</v>
      </c>
      <c r="Z83">
        <v>31</v>
      </c>
      <c r="AA83" t="s">
        <v>50</v>
      </c>
      <c r="AB83" t="s">
        <v>126</v>
      </c>
      <c r="AC83" t="s">
        <v>39</v>
      </c>
    </row>
    <row r="84" spans="1:29" x14ac:dyDescent="0.35">
      <c r="A84" t="s">
        <v>160</v>
      </c>
      <c r="B84" t="s">
        <v>29</v>
      </c>
      <c r="C84" s="1">
        <v>44722</v>
      </c>
      <c r="D84" s="2">
        <v>0.39097222222222222</v>
      </c>
      <c r="E84" s="2">
        <v>2.1874999999999998E-3</v>
      </c>
      <c r="K84" t="s">
        <v>30</v>
      </c>
      <c r="L84" t="s">
        <v>31</v>
      </c>
      <c r="M84" t="s">
        <v>73</v>
      </c>
      <c r="N84">
        <v>76</v>
      </c>
      <c r="O84" t="s">
        <v>50</v>
      </c>
      <c r="P84" t="s">
        <v>34</v>
      </c>
      <c r="Q84">
        <v>7</v>
      </c>
      <c r="R84">
        <v>7</v>
      </c>
      <c r="S84">
        <v>5</v>
      </c>
      <c r="T84">
        <v>9</v>
      </c>
      <c r="U84">
        <v>7</v>
      </c>
      <c r="V84">
        <v>8</v>
      </c>
      <c r="W84" t="s">
        <v>51</v>
      </c>
      <c r="X84" t="s">
        <v>52</v>
      </c>
      <c r="Y84" t="s">
        <v>37</v>
      </c>
      <c r="Z84">
        <v>29</v>
      </c>
      <c r="AA84" t="s">
        <v>50</v>
      </c>
      <c r="AB84" t="s">
        <v>124</v>
      </c>
      <c r="AC84" t="s">
        <v>71</v>
      </c>
    </row>
    <row r="85" spans="1:29" x14ac:dyDescent="0.35">
      <c r="A85" t="s">
        <v>161</v>
      </c>
      <c r="B85" t="s">
        <v>29</v>
      </c>
      <c r="C85" s="1">
        <v>44722</v>
      </c>
      <c r="D85" s="2">
        <v>0.3923611111111111</v>
      </c>
      <c r="E85" s="2">
        <v>9.4907407407407408E-4</v>
      </c>
      <c r="K85" t="s">
        <v>30</v>
      </c>
      <c r="L85" t="s">
        <v>31</v>
      </c>
      <c r="M85" t="s">
        <v>73</v>
      </c>
      <c r="N85">
        <v>76</v>
      </c>
      <c r="O85" t="s">
        <v>78</v>
      </c>
      <c r="P85" t="s">
        <v>44</v>
      </c>
      <c r="Q85">
        <v>7</v>
      </c>
      <c r="R85">
        <v>7</v>
      </c>
      <c r="S85">
        <v>7</v>
      </c>
      <c r="T85">
        <v>7</v>
      </c>
      <c r="U85">
        <v>4</v>
      </c>
      <c r="V85">
        <v>7</v>
      </c>
      <c r="W85" t="s">
        <v>51</v>
      </c>
      <c r="X85" t="s">
        <v>36</v>
      </c>
      <c r="Y85" t="s">
        <v>37</v>
      </c>
      <c r="Z85">
        <v>31</v>
      </c>
      <c r="AA85" t="s">
        <v>38</v>
      </c>
      <c r="AB85" t="s">
        <v>126</v>
      </c>
      <c r="AC85" t="s">
        <v>39</v>
      </c>
    </row>
    <row r="86" spans="1:29" x14ac:dyDescent="0.35">
      <c r="A86" t="s">
        <v>162</v>
      </c>
      <c r="B86" t="s">
        <v>29</v>
      </c>
      <c r="C86" s="1">
        <v>44722</v>
      </c>
      <c r="D86" s="2">
        <v>0.39305555555555555</v>
      </c>
      <c r="E86" s="2">
        <v>1.0416666666666667E-3</v>
      </c>
      <c r="K86" t="s">
        <v>30</v>
      </c>
      <c r="L86" t="s">
        <v>31</v>
      </c>
      <c r="M86" t="s">
        <v>49</v>
      </c>
      <c r="N86">
        <v>20</v>
      </c>
      <c r="O86" t="s">
        <v>43</v>
      </c>
      <c r="P86" t="s">
        <v>34</v>
      </c>
      <c r="Q86">
        <v>10</v>
      </c>
      <c r="R86">
        <v>9</v>
      </c>
      <c r="S86">
        <v>9</v>
      </c>
      <c r="T86">
        <v>10</v>
      </c>
      <c r="U86">
        <v>9</v>
      </c>
      <c r="V86">
        <v>10</v>
      </c>
      <c r="W86" t="s">
        <v>66</v>
      </c>
      <c r="X86" t="s">
        <v>82</v>
      </c>
      <c r="Y86" t="s">
        <v>37</v>
      </c>
      <c r="Z86">
        <v>30</v>
      </c>
      <c r="AA86" t="s">
        <v>50</v>
      </c>
      <c r="AB86" t="s">
        <v>126</v>
      </c>
      <c r="AC86" t="s">
        <v>71</v>
      </c>
    </row>
    <row r="87" spans="1:29" x14ac:dyDescent="0.35">
      <c r="A87" t="s">
        <v>163</v>
      </c>
      <c r="B87" t="s">
        <v>29</v>
      </c>
      <c r="C87" s="1">
        <v>44722</v>
      </c>
      <c r="D87" s="2">
        <v>0.39305555555555555</v>
      </c>
      <c r="E87" s="2">
        <v>2.1412037037037038E-3</v>
      </c>
      <c r="K87" t="s">
        <v>48</v>
      </c>
      <c r="L87" t="s">
        <v>31</v>
      </c>
      <c r="M87" t="s">
        <v>49</v>
      </c>
      <c r="N87">
        <v>20</v>
      </c>
      <c r="O87" t="s">
        <v>76</v>
      </c>
      <c r="P87" t="s">
        <v>34</v>
      </c>
      <c r="Q87">
        <v>7</v>
      </c>
      <c r="R87">
        <v>8</v>
      </c>
      <c r="S87">
        <v>6</v>
      </c>
      <c r="T87">
        <v>5</v>
      </c>
      <c r="U87">
        <v>5</v>
      </c>
      <c r="V87">
        <v>9</v>
      </c>
      <c r="W87" t="s">
        <v>59</v>
      </c>
      <c r="X87" t="s">
        <v>60</v>
      </c>
      <c r="Y87" t="s">
        <v>37</v>
      </c>
      <c r="Z87">
        <v>33</v>
      </c>
      <c r="AA87" t="s">
        <v>50</v>
      </c>
      <c r="AB87" t="s">
        <v>126</v>
      </c>
      <c r="AC87" t="s">
        <v>71</v>
      </c>
    </row>
    <row r="88" spans="1:29" x14ac:dyDescent="0.35">
      <c r="A88" t="s">
        <v>164</v>
      </c>
      <c r="B88" t="s">
        <v>29</v>
      </c>
      <c r="C88" s="1">
        <v>44722</v>
      </c>
      <c r="D88" s="2">
        <v>0.39374999999999999</v>
      </c>
      <c r="E88" s="2">
        <v>6.7129629629629625E-4</v>
      </c>
      <c r="K88" t="s">
        <v>30</v>
      </c>
      <c r="L88" t="s">
        <v>41</v>
      </c>
      <c r="M88" t="s">
        <v>73</v>
      </c>
      <c r="N88">
        <v>76</v>
      </c>
      <c r="O88" t="s">
        <v>50</v>
      </c>
      <c r="P88" t="s">
        <v>34</v>
      </c>
      <c r="Q88">
        <v>7</v>
      </c>
      <c r="R88">
        <v>8</v>
      </c>
      <c r="S88">
        <v>9</v>
      </c>
      <c r="T88">
        <v>7</v>
      </c>
      <c r="U88">
        <v>7</v>
      </c>
      <c r="V88">
        <v>7</v>
      </c>
      <c r="W88" t="s">
        <v>66</v>
      </c>
      <c r="X88" t="s">
        <v>60</v>
      </c>
      <c r="Y88" t="s">
        <v>37</v>
      </c>
      <c r="Z88">
        <v>25</v>
      </c>
      <c r="AA88" t="s">
        <v>38</v>
      </c>
      <c r="AB88" t="s">
        <v>124</v>
      </c>
      <c r="AC88" t="s">
        <v>39</v>
      </c>
    </row>
    <row r="89" spans="1:29" x14ac:dyDescent="0.35">
      <c r="A89" t="s">
        <v>165</v>
      </c>
      <c r="B89" t="s">
        <v>29</v>
      </c>
      <c r="C89" s="1">
        <v>44722</v>
      </c>
      <c r="D89" s="2">
        <v>0.39374999999999999</v>
      </c>
      <c r="E89" s="2">
        <v>7.9861111111111105E-4</v>
      </c>
      <c r="K89" t="s">
        <v>86</v>
      </c>
      <c r="L89" t="s">
        <v>41</v>
      </c>
      <c r="M89" t="s">
        <v>49</v>
      </c>
      <c r="N89">
        <v>20</v>
      </c>
      <c r="O89" t="s">
        <v>76</v>
      </c>
      <c r="P89" t="s">
        <v>44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 t="s">
        <v>66</v>
      </c>
      <c r="X89" t="s">
        <v>52</v>
      </c>
      <c r="Y89" t="s">
        <v>37</v>
      </c>
      <c r="Z89">
        <v>23</v>
      </c>
      <c r="AA89" t="s">
        <v>95</v>
      </c>
      <c r="AB89" t="s">
        <v>124</v>
      </c>
      <c r="AC89" t="s">
        <v>50</v>
      </c>
    </row>
    <row r="90" spans="1:29" x14ac:dyDescent="0.35">
      <c r="A90" t="s">
        <v>166</v>
      </c>
      <c r="B90" t="s">
        <v>29</v>
      </c>
      <c r="C90" s="1">
        <v>44722</v>
      </c>
      <c r="D90" s="2">
        <v>0.39374999999999999</v>
      </c>
      <c r="E90" s="2">
        <v>1.2847222222222223E-3</v>
      </c>
      <c r="K90" t="s">
        <v>30</v>
      </c>
      <c r="L90" t="s">
        <v>31</v>
      </c>
      <c r="M90" t="s">
        <v>42</v>
      </c>
      <c r="N90">
        <v>53</v>
      </c>
      <c r="O90" t="s">
        <v>50</v>
      </c>
      <c r="P90" t="s">
        <v>50</v>
      </c>
      <c r="Q90">
        <v>4</v>
      </c>
      <c r="R90">
        <v>4</v>
      </c>
      <c r="S90">
        <v>3</v>
      </c>
      <c r="T90">
        <v>3</v>
      </c>
      <c r="U90">
        <v>5</v>
      </c>
      <c r="V90">
        <v>6</v>
      </c>
      <c r="W90" t="s">
        <v>35</v>
      </c>
      <c r="X90" t="s">
        <v>60</v>
      </c>
      <c r="Y90" t="s">
        <v>37</v>
      </c>
      <c r="Z90">
        <v>33</v>
      </c>
      <c r="AA90" t="s">
        <v>38</v>
      </c>
      <c r="AB90" t="s">
        <v>124</v>
      </c>
      <c r="AC90" t="s">
        <v>46</v>
      </c>
    </row>
    <row r="91" spans="1:29" x14ac:dyDescent="0.35">
      <c r="A91" t="s">
        <v>167</v>
      </c>
      <c r="B91" t="s">
        <v>29</v>
      </c>
      <c r="C91" s="1">
        <v>44722</v>
      </c>
      <c r="D91" s="2">
        <v>0.39374999999999999</v>
      </c>
      <c r="E91" s="2">
        <v>1.7245370370370372E-3</v>
      </c>
      <c r="K91" t="s">
        <v>50</v>
      </c>
      <c r="L91" t="s">
        <v>31</v>
      </c>
      <c r="M91" t="s">
        <v>73</v>
      </c>
      <c r="N91">
        <v>76</v>
      </c>
      <c r="O91" t="s">
        <v>50</v>
      </c>
      <c r="P91" t="s">
        <v>34</v>
      </c>
      <c r="Q91">
        <v>7</v>
      </c>
      <c r="R91">
        <v>9</v>
      </c>
      <c r="S91">
        <v>9</v>
      </c>
      <c r="T91">
        <v>8</v>
      </c>
      <c r="U91">
        <v>8</v>
      </c>
      <c r="V91">
        <v>9</v>
      </c>
      <c r="W91" t="s">
        <v>66</v>
      </c>
      <c r="X91" t="s">
        <v>52</v>
      </c>
      <c r="Y91" t="s">
        <v>37</v>
      </c>
      <c r="Z91">
        <v>35</v>
      </c>
      <c r="AA91" t="s">
        <v>50</v>
      </c>
      <c r="AB91" t="s">
        <v>124</v>
      </c>
      <c r="AC91" t="s">
        <v>71</v>
      </c>
    </row>
    <row r="92" spans="1:29" x14ac:dyDescent="0.35">
      <c r="A92" t="s">
        <v>168</v>
      </c>
      <c r="B92" t="s">
        <v>29</v>
      </c>
      <c r="C92" s="1">
        <v>44722</v>
      </c>
      <c r="D92" s="2">
        <v>0.39374999999999999</v>
      </c>
      <c r="E92" s="2">
        <v>1.8402777777777777E-3</v>
      </c>
      <c r="K92" t="s">
        <v>30</v>
      </c>
      <c r="L92" t="s">
        <v>41</v>
      </c>
      <c r="M92" t="s">
        <v>42</v>
      </c>
      <c r="N92">
        <v>53</v>
      </c>
      <c r="O92" t="s">
        <v>50</v>
      </c>
      <c r="P92" t="s">
        <v>34</v>
      </c>
      <c r="Q92">
        <v>6</v>
      </c>
      <c r="R92">
        <v>8</v>
      </c>
      <c r="S92">
        <v>5</v>
      </c>
      <c r="U92">
        <v>6</v>
      </c>
      <c r="V92">
        <v>9</v>
      </c>
      <c r="W92" t="s">
        <v>66</v>
      </c>
      <c r="X92" t="s">
        <v>36</v>
      </c>
      <c r="Y92" t="s">
        <v>57</v>
      </c>
      <c r="Z92">
        <v>42</v>
      </c>
      <c r="AA92" t="s">
        <v>50</v>
      </c>
      <c r="AB92" t="s">
        <v>126</v>
      </c>
      <c r="AC92" t="s">
        <v>39</v>
      </c>
    </row>
    <row r="93" spans="1:29" x14ac:dyDescent="0.35">
      <c r="A93" t="s">
        <v>169</v>
      </c>
      <c r="B93" t="s">
        <v>29</v>
      </c>
      <c r="C93" s="1">
        <v>44722</v>
      </c>
      <c r="D93" s="2">
        <v>0.39513888888888887</v>
      </c>
      <c r="E93" s="2">
        <v>8.564814814814815E-4</v>
      </c>
      <c r="K93" t="s">
        <v>30</v>
      </c>
      <c r="L93" t="s">
        <v>41</v>
      </c>
      <c r="M93" t="s">
        <v>73</v>
      </c>
      <c r="N93">
        <v>76</v>
      </c>
      <c r="O93" t="s">
        <v>76</v>
      </c>
      <c r="P93" t="s">
        <v>34</v>
      </c>
      <c r="Q93">
        <v>3</v>
      </c>
      <c r="R93">
        <v>4</v>
      </c>
      <c r="S93">
        <v>2</v>
      </c>
      <c r="T93">
        <v>1</v>
      </c>
      <c r="U93">
        <v>0</v>
      </c>
      <c r="V93">
        <v>4</v>
      </c>
      <c r="W93" t="s">
        <v>66</v>
      </c>
      <c r="X93" t="s">
        <v>60</v>
      </c>
      <c r="Y93" t="s">
        <v>37</v>
      </c>
      <c r="Z93">
        <v>25</v>
      </c>
      <c r="AA93" t="s">
        <v>38</v>
      </c>
      <c r="AB93" t="s">
        <v>124</v>
      </c>
      <c r="AC93" t="s">
        <v>39</v>
      </c>
    </row>
    <row r="94" spans="1:29" x14ac:dyDescent="0.35">
      <c r="A94" t="s">
        <v>170</v>
      </c>
      <c r="B94" t="s">
        <v>29</v>
      </c>
      <c r="C94" s="1">
        <v>44722</v>
      </c>
      <c r="D94" s="2">
        <v>0.39583333333333331</v>
      </c>
      <c r="E94" s="2">
        <v>2.0833333333333333E-3</v>
      </c>
      <c r="K94" t="s">
        <v>30</v>
      </c>
      <c r="L94" t="s">
        <v>41</v>
      </c>
      <c r="M94" t="s">
        <v>68</v>
      </c>
      <c r="N94">
        <v>96</v>
      </c>
      <c r="O94" t="s">
        <v>50</v>
      </c>
      <c r="P94" t="s">
        <v>34</v>
      </c>
      <c r="Q94">
        <v>5</v>
      </c>
      <c r="R94">
        <v>4</v>
      </c>
      <c r="S94">
        <v>5</v>
      </c>
      <c r="T94">
        <v>4</v>
      </c>
      <c r="U94">
        <v>3</v>
      </c>
      <c r="V94">
        <v>6</v>
      </c>
      <c r="W94" t="s">
        <v>66</v>
      </c>
      <c r="X94" t="s">
        <v>50</v>
      </c>
      <c r="Y94" t="s">
        <v>37</v>
      </c>
      <c r="Z94">
        <v>23</v>
      </c>
      <c r="AA94" t="s">
        <v>38</v>
      </c>
      <c r="AB94" t="s">
        <v>124</v>
      </c>
      <c r="AC94" t="s">
        <v>39</v>
      </c>
    </row>
    <row r="95" spans="1:29" x14ac:dyDescent="0.35">
      <c r="A95" t="s">
        <v>171</v>
      </c>
      <c r="B95" t="s">
        <v>29</v>
      </c>
      <c r="C95" s="1">
        <v>44722</v>
      </c>
      <c r="D95" s="2">
        <v>0.39652777777777781</v>
      </c>
      <c r="E95" s="2">
        <v>1.4120370370370369E-3</v>
      </c>
      <c r="K95" t="s">
        <v>50</v>
      </c>
      <c r="L95" t="s">
        <v>41</v>
      </c>
      <c r="M95" t="s">
        <v>42</v>
      </c>
      <c r="N95">
        <v>53</v>
      </c>
      <c r="O95" t="s">
        <v>33</v>
      </c>
      <c r="P95" t="s">
        <v>112</v>
      </c>
      <c r="Q95">
        <v>2</v>
      </c>
      <c r="R95">
        <v>4</v>
      </c>
      <c r="S95">
        <v>6</v>
      </c>
      <c r="T95">
        <v>5</v>
      </c>
      <c r="U95">
        <v>3</v>
      </c>
      <c r="V95">
        <v>4</v>
      </c>
      <c r="W95" t="s">
        <v>51</v>
      </c>
      <c r="X95" t="s">
        <v>60</v>
      </c>
      <c r="Y95" t="s">
        <v>57</v>
      </c>
      <c r="Z95">
        <v>51</v>
      </c>
      <c r="AA95" t="s">
        <v>38</v>
      </c>
      <c r="AB95" t="s">
        <v>124</v>
      </c>
      <c r="AC95" t="s">
        <v>53</v>
      </c>
    </row>
    <row r="96" spans="1:29" x14ac:dyDescent="0.35">
      <c r="A96" t="s">
        <v>172</v>
      </c>
      <c r="B96" t="s">
        <v>29</v>
      </c>
      <c r="C96" s="1">
        <v>44722</v>
      </c>
      <c r="D96" s="2">
        <v>0.3972222222222222</v>
      </c>
      <c r="E96" s="2">
        <v>1.2152777777777778E-3</v>
      </c>
      <c r="K96" t="s">
        <v>30</v>
      </c>
      <c r="L96" t="s">
        <v>41</v>
      </c>
      <c r="M96" t="s">
        <v>49</v>
      </c>
      <c r="N96">
        <v>20</v>
      </c>
      <c r="O96" t="s">
        <v>70</v>
      </c>
      <c r="P96" t="s">
        <v>50</v>
      </c>
      <c r="Q96">
        <v>1</v>
      </c>
      <c r="R96">
        <v>4</v>
      </c>
      <c r="S96">
        <v>4</v>
      </c>
      <c r="T96">
        <v>3</v>
      </c>
      <c r="U96">
        <v>2</v>
      </c>
      <c r="V96">
        <v>6</v>
      </c>
      <c r="W96" t="s">
        <v>35</v>
      </c>
      <c r="X96" t="s">
        <v>60</v>
      </c>
      <c r="Y96" t="s">
        <v>37</v>
      </c>
      <c r="Z96">
        <v>30</v>
      </c>
      <c r="AA96" t="s">
        <v>79</v>
      </c>
      <c r="AB96" t="s">
        <v>124</v>
      </c>
      <c r="AC96" t="s">
        <v>53</v>
      </c>
    </row>
    <row r="97" spans="1:29" x14ac:dyDescent="0.35">
      <c r="A97" t="s">
        <v>173</v>
      </c>
      <c r="B97" t="s">
        <v>29</v>
      </c>
      <c r="C97" s="1">
        <v>44722</v>
      </c>
      <c r="D97" s="2">
        <v>0.3979166666666667</v>
      </c>
      <c r="E97" s="2">
        <v>1.1689814814814816E-3</v>
      </c>
      <c r="K97" t="s">
        <v>30</v>
      </c>
      <c r="L97" t="s">
        <v>31</v>
      </c>
      <c r="M97" t="s">
        <v>42</v>
      </c>
      <c r="N97">
        <v>53</v>
      </c>
      <c r="O97" t="s">
        <v>43</v>
      </c>
      <c r="P97" t="s">
        <v>34</v>
      </c>
      <c r="Q97">
        <v>8</v>
      </c>
      <c r="R97">
        <v>9</v>
      </c>
      <c r="S97">
        <v>9</v>
      </c>
      <c r="T97">
        <v>9</v>
      </c>
      <c r="U97">
        <v>9</v>
      </c>
      <c r="V97">
        <v>8</v>
      </c>
      <c r="W97" t="s">
        <v>35</v>
      </c>
      <c r="X97" t="s">
        <v>60</v>
      </c>
      <c r="Y97" t="s">
        <v>37</v>
      </c>
      <c r="Z97">
        <v>23</v>
      </c>
      <c r="AA97" t="s">
        <v>95</v>
      </c>
      <c r="AB97" t="s">
        <v>124</v>
      </c>
      <c r="AC97" t="s">
        <v>46</v>
      </c>
    </row>
    <row r="98" spans="1:29" x14ac:dyDescent="0.35">
      <c r="A98" t="s">
        <v>174</v>
      </c>
      <c r="B98" t="s">
        <v>29</v>
      </c>
      <c r="C98" s="1">
        <v>44722</v>
      </c>
      <c r="D98" s="2">
        <v>0.39861111111111108</v>
      </c>
      <c r="E98" s="2">
        <v>7.6388888888888893E-4</v>
      </c>
      <c r="K98" t="s">
        <v>50</v>
      </c>
      <c r="L98" t="s">
        <v>31</v>
      </c>
      <c r="M98" t="s">
        <v>42</v>
      </c>
      <c r="N98">
        <v>53</v>
      </c>
      <c r="O98" t="s">
        <v>50</v>
      </c>
      <c r="P98" t="s">
        <v>44</v>
      </c>
      <c r="Q98">
        <v>3</v>
      </c>
      <c r="R98">
        <v>5</v>
      </c>
      <c r="S98">
        <v>5</v>
      </c>
      <c r="T98">
        <v>6</v>
      </c>
      <c r="U98">
        <v>3</v>
      </c>
      <c r="V98">
        <v>4</v>
      </c>
      <c r="W98" t="s">
        <v>66</v>
      </c>
      <c r="X98" t="s">
        <v>60</v>
      </c>
      <c r="Y98" t="s">
        <v>37</v>
      </c>
      <c r="Z98">
        <v>24</v>
      </c>
      <c r="AA98" t="s">
        <v>45</v>
      </c>
      <c r="AB98" t="s">
        <v>124</v>
      </c>
      <c r="AC98" t="s">
        <v>46</v>
      </c>
    </row>
    <row r="99" spans="1:29" x14ac:dyDescent="0.35">
      <c r="A99" t="s">
        <v>175</v>
      </c>
      <c r="B99" t="s">
        <v>29</v>
      </c>
      <c r="C99" s="1">
        <v>44722</v>
      </c>
      <c r="D99" s="2">
        <v>0.39930555555555558</v>
      </c>
      <c r="E99" s="2">
        <v>7.6388888888888893E-4</v>
      </c>
      <c r="K99" t="s">
        <v>86</v>
      </c>
      <c r="L99" t="s">
        <v>31</v>
      </c>
      <c r="M99" t="s">
        <v>42</v>
      </c>
      <c r="N99">
        <v>53</v>
      </c>
      <c r="O99" t="s">
        <v>76</v>
      </c>
      <c r="P99" t="s">
        <v>34</v>
      </c>
      <c r="Q99">
        <v>6</v>
      </c>
      <c r="R99">
        <v>6</v>
      </c>
      <c r="S99">
        <v>6</v>
      </c>
      <c r="T99">
        <v>6</v>
      </c>
      <c r="U99">
        <v>6</v>
      </c>
      <c r="V99">
        <v>6</v>
      </c>
      <c r="W99" t="s">
        <v>51</v>
      </c>
      <c r="X99" t="s">
        <v>82</v>
      </c>
      <c r="Y99" t="s">
        <v>37</v>
      </c>
      <c r="Z99">
        <v>25</v>
      </c>
      <c r="AA99" t="s">
        <v>50</v>
      </c>
      <c r="AB99" t="s">
        <v>126</v>
      </c>
      <c r="AC99" t="s">
        <v>46</v>
      </c>
    </row>
    <row r="100" spans="1:29" x14ac:dyDescent="0.35">
      <c r="A100" t="s">
        <v>176</v>
      </c>
      <c r="B100" t="s">
        <v>29</v>
      </c>
      <c r="C100" s="1">
        <v>44722</v>
      </c>
      <c r="D100" s="2">
        <v>0.39930555555555558</v>
      </c>
      <c r="E100" s="2">
        <v>1.6435185185185183E-3</v>
      </c>
      <c r="K100" t="s">
        <v>30</v>
      </c>
      <c r="L100" t="s">
        <v>31</v>
      </c>
      <c r="M100" t="s">
        <v>42</v>
      </c>
      <c r="N100">
        <v>53</v>
      </c>
      <c r="O100" t="s">
        <v>43</v>
      </c>
      <c r="P100" t="s">
        <v>34</v>
      </c>
      <c r="Q100">
        <v>4</v>
      </c>
      <c r="R100">
        <v>4</v>
      </c>
      <c r="S100">
        <v>6</v>
      </c>
      <c r="T100">
        <v>4</v>
      </c>
      <c r="U100">
        <v>5</v>
      </c>
      <c r="V100">
        <v>6</v>
      </c>
      <c r="W100" t="s">
        <v>59</v>
      </c>
      <c r="X100" t="s">
        <v>60</v>
      </c>
      <c r="Y100" t="s">
        <v>57</v>
      </c>
      <c r="Z100">
        <v>55</v>
      </c>
      <c r="AA100" t="s">
        <v>38</v>
      </c>
      <c r="AB100" t="s">
        <v>126</v>
      </c>
      <c r="AC100" t="s">
        <v>50</v>
      </c>
    </row>
    <row r="101" spans="1:29" x14ac:dyDescent="0.35">
      <c r="A101" t="s">
        <v>177</v>
      </c>
      <c r="B101" t="s">
        <v>29</v>
      </c>
      <c r="C101" s="1">
        <v>44722</v>
      </c>
      <c r="D101" s="2">
        <v>0.39999999999999997</v>
      </c>
      <c r="E101" s="2">
        <v>1.3425925925925925E-3</v>
      </c>
      <c r="K101" t="s">
        <v>30</v>
      </c>
      <c r="L101" t="s">
        <v>41</v>
      </c>
      <c r="M101" t="s">
        <v>68</v>
      </c>
      <c r="N101">
        <v>96</v>
      </c>
      <c r="O101" t="s">
        <v>50</v>
      </c>
      <c r="P101" t="s">
        <v>44</v>
      </c>
      <c r="Q101">
        <v>8</v>
      </c>
      <c r="R101">
        <v>10</v>
      </c>
      <c r="S101">
        <v>8</v>
      </c>
      <c r="T101">
        <v>7</v>
      </c>
      <c r="U101">
        <v>8</v>
      </c>
      <c r="V101">
        <v>10</v>
      </c>
      <c r="W101" t="s">
        <v>56</v>
      </c>
      <c r="X101" t="s">
        <v>36</v>
      </c>
      <c r="Y101" t="s">
        <v>57</v>
      </c>
      <c r="Z101">
        <v>30</v>
      </c>
      <c r="AA101" t="s">
        <v>38</v>
      </c>
      <c r="AB101" t="s">
        <v>126</v>
      </c>
      <c r="AC101" t="s">
        <v>39</v>
      </c>
    </row>
    <row r="102" spans="1:29" x14ac:dyDescent="0.35">
      <c r="A102" t="s">
        <v>178</v>
      </c>
      <c r="B102" t="s">
        <v>29</v>
      </c>
      <c r="C102" s="1">
        <v>44722</v>
      </c>
      <c r="D102" s="2">
        <v>0.39999999999999997</v>
      </c>
      <c r="E102" s="2">
        <v>8.1018518518518516E-4</v>
      </c>
      <c r="K102" t="s">
        <v>30</v>
      </c>
      <c r="L102" t="s">
        <v>31</v>
      </c>
      <c r="M102" t="s">
        <v>42</v>
      </c>
      <c r="N102">
        <v>53</v>
      </c>
      <c r="O102" t="s">
        <v>50</v>
      </c>
      <c r="P102" t="s">
        <v>34</v>
      </c>
      <c r="Q102">
        <v>9</v>
      </c>
      <c r="R102">
        <v>9</v>
      </c>
      <c r="S102">
        <v>9</v>
      </c>
      <c r="T102">
        <v>9</v>
      </c>
      <c r="U102">
        <v>7</v>
      </c>
      <c r="V102">
        <v>4</v>
      </c>
      <c r="W102" t="s">
        <v>59</v>
      </c>
      <c r="X102" t="s">
        <v>60</v>
      </c>
      <c r="Y102" t="s">
        <v>37</v>
      </c>
      <c r="Z102">
        <v>25</v>
      </c>
      <c r="AA102" t="s">
        <v>45</v>
      </c>
      <c r="AB102" t="s">
        <v>124</v>
      </c>
      <c r="AC102" t="s">
        <v>46</v>
      </c>
    </row>
    <row r="103" spans="1:29" x14ac:dyDescent="0.35">
      <c r="A103" t="s">
        <v>179</v>
      </c>
      <c r="B103" t="s">
        <v>29</v>
      </c>
      <c r="C103" s="1">
        <v>44722</v>
      </c>
      <c r="D103" s="2">
        <v>0.40069444444444446</v>
      </c>
      <c r="E103" s="2">
        <v>3.2407407407407406E-4</v>
      </c>
      <c r="K103" t="s">
        <v>30</v>
      </c>
      <c r="L103" t="s">
        <v>31</v>
      </c>
      <c r="M103" t="s">
        <v>73</v>
      </c>
      <c r="N103">
        <v>76</v>
      </c>
      <c r="O103" t="s">
        <v>50</v>
      </c>
      <c r="P103" t="s">
        <v>34</v>
      </c>
      <c r="Q103">
        <v>6</v>
      </c>
      <c r="R103">
        <v>9</v>
      </c>
      <c r="S103">
        <v>7</v>
      </c>
      <c r="T103">
        <v>6</v>
      </c>
      <c r="U103">
        <v>7</v>
      </c>
      <c r="V103">
        <v>7</v>
      </c>
      <c r="W103" t="s">
        <v>66</v>
      </c>
      <c r="X103" t="s">
        <v>60</v>
      </c>
      <c r="Y103" t="s">
        <v>37</v>
      </c>
      <c r="Z103">
        <v>28</v>
      </c>
      <c r="AA103" t="s">
        <v>38</v>
      </c>
      <c r="AB103" t="s">
        <v>126</v>
      </c>
      <c r="AC103" t="s">
        <v>39</v>
      </c>
    </row>
    <row r="104" spans="1:29" x14ac:dyDescent="0.35">
      <c r="A104" t="s">
        <v>180</v>
      </c>
      <c r="B104" t="s">
        <v>29</v>
      </c>
      <c r="C104" s="1">
        <v>44722</v>
      </c>
      <c r="D104" s="2">
        <v>0.40138888888888885</v>
      </c>
      <c r="E104" s="2">
        <v>1.6435185185185183E-3</v>
      </c>
      <c r="K104" t="s">
        <v>50</v>
      </c>
      <c r="L104" t="s">
        <v>31</v>
      </c>
      <c r="M104" t="s">
        <v>42</v>
      </c>
      <c r="N104">
        <v>53</v>
      </c>
      <c r="O104" t="s">
        <v>50</v>
      </c>
      <c r="P104" t="s">
        <v>34</v>
      </c>
      <c r="Q104">
        <v>8</v>
      </c>
      <c r="R104">
        <v>8</v>
      </c>
      <c r="S104">
        <v>9</v>
      </c>
      <c r="T104">
        <v>9</v>
      </c>
      <c r="U104">
        <v>10</v>
      </c>
      <c r="V104">
        <v>10</v>
      </c>
      <c r="W104" t="s">
        <v>56</v>
      </c>
      <c r="X104" t="s">
        <v>60</v>
      </c>
      <c r="Y104" t="s">
        <v>37</v>
      </c>
      <c r="Z104">
        <v>34</v>
      </c>
      <c r="AA104" t="s">
        <v>79</v>
      </c>
      <c r="AB104" t="s">
        <v>124</v>
      </c>
      <c r="AC104" t="s">
        <v>39</v>
      </c>
    </row>
    <row r="105" spans="1:29" x14ac:dyDescent="0.35">
      <c r="A105" t="s">
        <v>181</v>
      </c>
      <c r="B105" t="s">
        <v>29</v>
      </c>
      <c r="C105" s="1">
        <v>44722</v>
      </c>
      <c r="D105" s="2">
        <v>0.40138888888888885</v>
      </c>
      <c r="E105" s="2">
        <v>2.2916666666666667E-3</v>
      </c>
      <c r="K105" t="s">
        <v>30</v>
      </c>
      <c r="L105" t="s">
        <v>31</v>
      </c>
      <c r="M105" t="s">
        <v>49</v>
      </c>
      <c r="N105">
        <v>20</v>
      </c>
      <c r="O105" t="s">
        <v>76</v>
      </c>
      <c r="P105" t="s">
        <v>34</v>
      </c>
      <c r="Q105">
        <v>8</v>
      </c>
      <c r="R105">
        <v>10</v>
      </c>
      <c r="S105">
        <v>9</v>
      </c>
      <c r="T105">
        <v>9</v>
      </c>
      <c r="U105">
        <v>10</v>
      </c>
      <c r="V105">
        <v>8</v>
      </c>
      <c r="W105" t="s">
        <v>66</v>
      </c>
      <c r="X105" t="s">
        <v>60</v>
      </c>
      <c r="Y105" t="s">
        <v>57</v>
      </c>
      <c r="Z105">
        <v>28</v>
      </c>
      <c r="AA105" t="s">
        <v>50</v>
      </c>
      <c r="AB105" t="s">
        <v>124</v>
      </c>
      <c r="AC105" t="s">
        <v>71</v>
      </c>
    </row>
    <row r="106" spans="1:29" x14ac:dyDescent="0.35">
      <c r="A106" t="s">
        <v>182</v>
      </c>
      <c r="B106" t="s">
        <v>29</v>
      </c>
      <c r="C106" s="1">
        <v>44722</v>
      </c>
      <c r="D106" s="2">
        <v>0.40208333333333335</v>
      </c>
      <c r="E106" s="2">
        <v>1.3310185185185185E-3</v>
      </c>
      <c r="K106" t="s">
        <v>86</v>
      </c>
      <c r="L106" t="s">
        <v>41</v>
      </c>
      <c r="M106" t="s">
        <v>49</v>
      </c>
      <c r="N106">
        <v>20</v>
      </c>
      <c r="O106" t="s">
        <v>50</v>
      </c>
      <c r="P106" t="s">
        <v>50</v>
      </c>
      <c r="Q106">
        <v>7</v>
      </c>
      <c r="R106">
        <v>9</v>
      </c>
      <c r="S106">
        <v>7</v>
      </c>
      <c r="T106">
        <v>8</v>
      </c>
      <c r="U106">
        <v>8</v>
      </c>
      <c r="V106">
        <v>10</v>
      </c>
      <c r="W106" t="s">
        <v>66</v>
      </c>
      <c r="X106" t="s">
        <v>60</v>
      </c>
      <c r="Y106" t="s">
        <v>37</v>
      </c>
      <c r="Z106">
        <v>24</v>
      </c>
      <c r="AA106" t="s">
        <v>50</v>
      </c>
      <c r="AB106" t="s">
        <v>124</v>
      </c>
      <c r="AC106" t="s">
        <v>46</v>
      </c>
    </row>
    <row r="107" spans="1:29" x14ac:dyDescent="0.35">
      <c r="A107" t="s">
        <v>183</v>
      </c>
      <c r="B107" t="s">
        <v>29</v>
      </c>
      <c r="C107" s="1">
        <v>44722</v>
      </c>
      <c r="D107" s="2">
        <v>0.40208333333333335</v>
      </c>
      <c r="E107" s="2">
        <v>8.6805555555555551E-4</v>
      </c>
      <c r="K107" t="s">
        <v>86</v>
      </c>
      <c r="L107" t="s">
        <v>31</v>
      </c>
      <c r="M107" t="s">
        <v>49</v>
      </c>
      <c r="N107">
        <v>20</v>
      </c>
      <c r="O107" t="s">
        <v>33</v>
      </c>
      <c r="P107" t="s">
        <v>34</v>
      </c>
      <c r="Q107">
        <v>3</v>
      </c>
      <c r="R107">
        <v>7</v>
      </c>
      <c r="S107">
        <v>7</v>
      </c>
      <c r="T107">
        <v>7</v>
      </c>
      <c r="U107">
        <v>1</v>
      </c>
      <c r="V107">
        <v>2</v>
      </c>
      <c r="W107" t="s">
        <v>59</v>
      </c>
      <c r="X107" t="s">
        <v>60</v>
      </c>
      <c r="Y107" t="s">
        <v>37</v>
      </c>
      <c r="Z107">
        <v>31</v>
      </c>
      <c r="AA107" t="s">
        <v>38</v>
      </c>
      <c r="AB107" t="s">
        <v>126</v>
      </c>
      <c r="AC107" t="s">
        <v>53</v>
      </c>
    </row>
    <row r="108" spans="1:29" x14ac:dyDescent="0.35">
      <c r="A108" t="s">
        <v>184</v>
      </c>
      <c r="B108" t="s">
        <v>29</v>
      </c>
      <c r="C108" s="1">
        <v>44722</v>
      </c>
      <c r="D108" s="2">
        <v>0.40277777777777773</v>
      </c>
      <c r="E108" s="2">
        <v>1.4699074074074074E-3</v>
      </c>
      <c r="K108" t="s">
        <v>30</v>
      </c>
      <c r="L108" t="s">
        <v>31</v>
      </c>
      <c r="M108" t="s">
        <v>42</v>
      </c>
      <c r="N108">
        <v>53</v>
      </c>
      <c r="O108" t="s">
        <v>50</v>
      </c>
      <c r="P108" t="s">
        <v>50</v>
      </c>
      <c r="Q108">
        <v>3</v>
      </c>
      <c r="R108">
        <v>6</v>
      </c>
      <c r="S108">
        <v>6</v>
      </c>
      <c r="T108">
        <v>6</v>
      </c>
      <c r="U108">
        <v>4</v>
      </c>
      <c r="V108">
        <v>4</v>
      </c>
      <c r="W108" t="s">
        <v>51</v>
      </c>
      <c r="X108" t="s">
        <v>60</v>
      </c>
      <c r="Y108" t="s">
        <v>37</v>
      </c>
      <c r="Z108">
        <v>25</v>
      </c>
      <c r="AA108" t="s">
        <v>45</v>
      </c>
      <c r="AB108" t="s">
        <v>124</v>
      </c>
      <c r="AC108" t="s">
        <v>46</v>
      </c>
    </row>
    <row r="109" spans="1:29" x14ac:dyDescent="0.35">
      <c r="A109" t="s">
        <v>185</v>
      </c>
      <c r="B109" t="s">
        <v>29</v>
      </c>
      <c r="C109" s="1">
        <v>44722</v>
      </c>
      <c r="D109" s="2">
        <v>0.40277777777777773</v>
      </c>
      <c r="E109" s="2">
        <v>7.5231481481481471E-4</v>
      </c>
      <c r="K109" t="s">
        <v>30</v>
      </c>
      <c r="L109" t="s">
        <v>31</v>
      </c>
      <c r="M109" t="s">
        <v>32</v>
      </c>
      <c r="N109">
        <v>116</v>
      </c>
      <c r="O109" t="s">
        <v>43</v>
      </c>
      <c r="P109" t="s">
        <v>34</v>
      </c>
      <c r="Q109">
        <v>5</v>
      </c>
      <c r="R109">
        <v>1</v>
      </c>
      <c r="S109">
        <v>4</v>
      </c>
      <c r="T109">
        <v>3</v>
      </c>
      <c r="U109">
        <v>3</v>
      </c>
      <c r="V109">
        <v>4</v>
      </c>
      <c r="W109" t="s">
        <v>51</v>
      </c>
      <c r="X109" t="s">
        <v>60</v>
      </c>
      <c r="Y109" t="s">
        <v>57</v>
      </c>
      <c r="Z109">
        <v>38</v>
      </c>
      <c r="AA109" t="s">
        <v>38</v>
      </c>
      <c r="AB109" t="s">
        <v>124</v>
      </c>
      <c r="AC109" t="s">
        <v>39</v>
      </c>
    </row>
    <row r="110" spans="1:29" x14ac:dyDescent="0.35">
      <c r="A110" t="s">
        <v>186</v>
      </c>
      <c r="B110" t="s">
        <v>29</v>
      </c>
      <c r="C110" s="1">
        <v>44722</v>
      </c>
      <c r="D110" s="2">
        <v>0.40277777777777773</v>
      </c>
      <c r="E110" s="2">
        <v>1.0648148148148147E-3</v>
      </c>
      <c r="K110" t="s">
        <v>30</v>
      </c>
      <c r="L110" t="s">
        <v>41</v>
      </c>
      <c r="M110" t="s">
        <v>42</v>
      </c>
      <c r="N110">
        <v>53</v>
      </c>
      <c r="O110" t="s">
        <v>43</v>
      </c>
      <c r="P110" t="s">
        <v>34</v>
      </c>
      <c r="Q110">
        <v>5</v>
      </c>
      <c r="R110">
        <v>5</v>
      </c>
      <c r="S110">
        <v>5</v>
      </c>
      <c r="T110">
        <v>5</v>
      </c>
      <c r="U110">
        <v>4</v>
      </c>
      <c r="V110">
        <v>5</v>
      </c>
      <c r="W110" t="s">
        <v>66</v>
      </c>
      <c r="X110" t="s">
        <v>82</v>
      </c>
      <c r="Y110" t="s">
        <v>37</v>
      </c>
      <c r="Z110">
        <v>30</v>
      </c>
      <c r="AA110" t="s">
        <v>50</v>
      </c>
      <c r="AB110" t="s">
        <v>124</v>
      </c>
      <c r="AC110" t="s">
        <v>71</v>
      </c>
    </row>
    <row r="111" spans="1:29" x14ac:dyDescent="0.35">
      <c r="A111" t="s">
        <v>187</v>
      </c>
      <c r="B111" t="s">
        <v>29</v>
      </c>
      <c r="C111" s="1">
        <v>44722</v>
      </c>
      <c r="D111" s="2">
        <v>0.40277777777777773</v>
      </c>
      <c r="E111" s="2">
        <v>1.0648148148148147E-3</v>
      </c>
      <c r="K111" t="s">
        <v>30</v>
      </c>
      <c r="L111" t="s">
        <v>31</v>
      </c>
      <c r="M111" t="s">
        <v>49</v>
      </c>
      <c r="N111">
        <v>20</v>
      </c>
      <c r="O111" t="s">
        <v>76</v>
      </c>
      <c r="P111" t="s">
        <v>131</v>
      </c>
      <c r="Q111">
        <v>0</v>
      </c>
      <c r="R111">
        <v>0</v>
      </c>
      <c r="S111">
        <v>0</v>
      </c>
      <c r="T111">
        <v>2</v>
      </c>
      <c r="U111">
        <v>2</v>
      </c>
      <c r="V111">
        <v>5</v>
      </c>
      <c r="W111" t="s">
        <v>66</v>
      </c>
      <c r="X111" t="s">
        <v>52</v>
      </c>
      <c r="Y111" t="s">
        <v>37</v>
      </c>
      <c r="Z111">
        <v>25</v>
      </c>
      <c r="AA111" t="s">
        <v>95</v>
      </c>
      <c r="AB111" t="s">
        <v>124</v>
      </c>
      <c r="AC111" t="s">
        <v>46</v>
      </c>
    </row>
    <row r="112" spans="1:29" x14ac:dyDescent="0.35">
      <c r="A112" t="s">
        <v>188</v>
      </c>
      <c r="B112" t="s">
        <v>29</v>
      </c>
      <c r="C112" s="1">
        <v>44722</v>
      </c>
      <c r="D112" s="2">
        <v>0.40347222222222223</v>
      </c>
      <c r="E112" s="2">
        <v>7.8703703703703705E-4</v>
      </c>
      <c r="K112" t="s">
        <v>30</v>
      </c>
      <c r="L112" t="s">
        <v>31</v>
      </c>
      <c r="M112" t="s">
        <v>49</v>
      </c>
      <c r="N112">
        <v>20</v>
      </c>
      <c r="O112" t="s">
        <v>76</v>
      </c>
      <c r="P112" t="s">
        <v>34</v>
      </c>
      <c r="Q112">
        <v>1</v>
      </c>
      <c r="R112">
        <v>2</v>
      </c>
      <c r="S112">
        <v>1</v>
      </c>
      <c r="T112">
        <v>5</v>
      </c>
      <c r="U112">
        <v>6</v>
      </c>
      <c r="V112">
        <v>6</v>
      </c>
      <c r="W112" t="s">
        <v>66</v>
      </c>
      <c r="X112" t="s">
        <v>60</v>
      </c>
      <c r="Y112" t="s">
        <v>57</v>
      </c>
      <c r="Z112">
        <v>29</v>
      </c>
      <c r="AA112" t="s">
        <v>50</v>
      </c>
      <c r="AB112" t="s">
        <v>124</v>
      </c>
      <c r="AC112" t="s">
        <v>53</v>
      </c>
    </row>
    <row r="113" spans="1:29" x14ac:dyDescent="0.35">
      <c r="A113" t="s">
        <v>189</v>
      </c>
      <c r="B113" t="s">
        <v>29</v>
      </c>
      <c r="C113" s="1">
        <v>44722</v>
      </c>
      <c r="D113" s="2">
        <v>0.4055555555555555</v>
      </c>
      <c r="E113" s="2">
        <v>3.0902777777777782E-3</v>
      </c>
      <c r="K113" t="s">
        <v>63</v>
      </c>
      <c r="L113" t="s">
        <v>31</v>
      </c>
      <c r="M113" t="s">
        <v>55</v>
      </c>
      <c r="N113">
        <v>188</v>
      </c>
      <c r="O113" t="s">
        <v>43</v>
      </c>
      <c r="P113" t="s">
        <v>34</v>
      </c>
      <c r="Q113">
        <v>7</v>
      </c>
      <c r="R113">
        <v>5</v>
      </c>
      <c r="S113">
        <v>3</v>
      </c>
      <c r="T113">
        <v>6</v>
      </c>
      <c r="U113">
        <v>4</v>
      </c>
      <c r="V113">
        <v>4</v>
      </c>
      <c r="W113" t="s">
        <v>59</v>
      </c>
      <c r="X113" t="s">
        <v>52</v>
      </c>
      <c r="Y113" t="s">
        <v>37</v>
      </c>
      <c r="Z113">
        <v>21</v>
      </c>
      <c r="AA113" t="s">
        <v>50</v>
      </c>
      <c r="AB113" t="s">
        <v>126</v>
      </c>
      <c r="AC113" t="s">
        <v>39</v>
      </c>
    </row>
    <row r="114" spans="1:29" x14ac:dyDescent="0.35">
      <c r="A114" t="s">
        <v>190</v>
      </c>
      <c r="B114" t="s">
        <v>29</v>
      </c>
      <c r="C114" s="1">
        <v>44722</v>
      </c>
      <c r="D114" s="2">
        <v>0.4055555555555555</v>
      </c>
      <c r="E114" s="2">
        <v>1.3888888888888889E-3</v>
      </c>
      <c r="K114" t="s">
        <v>30</v>
      </c>
      <c r="L114" t="s">
        <v>31</v>
      </c>
      <c r="M114" t="s">
        <v>73</v>
      </c>
      <c r="N114">
        <v>76</v>
      </c>
      <c r="O114" t="s">
        <v>50</v>
      </c>
      <c r="P114" t="s">
        <v>50</v>
      </c>
      <c r="Q114">
        <v>5</v>
      </c>
      <c r="R114">
        <v>8</v>
      </c>
      <c r="S114">
        <v>8</v>
      </c>
      <c r="T114">
        <v>7</v>
      </c>
      <c r="U114">
        <v>6</v>
      </c>
      <c r="V114">
        <v>7</v>
      </c>
      <c r="W114" t="s">
        <v>56</v>
      </c>
      <c r="X114" t="s">
        <v>36</v>
      </c>
      <c r="Y114" t="s">
        <v>57</v>
      </c>
      <c r="Z114">
        <v>39</v>
      </c>
      <c r="AA114" t="s">
        <v>38</v>
      </c>
      <c r="AB114" t="s">
        <v>124</v>
      </c>
      <c r="AC114" t="s">
        <v>46</v>
      </c>
    </row>
    <row r="115" spans="1:29" x14ac:dyDescent="0.35">
      <c r="A115" t="s">
        <v>191</v>
      </c>
      <c r="B115" t="s">
        <v>29</v>
      </c>
      <c r="C115" s="1">
        <v>44722</v>
      </c>
      <c r="D115" s="2">
        <v>0.40625</v>
      </c>
      <c r="E115" s="2">
        <v>9.1435185185185185E-4</v>
      </c>
      <c r="K115" t="s">
        <v>86</v>
      </c>
      <c r="L115" t="s">
        <v>41</v>
      </c>
      <c r="M115" t="s">
        <v>49</v>
      </c>
      <c r="N115">
        <v>20</v>
      </c>
      <c r="O115" t="s">
        <v>50</v>
      </c>
      <c r="P115" t="s">
        <v>34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5</v>
      </c>
      <c r="W115" t="s">
        <v>66</v>
      </c>
      <c r="X115" t="s">
        <v>60</v>
      </c>
      <c r="Y115" t="s">
        <v>37</v>
      </c>
      <c r="Z115">
        <v>25</v>
      </c>
      <c r="AA115" t="s">
        <v>50</v>
      </c>
      <c r="AB115" t="s">
        <v>124</v>
      </c>
      <c r="AC115" t="s">
        <v>39</v>
      </c>
    </row>
    <row r="116" spans="1:29" x14ac:dyDescent="0.35">
      <c r="A116" t="s">
        <v>192</v>
      </c>
      <c r="B116" t="s">
        <v>29</v>
      </c>
      <c r="C116" s="1">
        <v>44722</v>
      </c>
      <c r="D116" s="2">
        <v>0.40625</v>
      </c>
      <c r="E116" s="2">
        <v>1.8055555555555557E-3</v>
      </c>
      <c r="K116" t="s">
        <v>50</v>
      </c>
      <c r="L116" t="s">
        <v>31</v>
      </c>
      <c r="M116" t="s">
        <v>68</v>
      </c>
      <c r="N116">
        <v>96</v>
      </c>
      <c r="O116" t="s">
        <v>43</v>
      </c>
      <c r="P116" t="s">
        <v>50</v>
      </c>
      <c r="Q116">
        <v>7</v>
      </c>
      <c r="R116">
        <v>9</v>
      </c>
      <c r="S116">
        <v>10</v>
      </c>
      <c r="T116">
        <v>6</v>
      </c>
      <c r="U116">
        <v>4</v>
      </c>
      <c r="V116">
        <v>4</v>
      </c>
      <c r="W116" t="s">
        <v>66</v>
      </c>
      <c r="X116" t="s">
        <v>50</v>
      </c>
      <c r="Y116" t="s">
        <v>57</v>
      </c>
      <c r="Z116">
        <v>42</v>
      </c>
      <c r="AA116" t="s">
        <v>38</v>
      </c>
      <c r="AB116" t="s">
        <v>126</v>
      </c>
      <c r="AC116" t="s">
        <v>71</v>
      </c>
    </row>
    <row r="117" spans="1:29" x14ac:dyDescent="0.35">
      <c r="A117" t="s">
        <v>193</v>
      </c>
      <c r="B117" t="s">
        <v>29</v>
      </c>
      <c r="C117" s="1">
        <v>44722</v>
      </c>
      <c r="D117" s="2">
        <v>0.4069444444444445</v>
      </c>
      <c r="E117" s="2">
        <v>5.5555555555555556E-4</v>
      </c>
      <c r="K117" t="s">
        <v>30</v>
      </c>
      <c r="L117" t="s">
        <v>41</v>
      </c>
      <c r="M117" t="s">
        <v>42</v>
      </c>
      <c r="N117">
        <v>53</v>
      </c>
      <c r="O117" t="s">
        <v>76</v>
      </c>
      <c r="P117" t="s">
        <v>44</v>
      </c>
      <c r="Q117">
        <v>10</v>
      </c>
      <c r="R117">
        <v>8</v>
      </c>
      <c r="S117">
        <v>9</v>
      </c>
      <c r="T117">
        <v>10</v>
      </c>
      <c r="U117">
        <v>10</v>
      </c>
      <c r="V117">
        <v>10</v>
      </c>
      <c r="W117" t="s">
        <v>51</v>
      </c>
      <c r="X117" t="s">
        <v>60</v>
      </c>
      <c r="Y117" t="s">
        <v>37</v>
      </c>
      <c r="Z117">
        <v>25</v>
      </c>
      <c r="AA117" t="s">
        <v>38</v>
      </c>
      <c r="AB117" t="s">
        <v>124</v>
      </c>
      <c r="AC117" t="s">
        <v>39</v>
      </c>
    </row>
    <row r="118" spans="1:29" x14ac:dyDescent="0.35">
      <c r="A118" t="s">
        <v>194</v>
      </c>
      <c r="B118" t="s">
        <v>29</v>
      </c>
      <c r="C118" s="1">
        <v>44722</v>
      </c>
      <c r="D118" s="2">
        <v>0.40763888888888888</v>
      </c>
      <c r="E118" s="2">
        <v>9.2592592592592585E-4</v>
      </c>
      <c r="K118" t="s">
        <v>63</v>
      </c>
      <c r="L118" t="s">
        <v>41</v>
      </c>
      <c r="M118" t="s">
        <v>68</v>
      </c>
      <c r="N118">
        <v>96</v>
      </c>
      <c r="O118" t="s">
        <v>43</v>
      </c>
      <c r="P118" t="s">
        <v>34</v>
      </c>
      <c r="Q118">
        <v>8</v>
      </c>
      <c r="R118">
        <v>7</v>
      </c>
      <c r="S118">
        <v>6</v>
      </c>
      <c r="T118">
        <v>6</v>
      </c>
      <c r="U118">
        <v>5</v>
      </c>
      <c r="V118">
        <v>9</v>
      </c>
      <c r="W118" t="s">
        <v>66</v>
      </c>
      <c r="X118" t="s">
        <v>60</v>
      </c>
      <c r="Y118" t="s">
        <v>37</v>
      </c>
      <c r="Z118">
        <v>22</v>
      </c>
      <c r="AA118" t="s">
        <v>38</v>
      </c>
      <c r="AB118" t="s">
        <v>124</v>
      </c>
      <c r="AC118" t="s">
        <v>39</v>
      </c>
    </row>
    <row r="119" spans="1:29" x14ac:dyDescent="0.35">
      <c r="A119" t="s">
        <v>195</v>
      </c>
      <c r="B119" t="s">
        <v>29</v>
      </c>
      <c r="C119" s="1">
        <v>44722</v>
      </c>
      <c r="D119" s="2">
        <v>0.40763888888888888</v>
      </c>
      <c r="E119" s="2">
        <v>1.4351851851851854E-3</v>
      </c>
      <c r="K119" t="s">
        <v>30</v>
      </c>
      <c r="L119" t="s">
        <v>41</v>
      </c>
      <c r="M119" t="s">
        <v>49</v>
      </c>
      <c r="N119">
        <v>20</v>
      </c>
      <c r="O119" t="s">
        <v>50</v>
      </c>
      <c r="P119" t="s">
        <v>34</v>
      </c>
      <c r="Q119">
        <v>1</v>
      </c>
      <c r="R119">
        <v>4</v>
      </c>
      <c r="S119">
        <v>4</v>
      </c>
      <c r="T119">
        <v>3</v>
      </c>
      <c r="V119">
        <v>5</v>
      </c>
      <c r="W119" t="s">
        <v>51</v>
      </c>
      <c r="X119" t="s">
        <v>60</v>
      </c>
      <c r="Y119" t="s">
        <v>37</v>
      </c>
      <c r="Z119">
        <v>23</v>
      </c>
      <c r="AA119" t="s">
        <v>50</v>
      </c>
      <c r="AB119" t="s">
        <v>120</v>
      </c>
      <c r="AC119" t="s">
        <v>71</v>
      </c>
    </row>
    <row r="120" spans="1:29" x14ac:dyDescent="0.35">
      <c r="A120" t="s">
        <v>196</v>
      </c>
      <c r="B120" t="s">
        <v>29</v>
      </c>
      <c r="C120" s="1">
        <v>44722</v>
      </c>
      <c r="D120" s="2">
        <v>0.40833333333333338</v>
      </c>
      <c r="E120" s="2">
        <v>1.8055555555555557E-3</v>
      </c>
      <c r="K120" t="s">
        <v>48</v>
      </c>
      <c r="L120" t="s">
        <v>31</v>
      </c>
      <c r="M120" t="s">
        <v>42</v>
      </c>
      <c r="N120">
        <v>53</v>
      </c>
      <c r="O120" t="s">
        <v>50</v>
      </c>
      <c r="P120" t="s">
        <v>112</v>
      </c>
      <c r="Q120">
        <v>6</v>
      </c>
      <c r="R120">
        <v>6</v>
      </c>
      <c r="S120">
        <v>6</v>
      </c>
      <c r="T120">
        <v>6</v>
      </c>
      <c r="U120">
        <v>6</v>
      </c>
      <c r="V120">
        <v>6</v>
      </c>
      <c r="W120" t="s">
        <v>59</v>
      </c>
      <c r="X120" t="s">
        <v>82</v>
      </c>
      <c r="Y120" t="s">
        <v>37</v>
      </c>
      <c r="Z120">
        <v>25</v>
      </c>
      <c r="AA120" t="s">
        <v>50</v>
      </c>
      <c r="AB120" t="s">
        <v>120</v>
      </c>
      <c r="AC120" t="s">
        <v>50</v>
      </c>
    </row>
    <row r="121" spans="1:29" x14ac:dyDescent="0.35">
      <c r="A121" t="s">
        <v>197</v>
      </c>
      <c r="B121" t="s">
        <v>29</v>
      </c>
      <c r="C121" s="1">
        <v>44722</v>
      </c>
      <c r="D121" s="2">
        <v>0.40833333333333338</v>
      </c>
      <c r="E121" s="2">
        <v>7.5231481481481471E-4</v>
      </c>
      <c r="K121" t="s">
        <v>48</v>
      </c>
      <c r="L121" t="s">
        <v>31</v>
      </c>
      <c r="M121" t="s">
        <v>73</v>
      </c>
      <c r="N121">
        <v>76</v>
      </c>
      <c r="O121" t="s">
        <v>50</v>
      </c>
      <c r="P121" t="s">
        <v>34</v>
      </c>
      <c r="Q121">
        <v>5</v>
      </c>
      <c r="R121">
        <v>7</v>
      </c>
      <c r="S121">
        <v>7</v>
      </c>
      <c r="T121">
        <v>6</v>
      </c>
      <c r="U121">
        <v>6</v>
      </c>
      <c r="V121">
        <v>7</v>
      </c>
      <c r="W121" t="s">
        <v>66</v>
      </c>
      <c r="X121" t="s">
        <v>60</v>
      </c>
      <c r="Y121" t="s">
        <v>37</v>
      </c>
      <c r="Z121">
        <v>45</v>
      </c>
      <c r="AA121" t="s">
        <v>45</v>
      </c>
      <c r="AB121" t="s">
        <v>126</v>
      </c>
      <c r="AC121" t="s">
        <v>39</v>
      </c>
    </row>
    <row r="122" spans="1:29" x14ac:dyDescent="0.35">
      <c r="A122" t="s">
        <v>198</v>
      </c>
      <c r="B122" t="s">
        <v>29</v>
      </c>
      <c r="C122" s="1">
        <v>44722</v>
      </c>
      <c r="D122" s="2">
        <v>0.40902777777777777</v>
      </c>
      <c r="E122" s="2">
        <v>1.0300925925925926E-3</v>
      </c>
      <c r="K122" t="s">
        <v>30</v>
      </c>
      <c r="L122" t="s">
        <v>31</v>
      </c>
      <c r="M122" t="s">
        <v>73</v>
      </c>
      <c r="N122">
        <v>76</v>
      </c>
      <c r="O122" t="s">
        <v>33</v>
      </c>
      <c r="P122" t="s">
        <v>50</v>
      </c>
      <c r="Q122">
        <v>7</v>
      </c>
      <c r="R122">
        <v>3</v>
      </c>
      <c r="S122">
        <v>8</v>
      </c>
      <c r="T122">
        <v>6</v>
      </c>
      <c r="U122">
        <v>8</v>
      </c>
      <c r="V122">
        <v>8</v>
      </c>
      <c r="W122" t="s">
        <v>51</v>
      </c>
      <c r="X122" t="s">
        <v>52</v>
      </c>
      <c r="Y122" t="s">
        <v>37</v>
      </c>
      <c r="Z122">
        <v>24</v>
      </c>
      <c r="AA122" t="s">
        <v>38</v>
      </c>
      <c r="AB122" t="s">
        <v>124</v>
      </c>
      <c r="AC122" t="s">
        <v>39</v>
      </c>
    </row>
    <row r="123" spans="1:29" x14ac:dyDescent="0.35">
      <c r="A123" t="s">
        <v>199</v>
      </c>
      <c r="B123" t="s">
        <v>29</v>
      </c>
      <c r="C123" s="1">
        <v>44722</v>
      </c>
      <c r="D123" s="2">
        <v>0.40902777777777777</v>
      </c>
      <c r="E123" s="2">
        <v>2.7430555555555559E-3</v>
      </c>
      <c r="K123" t="s">
        <v>86</v>
      </c>
      <c r="L123" t="s">
        <v>41</v>
      </c>
      <c r="M123" t="s">
        <v>49</v>
      </c>
      <c r="N123">
        <v>20</v>
      </c>
      <c r="O123" t="s">
        <v>50</v>
      </c>
      <c r="P123" t="s">
        <v>44</v>
      </c>
      <c r="Q123">
        <v>1</v>
      </c>
      <c r="R123">
        <v>9</v>
      </c>
      <c r="S123">
        <v>6</v>
      </c>
      <c r="T123">
        <v>0</v>
      </c>
      <c r="U123">
        <v>0</v>
      </c>
      <c r="V123">
        <v>0</v>
      </c>
      <c r="W123" t="s">
        <v>59</v>
      </c>
      <c r="X123" t="s">
        <v>60</v>
      </c>
      <c r="Y123" t="s">
        <v>37</v>
      </c>
      <c r="Z123">
        <v>25</v>
      </c>
      <c r="AA123" t="s">
        <v>38</v>
      </c>
      <c r="AC123" t="s">
        <v>53</v>
      </c>
    </row>
    <row r="124" spans="1:29" x14ac:dyDescent="0.35">
      <c r="A124" t="s">
        <v>200</v>
      </c>
      <c r="B124" t="s">
        <v>29</v>
      </c>
      <c r="C124" s="1">
        <v>44722</v>
      </c>
      <c r="D124" s="2">
        <v>0.41041666666666665</v>
      </c>
      <c r="E124" s="2">
        <v>1.1111111111111111E-3</v>
      </c>
      <c r="K124" t="s">
        <v>30</v>
      </c>
      <c r="L124" t="s">
        <v>31</v>
      </c>
      <c r="M124" t="s">
        <v>73</v>
      </c>
      <c r="N124">
        <v>76</v>
      </c>
      <c r="O124" t="s">
        <v>50</v>
      </c>
      <c r="P124" t="s">
        <v>34</v>
      </c>
      <c r="Q124">
        <v>9</v>
      </c>
      <c r="R124">
        <v>8</v>
      </c>
      <c r="S124">
        <v>9</v>
      </c>
      <c r="T124">
        <v>9</v>
      </c>
      <c r="U124">
        <v>8</v>
      </c>
      <c r="V124">
        <v>8</v>
      </c>
      <c r="W124" t="s">
        <v>59</v>
      </c>
      <c r="X124" t="s">
        <v>52</v>
      </c>
      <c r="Y124" t="s">
        <v>37</v>
      </c>
      <c r="Z124">
        <v>26</v>
      </c>
      <c r="AA124" t="s">
        <v>38</v>
      </c>
      <c r="AB124" t="s">
        <v>124</v>
      </c>
      <c r="AC124" t="s">
        <v>39</v>
      </c>
    </row>
    <row r="125" spans="1:29" x14ac:dyDescent="0.35">
      <c r="A125" t="s">
        <v>201</v>
      </c>
      <c r="B125" t="s">
        <v>29</v>
      </c>
      <c r="C125" s="1">
        <v>44722</v>
      </c>
      <c r="D125" s="2">
        <v>0.41250000000000003</v>
      </c>
      <c r="E125" s="2">
        <v>1.1689814814814816E-3</v>
      </c>
      <c r="K125" t="s">
        <v>30</v>
      </c>
      <c r="L125" t="s">
        <v>41</v>
      </c>
      <c r="M125" t="s">
        <v>42</v>
      </c>
      <c r="N125">
        <v>53</v>
      </c>
      <c r="O125" t="s">
        <v>76</v>
      </c>
      <c r="P125" t="s">
        <v>44</v>
      </c>
      <c r="Q125">
        <v>4</v>
      </c>
      <c r="R125">
        <v>7</v>
      </c>
      <c r="S125">
        <v>8</v>
      </c>
      <c r="T125">
        <v>8</v>
      </c>
      <c r="U125">
        <v>5</v>
      </c>
      <c r="V125">
        <v>7</v>
      </c>
      <c r="W125" t="s">
        <v>51</v>
      </c>
      <c r="X125" t="s">
        <v>60</v>
      </c>
      <c r="Y125" t="s">
        <v>37</v>
      </c>
      <c r="Z125">
        <v>23</v>
      </c>
      <c r="AA125" t="s">
        <v>45</v>
      </c>
      <c r="AB125" t="s">
        <v>124</v>
      </c>
      <c r="AC125" t="s">
        <v>46</v>
      </c>
    </row>
    <row r="126" spans="1:29" x14ac:dyDescent="0.35">
      <c r="A126" t="s">
        <v>202</v>
      </c>
      <c r="B126" t="s">
        <v>29</v>
      </c>
      <c r="C126" s="1">
        <v>44722</v>
      </c>
      <c r="D126" s="2">
        <v>0.41319444444444442</v>
      </c>
      <c r="E126" s="2">
        <v>1.1226851851851851E-3</v>
      </c>
      <c r="K126" t="s">
        <v>86</v>
      </c>
      <c r="L126" t="s">
        <v>31</v>
      </c>
      <c r="M126" t="s">
        <v>49</v>
      </c>
      <c r="N126">
        <v>20</v>
      </c>
      <c r="O126" t="s">
        <v>50</v>
      </c>
      <c r="P126" t="s">
        <v>34</v>
      </c>
      <c r="Q126">
        <v>1</v>
      </c>
      <c r="R126">
        <v>1</v>
      </c>
      <c r="S126">
        <v>1</v>
      </c>
      <c r="T126">
        <v>0</v>
      </c>
      <c r="U126">
        <v>0</v>
      </c>
      <c r="V126">
        <v>3</v>
      </c>
      <c r="W126" t="s">
        <v>59</v>
      </c>
      <c r="X126" t="s">
        <v>36</v>
      </c>
      <c r="Y126" t="s">
        <v>57</v>
      </c>
      <c r="Z126">
        <v>42</v>
      </c>
      <c r="AA126" t="s">
        <v>79</v>
      </c>
      <c r="AB126" t="s">
        <v>126</v>
      </c>
      <c r="AC126" t="s">
        <v>39</v>
      </c>
    </row>
    <row r="127" spans="1:29" x14ac:dyDescent="0.35">
      <c r="A127" t="s">
        <v>203</v>
      </c>
      <c r="B127" t="s">
        <v>29</v>
      </c>
      <c r="C127" s="1">
        <v>44722</v>
      </c>
      <c r="D127" s="2">
        <v>0.41388888888888892</v>
      </c>
      <c r="E127" s="2">
        <v>1.0416666666666667E-3</v>
      </c>
      <c r="K127" t="s">
        <v>50</v>
      </c>
      <c r="L127" t="s">
        <v>31</v>
      </c>
      <c r="M127" t="s">
        <v>42</v>
      </c>
      <c r="N127">
        <v>53</v>
      </c>
      <c r="O127" t="s">
        <v>78</v>
      </c>
      <c r="P127" t="s">
        <v>50</v>
      </c>
      <c r="Q127">
        <v>0</v>
      </c>
      <c r="R127">
        <v>0</v>
      </c>
      <c r="S127">
        <v>2</v>
      </c>
      <c r="T127">
        <v>0</v>
      </c>
      <c r="U127">
        <v>0</v>
      </c>
      <c r="V127">
        <v>0</v>
      </c>
      <c r="W127" t="s">
        <v>35</v>
      </c>
      <c r="X127" t="s">
        <v>52</v>
      </c>
      <c r="Y127" t="s">
        <v>57</v>
      </c>
      <c r="Z127">
        <v>42</v>
      </c>
      <c r="AA127" t="s">
        <v>38</v>
      </c>
      <c r="AB127" t="s">
        <v>124</v>
      </c>
      <c r="AC127" t="s">
        <v>53</v>
      </c>
    </row>
    <row r="128" spans="1:29" x14ac:dyDescent="0.35">
      <c r="A128" t="s">
        <v>204</v>
      </c>
      <c r="B128" t="s">
        <v>29</v>
      </c>
      <c r="C128" s="1">
        <v>44722</v>
      </c>
      <c r="D128" s="2">
        <v>0.4145833333333333</v>
      </c>
      <c r="E128" s="2">
        <v>9.9537037037037042E-4</v>
      </c>
      <c r="K128" t="s">
        <v>50</v>
      </c>
      <c r="L128" t="s">
        <v>41</v>
      </c>
      <c r="M128" t="s">
        <v>49</v>
      </c>
      <c r="N128">
        <v>20</v>
      </c>
      <c r="O128" t="s">
        <v>76</v>
      </c>
      <c r="P128" t="s">
        <v>34</v>
      </c>
      <c r="Q128">
        <v>0</v>
      </c>
      <c r="R128">
        <v>6</v>
      </c>
      <c r="S128">
        <v>5</v>
      </c>
      <c r="T128">
        <v>5</v>
      </c>
      <c r="U128">
        <v>3</v>
      </c>
      <c r="V128">
        <v>1</v>
      </c>
      <c r="W128" t="s">
        <v>66</v>
      </c>
      <c r="X128" t="s">
        <v>60</v>
      </c>
      <c r="Y128" t="s">
        <v>37</v>
      </c>
      <c r="Z128">
        <v>25</v>
      </c>
      <c r="AA128" t="s">
        <v>95</v>
      </c>
      <c r="AB128" t="s">
        <v>126</v>
      </c>
      <c r="AC128" t="s">
        <v>46</v>
      </c>
    </row>
    <row r="129" spans="1:29" x14ac:dyDescent="0.35">
      <c r="A129" t="s">
        <v>205</v>
      </c>
      <c r="B129" t="s">
        <v>29</v>
      </c>
      <c r="C129" s="1">
        <v>44722</v>
      </c>
      <c r="D129" s="2">
        <v>0.4152777777777778</v>
      </c>
      <c r="E129" s="2">
        <v>1.6666666666666668E-3</v>
      </c>
      <c r="K129" t="s">
        <v>30</v>
      </c>
      <c r="L129" t="s">
        <v>31</v>
      </c>
      <c r="M129" t="s">
        <v>68</v>
      </c>
      <c r="N129">
        <v>96</v>
      </c>
      <c r="O129" t="s">
        <v>76</v>
      </c>
      <c r="P129" t="s">
        <v>44</v>
      </c>
      <c r="Q129">
        <v>8</v>
      </c>
      <c r="R129">
        <v>10</v>
      </c>
      <c r="S129">
        <v>10</v>
      </c>
      <c r="T129">
        <v>10</v>
      </c>
      <c r="U129">
        <v>2</v>
      </c>
      <c r="V129">
        <v>7</v>
      </c>
      <c r="W129" t="s">
        <v>51</v>
      </c>
      <c r="X129" t="s">
        <v>36</v>
      </c>
      <c r="Y129" t="s">
        <v>37</v>
      </c>
      <c r="Z129">
        <v>38</v>
      </c>
      <c r="AA129" t="s">
        <v>38</v>
      </c>
      <c r="AB129" t="s">
        <v>126</v>
      </c>
      <c r="AC129" t="s">
        <v>39</v>
      </c>
    </row>
    <row r="130" spans="1:29" x14ac:dyDescent="0.35">
      <c r="A130" t="s">
        <v>206</v>
      </c>
      <c r="B130" t="s">
        <v>29</v>
      </c>
      <c r="C130" s="1">
        <v>44722</v>
      </c>
      <c r="D130" s="2">
        <v>0.4152777777777778</v>
      </c>
      <c r="E130" s="2">
        <v>1.9791666666666668E-3</v>
      </c>
      <c r="K130" t="s">
        <v>50</v>
      </c>
      <c r="L130" t="s">
        <v>41</v>
      </c>
      <c r="M130" t="s">
        <v>49</v>
      </c>
      <c r="N130">
        <v>20</v>
      </c>
      <c r="O130" t="s">
        <v>76</v>
      </c>
      <c r="P130" t="s">
        <v>34</v>
      </c>
      <c r="Q130">
        <v>5</v>
      </c>
      <c r="R130">
        <v>6</v>
      </c>
      <c r="S130">
        <v>6</v>
      </c>
      <c r="T130">
        <v>6</v>
      </c>
      <c r="U130">
        <v>6</v>
      </c>
      <c r="V130">
        <v>4</v>
      </c>
      <c r="W130" t="s">
        <v>51</v>
      </c>
      <c r="X130" t="s">
        <v>60</v>
      </c>
      <c r="Y130" t="s">
        <v>37</v>
      </c>
      <c r="Z130">
        <v>24</v>
      </c>
      <c r="AA130" t="s">
        <v>50</v>
      </c>
      <c r="AB130" t="s">
        <v>124</v>
      </c>
      <c r="AC130" t="s">
        <v>71</v>
      </c>
    </row>
    <row r="131" spans="1:29" x14ac:dyDescent="0.35">
      <c r="A131" t="s">
        <v>207</v>
      </c>
      <c r="B131" t="s">
        <v>29</v>
      </c>
      <c r="C131" s="1">
        <v>44722</v>
      </c>
      <c r="D131" s="2">
        <v>0.41736111111111113</v>
      </c>
      <c r="E131" s="2">
        <v>1.1226851851851851E-3</v>
      </c>
      <c r="K131" t="s">
        <v>30</v>
      </c>
      <c r="L131" t="s">
        <v>31</v>
      </c>
      <c r="M131" t="s">
        <v>73</v>
      </c>
      <c r="N131">
        <v>76</v>
      </c>
      <c r="O131" t="s">
        <v>78</v>
      </c>
      <c r="P131" t="s">
        <v>44</v>
      </c>
      <c r="Q131">
        <v>7</v>
      </c>
      <c r="R131">
        <v>10</v>
      </c>
      <c r="S131">
        <v>10</v>
      </c>
      <c r="T131">
        <v>10</v>
      </c>
      <c r="U131">
        <v>8</v>
      </c>
      <c r="V131">
        <v>10</v>
      </c>
      <c r="W131" t="s">
        <v>66</v>
      </c>
      <c r="X131" t="s">
        <v>52</v>
      </c>
      <c r="Y131" t="s">
        <v>37</v>
      </c>
      <c r="Z131">
        <v>28</v>
      </c>
      <c r="AA131" t="s">
        <v>38</v>
      </c>
      <c r="AB131" t="s">
        <v>124</v>
      </c>
      <c r="AC131" t="s">
        <v>39</v>
      </c>
    </row>
    <row r="132" spans="1:29" x14ac:dyDescent="0.35">
      <c r="A132" t="s">
        <v>208</v>
      </c>
      <c r="B132" t="s">
        <v>29</v>
      </c>
      <c r="C132" s="1">
        <v>44722</v>
      </c>
      <c r="D132" s="2">
        <v>0.41875000000000001</v>
      </c>
      <c r="E132" s="2">
        <v>7.6388888888888893E-4</v>
      </c>
      <c r="K132" t="s">
        <v>30</v>
      </c>
      <c r="L132" t="s">
        <v>41</v>
      </c>
      <c r="M132" t="s">
        <v>42</v>
      </c>
      <c r="N132">
        <v>53</v>
      </c>
      <c r="O132" t="s">
        <v>33</v>
      </c>
      <c r="P132" t="s">
        <v>34</v>
      </c>
      <c r="Q132">
        <v>1</v>
      </c>
      <c r="R132">
        <v>2</v>
      </c>
      <c r="S132">
        <v>8</v>
      </c>
      <c r="T132">
        <v>7</v>
      </c>
      <c r="U132">
        <v>0</v>
      </c>
      <c r="V132">
        <v>0</v>
      </c>
      <c r="W132" t="s">
        <v>59</v>
      </c>
      <c r="X132" t="s">
        <v>60</v>
      </c>
      <c r="Y132" t="s">
        <v>37</v>
      </c>
      <c r="Z132">
        <v>21</v>
      </c>
      <c r="AA132" t="s">
        <v>38</v>
      </c>
      <c r="AB132" t="s">
        <v>124</v>
      </c>
      <c r="AC132" t="s">
        <v>46</v>
      </c>
    </row>
    <row r="133" spans="1:29" x14ac:dyDescent="0.35">
      <c r="A133" t="s">
        <v>209</v>
      </c>
      <c r="B133" t="s">
        <v>29</v>
      </c>
      <c r="C133" s="1">
        <v>44722</v>
      </c>
      <c r="D133" s="2">
        <v>0.41875000000000001</v>
      </c>
      <c r="E133" s="2">
        <v>8.449074074074075E-4</v>
      </c>
      <c r="K133" t="s">
        <v>30</v>
      </c>
      <c r="L133" t="s">
        <v>31</v>
      </c>
      <c r="M133" t="s">
        <v>32</v>
      </c>
      <c r="N133">
        <v>116</v>
      </c>
      <c r="O133" t="s">
        <v>33</v>
      </c>
      <c r="P133" t="s">
        <v>44</v>
      </c>
      <c r="Q133">
        <v>10</v>
      </c>
      <c r="R133">
        <v>10</v>
      </c>
      <c r="S133">
        <v>10</v>
      </c>
      <c r="T133">
        <v>10</v>
      </c>
      <c r="U133">
        <v>10</v>
      </c>
      <c r="V133">
        <v>10</v>
      </c>
      <c r="W133" t="s">
        <v>56</v>
      </c>
      <c r="X133" t="s">
        <v>82</v>
      </c>
      <c r="Y133" t="s">
        <v>37</v>
      </c>
      <c r="Z133">
        <v>39</v>
      </c>
      <c r="AA133" t="s">
        <v>38</v>
      </c>
      <c r="AB133" t="s">
        <v>126</v>
      </c>
      <c r="AC133" t="s">
        <v>39</v>
      </c>
    </row>
    <row r="134" spans="1:29" x14ac:dyDescent="0.35">
      <c r="A134" t="s">
        <v>210</v>
      </c>
      <c r="B134" t="s">
        <v>29</v>
      </c>
      <c r="C134" s="1">
        <v>44722</v>
      </c>
      <c r="D134" s="2">
        <v>0.4201388888888889</v>
      </c>
      <c r="E134" s="2">
        <v>2.4189814814814816E-3</v>
      </c>
      <c r="K134" t="s">
        <v>30</v>
      </c>
      <c r="L134" t="s">
        <v>31</v>
      </c>
      <c r="M134" t="s">
        <v>49</v>
      </c>
      <c r="N134">
        <v>20</v>
      </c>
      <c r="O134" t="s">
        <v>76</v>
      </c>
      <c r="P134" t="s">
        <v>34</v>
      </c>
      <c r="Q134">
        <v>4</v>
      </c>
      <c r="R134">
        <v>5</v>
      </c>
      <c r="S134">
        <v>5</v>
      </c>
      <c r="T134">
        <v>5</v>
      </c>
      <c r="U134">
        <v>6</v>
      </c>
      <c r="V134">
        <v>8</v>
      </c>
      <c r="W134" t="s">
        <v>59</v>
      </c>
      <c r="X134" t="s">
        <v>52</v>
      </c>
      <c r="Y134" t="s">
        <v>37</v>
      </c>
      <c r="Z134">
        <v>23</v>
      </c>
      <c r="AA134" t="s">
        <v>50</v>
      </c>
      <c r="AB134" t="s">
        <v>124</v>
      </c>
      <c r="AC134" t="s">
        <v>46</v>
      </c>
    </row>
    <row r="135" spans="1:29" x14ac:dyDescent="0.35">
      <c r="A135" t="s">
        <v>211</v>
      </c>
      <c r="B135" t="s">
        <v>29</v>
      </c>
      <c r="C135" s="1">
        <v>44722</v>
      </c>
      <c r="D135" s="2">
        <v>0.4201388888888889</v>
      </c>
      <c r="E135" s="2">
        <v>8.9120370370370362E-4</v>
      </c>
      <c r="K135" t="s">
        <v>30</v>
      </c>
      <c r="L135" t="s">
        <v>41</v>
      </c>
      <c r="M135" t="s">
        <v>49</v>
      </c>
      <c r="N135">
        <v>20</v>
      </c>
      <c r="O135" t="s">
        <v>50</v>
      </c>
      <c r="P135" t="s">
        <v>44</v>
      </c>
      <c r="Q135">
        <v>1</v>
      </c>
      <c r="R135">
        <v>6</v>
      </c>
      <c r="S135">
        <v>4</v>
      </c>
      <c r="T135">
        <v>3</v>
      </c>
      <c r="U135">
        <v>5</v>
      </c>
      <c r="V135">
        <v>6</v>
      </c>
      <c r="W135" t="s">
        <v>66</v>
      </c>
      <c r="X135" t="s">
        <v>52</v>
      </c>
      <c r="Y135" t="s">
        <v>57</v>
      </c>
      <c r="Z135">
        <v>23</v>
      </c>
      <c r="AA135" t="s">
        <v>50</v>
      </c>
      <c r="AB135" t="s">
        <v>124</v>
      </c>
      <c r="AC135" t="s">
        <v>39</v>
      </c>
    </row>
    <row r="136" spans="1:29" x14ac:dyDescent="0.35">
      <c r="A136" t="s">
        <v>212</v>
      </c>
      <c r="B136" t="s">
        <v>29</v>
      </c>
      <c r="C136" s="1">
        <v>44722</v>
      </c>
      <c r="D136" s="2">
        <v>0.4201388888888889</v>
      </c>
      <c r="E136" s="2">
        <v>1.423611111111111E-3</v>
      </c>
      <c r="K136" t="s">
        <v>30</v>
      </c>
      <c r="L136" t="s">
        <v>31</v>
      </c>
      <c r="M136" t="s">
        <v>73</v>
      </c>
      <c r="N136">
        <v>76</v>
      </c>
      <c r="O136" t="s">
        <v>50</v>
      </c>
      <c r="P136" t="s">
        <v>44</v>
      </c>
      <c r="Q136">
        <v>8</v>
      </c>
      <c r="R136">
        <v>9</v>
      </c>
      <c r="S136">
        <v>8</v>
      </c>
      <c r="T136">
        <v>7</v>
      </c>
      <c r="U136">
        <v>7</v>
      </c>
      <c r="V136">
        <v>8</v>
      </c>
      <c r="W136" t="s">
        <v>66</v>
      </c>
      <c r="X136" t="s">
        <v>52</v>
      </c>
      <c r="Y136" t="s">
        <v>37</v>
      </c>
      <c r="Z136">
        <v>30</v>
      </c>
      <c r="AA136" t="s">
        <v>38</v>
      </c>
      <c r="AB136" t="s">
        <v>126</v>
      </c>
      <c r="AC136" t="s">
        <v>39</v>
      </c>
    </row>
    <row r="137" spans="1:29" x14ac:dyDescent="0.35">
      <c r="A137" t="s">
        <v>213</v>
      </c>
      <c r="B137" t="s">
        <v>29</v>
      </c>
      <c r="C137" s="1">
        <v>44722</v>
      </c>
      <c r="D137" s="2">
        <v>0.42083333333333334</v>
      </c>
      <c r="E137" s="2">
        <v>8.7962962962962962E-4</v>
      </c>
      <c r="K137" t="s">
        <v>30</v>
      </c>
      <c r="L137" t="s">
        <v>41</v>
      </c>
      <c r="M137" t="s">
        <v>42</v>
      </c>
      <c r="N137">
        <v>53</v>
      </c>
      <c r="O137" t="s">
        <v>50</v>
      </c>
      <c r="P137" t="s">
        <v>34</v>
      </c>
      <c r="Q137">
        <v>2</v>
      </c>
      <c r="R137">
        <v>6</v>
      </c>
      <c r="S137">
        <v>2</v>
      </c>
      <c r="T137">
        <v>3</v>
      </c>
      <c r="U137">
        <v>2</v>
      </c>
      <c r="V137">
        <v>2</v>
      </c>
      <c r="W137" t="s">
        <v>51</v>
      </c>
      <c r="X137" t="s">
        <v>60</v>
      </c>
      <c r="Y137" t="s">
        <v>37</v>
      </c>
      <c r="Z137">
        <v>26</v>
      </c>
      <c r="AA137" t="s">
        <v>50</v>
      </c>
      <c r="AB137" t="s">
        <v>126</v>
      </c>
      <c r="AC137" t="s">
        <v>39</v>
      </c>
    </row>
    <row r="138" spans="1:29" x14ac:dyDescent="0.35">
      <c r="A138" t="s">
        <v>214</v>
      </c>
      <c r="B138" t="s">
        <v>29</v>
      </c>
      <c r="C138" s="1">
        <v>44722</v>
      </c>
      <c r="D138" s="2">
        <v>0.42083333333333334</v>
      </c>
      <c r="E138" s="2">
        <v>1.5972222222222221E-3</v>
      </c>
      <c r="K138" t="s">
        <v>30</v>
      </c>
      <c r="L138" t="s">
        <v>31</v>
      </c>
      <c r="M138" t="s">
        <v>42</v>
      </c>
      <c r="N138">
        <v>53</v>
      </c>
      <c r="O138" t="s">
        <v>33</v>
      </c>
      <c r="P138" t="s">
        <v>44</v>
      </c>
      <c r="Q138">
        <v>3</v>
      </c>
      <c r="R138">
        <v>6</v>
      </c>
      <c r="S138">
        <v>4</v>
      </c>
      <c r="T138">
        <v>6</v>
      </c>
      <c r="U138">
        <v>4</v>
      </c>
      <c r="V138">
        <v>6</v>
      </c>
      <c r="W138" t="s">
        <v>66</v>
      </c>
      <c r="X138" t="s">
        <v>60</v>
      </c>
      <c r="Y138" t="s">
        <v>37</v>
      </c>
      <c r="Z138">
        <v>37</v>
      </c>
      <c r="AA138" t="s">
        <v>38</v>
      </c>
      <c r="AB138" t="s">
        <v>124</v>
      </c>
      <c r="AC138" t="s">
        <v>39</v>
      </c>
    </row>
    <row r="139" spans="1:29" x14ac:dyDescent="0.35">
      <c r="A139" t="s">
        <v>215</v>
      </c>
      <c r="B139" t="s">
        <v>29</v>
      </c>
      <c r="C139" s="1">
        <v>44722</v>
      </c>
      <c r="D139" s="2">
        <v>0.42222222222222222</v>
      </c>
      <c r="E139" s="2">
        <v>9.4907407407407408E-4</v>
      </c>
      <c r="K139" t="s">
        <v>30</v>
      </c>
      <c r="L139" t="s">
        <v>31</v>
      </c>
      <c r="M139" t="s">
        <v>73</v>
      </c>
      <c r="N139">
        <v>76</v>
      </c>
      <c r="O139" t="s">
        <v>33</v>
      </c>
      <c r="P139" t="s">
        <v>34</v>
      </c>
      <c r="Q139">
        <v>3</v>
      </c>
      <c r="R139">
        <v>5</v>
      </c>
      <c r="S139">
        <v>4</v>
      </c>
      <c r="T139">
        <v>5</v>
      </c>
      <c r="U139">
        <v>4</v>
      </c>
      <c r="V139">
        <v>4</v>
      </c>
      <c r="W139" t="s">
        <v>66</v>
      </c>
      <c r="X139" t="s">
        <v>60</v>
      </c>
      <c r="Y139" t="s">
        <v>57</v>
      </c>
      <c r="Z139">
        <v>31</v>
      </c>
      <c r="AA139" t="s">
        <v>38</v>
      </c>
      <c r="AB139" t="s">
        <v>124</v>
      </c>
      <c r="AC139" t="s">
        <v>39</v>
      </c>
    </row>
    <row r="140" spans="1:29" x14ac:dyDescent="0.35">
      <c r="A140" t="s">
        <v>216</v>
      </c>
      <c r="B140" t="s">
        <v>29</v>
      </c>
      <c r="C140" s="1">
        <v>44722</v>
      </c>
      <c r="D140" s="2">
        <v>0.42430555555555555</v>
      </c>
      <c r="E140" s="2">
        <v>1.423611111111111E-3</v>
      </c>
      <c r="K140" t="s">
        <v>30</v>
      </c>
      <c r="L140" t="s">
        <v>31</v>
      </c>
      <c r="M140" t="s">
        <v>49</v>
      </c>
      <c r="N140">
        <v>20</v>
      </c>
      <c r="O140" t="s">
        <v>43</v>
      </c>
      <c r="P140" t="s">
        <v>131</v>
      </c>
      <c r="Q140">
        <v>5</v>
      </c>
      <c r="R140">
        <v>2</v>
      </c>
      <c r="S140">
        <v>4</v>
      </c>
      <c r="T140">
        <v>3</v>
      </c>
      <c r="U140">
        <v>3</v>
      </c>
      <c r="V140">
        <v>3</v>
      </c>
      <c r="W140" t="s">
        <v>59</v>
      </c>
      <c r="X140" t="s">
        <v>52</v>
      </c>
      <c r="Y140" t="s">
        <v>57</v>
      </c>
      <c r="Z140">
        <v>25</v>
      </c>
      <c r="AA140" t="s">
        <v>50</v>
      </c>
      <c r="AB140" t="s">
        <v>124</v>
      </c>
      <c r="AC140" t="s">
        <v>53</v>
      </c>
    </row>
    <row r="141" spans="1:29" x14ac:dyDescent="0.35">
      <c r="A141" t="s">
        <v>217</v>
      </c>
      <c r="B141" t="s">
        <v>29</v>
      </c>
      <c r="C141" s="1">
        <v>44722</v>
      </c>
      <c r="D141" s="2">
        <v>0.42499999999999999</v>
      </c>
      <c r="E141" s="2">
        <v>1.4351851851851854E-3</v>
      </c>
      <c r="K141" t="s">
        <v>30</v>
      </c>
      <c r="L141" t="s">
        <v>31</v>
      </c>
      <c r="M141" t="s">
        <v>49</v>
      </c>
      <c r="N141">
        <v>20</v>
      </c>
      <c r="O141" t="s">
        <v>33</v>
      </c>
      <c r="P141" t="s">
        <v>34</v>
      </c>
      <c r="Q141">
        <v>2</v>
      </c>
      <c r="R141">
        <v>6</v>
      </c>
      <c r="S141">
        <v>6</v>
      </c>
      <c r="T141">
        <v>5</v>
      </c>
      <c r="U141">
        <v>4</v>
      </c>
      <c r="V141">
        <v>5</v>
      </c>
      <c r="W141" t="s">
        <v>51</v>
      </c>
      <c r="X141" t="s">
        <v>60</v>
      </c>
      <c r="Y141" t="s">
        <v>57</v>
      </c>
      <c r="Z141">
        <v>26</v>
      </c>
      <c r="AA141" t="s">
        <v>50</v>
      </c>
      <c r="AB141" t="s">
        <v>124</v>
      </c>
      <c r="AC141" t="s">
        <v>39</v>
      </c>
    </row>
    <row r="142" spans="1:29" x14ac:dyDescent="0.35">
      <c r="A142" t="s">
        <v>218</v>
      </c>
      <c r="B142" t="s">
        <v>29</v>
      </c>
      <c r="C142" s="1">
        <v>44722</v>
      </c>
      <c r="D142" s="2">
        <v>0.42569444444444443</v>
      </c>
      <c r="E142" s="2">
        <v>1.0185185185185186E-3</v>
      </c>
      <c r="K142" t="s">
        <v>30</v>
      </c>
      <c r="L142" t="s">
        <v>31</v>
      </c>
      <c r="M142" t="s">
        <v>73</v>
      </c>
      <c r="N142">
        <v>76</v>
      </c>
      <c r="O142" t="s">
        <v>33</v>
      </c>
      <c r="P142" t="s">
        <v>50</v>
      </c>
      <c r="Q142">
        <v>7</v>
      </c>
      <c r="R142">
        <v>8</v>
      </c>
      <c r="S142">
        <v>8</v>
      </c>
      <c r="T142">
        <v>8</v>
      </c>
      <c r="U142">
        <v>8</v>
      </c>
      <c r="V142">
        <v>7</v>
      </c>
      <c r="W142" t="s">
        <v>56</v>
      </c>
      <c r="X142" t="s">
        <v>60</v>
      </c>
      <c r="Y142" t="s">
        <v>37</v>
      </c>
      <c r="Z142">
        <v>30</v>
      </c>
      <c r="AA142" t="s">
        <v>38</v>
      </c>
      <c r="AB142" t="s">
        <v>124</v>
      </c>
      <c r="AC142" t="s">
        <v>39</v>
      </c>
    </row>
    <row r="143" spans="1:29" x14ac:dyDescent="0.35">
      <c r="A143" t="s">
        <v>219</v>
      </c>
      <c r="B143" t="s">
        <v>29</v>
      </c>
      <c r="C143" s="1">
        <v>44722</v>
      </c>
      <c r="D143" s="2">
        <v>0.42569444444444443</v>
      </c>
      <c r="E143" s="2">
        <v>1.1458333333333333E-3</v>
      </c>
      <c r="K143" t="s">
        <v>30</v>
      </c>
      <c r="L143" t="s">
        <v>31</v>
      </c>
      <c r="M143" t="s">
        <v>73</v>
      </c>
      <c r="N143">
        <v>76</v>
      </c>
      <c r="O143" t="s">
        <v>76</v>
      </c>
      <c r="P143" t="s">
        <v>34</v>
      </c>
      <c r="Q143">
        <v>9</v>
      </c>
      <c r="R143">
        <v>10</v>
      </c>
      <c r="S143">
        <v>10</v>
      </c>
      <c r="T143">
        <v>10</v>
      </c>
      <c r="U143">
        <v>7</v>
      </c>
      <c r="V143">
        <v>9</v>
      </c>
      <c r="W143" t="s">
        <v>66</v>
      </c>
      <c r="X143" t="s">
        <v>60</v>
      </c>
      <c r="Y143" t="s">
        <v>57</v>
      </c>
      <c r="Z143">
        <v>39</v>
      </c>
      <c r="AA143" t="s">
        <v>38</v>
      </c>
      <c r="AB143" t="s">
        <v>124</v>
      </c>
      <c r="AC143" t="s">
        <v>53</v>
      </c>
    </row>
    <row r="144" spans="1:29" x14ac:dyDescent="0.35">
      <c r="A144" t="s">
        <v>220</v>
      </c>
      <c r="B144" t="s">
        <v>29</v>
      </c>
      <c r="C144" s="1">
        <v>44722</v>
      </c>
      <c r="D144" s="2">
        <v>0.42777777777777781</v>
      </c>
      <c r="E144" s="2">
        <v>6.134259259259259E-4</v>
      </c>
      <c r="K144" t="s">
        <v>50</v>
      </c>
      <c r="L144" t="s">
        <v>41</v>
      </c>
      <c r="M144" t="s">
        <v>49</v>
      </c>
      <c r="N144">
        <v>20</v>
      </c>
      <c r="O144" t="s">
        <v>78</v>
      </c>
      <c r="P144" t="s">
        <v>34</v>
      </c>
      <c r="Q144">
        <v>1</v>
      </c>
      <c r="R144">
        <v>1</v>
      </c>
      <c r="S144">
        <v>1</v>
      </c>
      <c r="T144">
        <v>0</v>
      </c>
      <c r="U144">
        <v>0</v>
      </c>
      <c r="V144">
        <v>2</v>
      </c>
      <c r="W144" t="s">
        <v>51</v>
      </c>
      <c r="X144" t="s">
        <v>52</v>
      </c>
      <c r="Y144" t="s">
        <v>57</v>
      </c>
      <c r="Z144">
        <v>28</v>
      </c>
      <c r="AA144" t="s">
        <v>95</v>
      </c>
      <c r="AB144" t="s">
        <v>126</v>
      </c>
      <c r="AC144" t="s">
        <v>46</v>
      </c>
    </row>
    <row r="145" spans="1:29" x14ac:dyDescent="0.35">
      <c r="A145" t="s">
        <v>221</v>
      </c>
      <c r="B145" t="s">
        <v>29</v>
      </c>
      <c r="C145" s="1">
        <v>44722</v>
      </c>
      <c r="D145" s="2">
        <v>0.4291666666666667</v>
      </c>
      <c r="E145" s="2">
        <v>1.2268518518518518E-3</v>
      </c>
      <c r="K145" t="s">
        <v>30</v>
      </c>
      <c r="L145" t="s">
        <v>31</v>
      </c>
      <c r="M145" t="s">
        <v>73</v>
      </c>
      <c r="N145">
        <v>76</v>
      </c>
      <c r="O145" t="s">
        <v>43</v>
      </c>
      <c r="P145" t="s">
        <v>50</v>
      </c>
      <c r="Q145">
        <v>8</v>
      </c>
      <c r="R145">
        <v>8</v>
      </c>
      <c r="S145">
        <v>7</v>
      </c>
      <c r="T145">
        <v>7</v>
      </c>
      <c r="U145">
        <v>10</v>
      </c>
      <c r="V145">
        <v>10</v>
      </c>
      <c r="W145" t="s">
        <v>56</v>
      </c>
      <c r="X145" t="s">
        <v>52</v>
      </c>
      <c r="Y145" t="s">
        <v>37</v>
      </c>
      <c r="Z145">
        <v>22</v>
      </c>
      <c r="AA145" t="s">
        <v>38</v>
      </c>
      <c r="AB145" t="s">
        <v>124</v>
      </c>
      <c r="AC145" t="s">
        <v>50</v>
      </c>
    </row>
    <row r="146" spans="1:29" x14ac:dyDescent="0.35">
      <c r="A146" t="s">
        <v>222</v>
      </c>
      <c r="B146" t="s">
        <v>29</v>
      </c>
      <c r="C146" s="1">
        <v>44722</v>
      </c>
      <c r="D146" s="2">
        <v>0.42986111111111108</v>
      </c>
      <c r="E146" s="2">
        <v>1.9097222222222222E-3</v>
      </c>
      <c r="K146" t="s">
        <v>30</v>
      </c>
      <c r="L146" t="s">
        <v>31</v>
      </c>
      <c r="M146" t="s">
        <v>49</v>
      </c>
      <c r="N146">
        <v>20</v>
      </c>
      <c r="O146" t="s">
        <v>70</v>
      </c>
      <c r="P146" t="s">
        <v>34</v>
      </c>
      <c r="Q146">
        <v>3</v>
      </c>
      <c r="R146">
        <v>2</v>
      </c>
      <c r="S146">
        <v>4</v>
      </c>
      <c r="T146">
        <v>2</v>
      </c>
      <c r="U146">
        <v>2</v>
      </c>
      <c r="V146">
        <v>2</v>
      </c>
      <c r="W146" t="s">
        <v>66</v>
      </c>
      <c r="X146" t="s">
        <v>82</v>
      </c>
      <c r="Y146" t="s">
        <v>37</v>
      </c>
      <c r="Z146">
        <v>28</v>
      </c>
      <c r="AA146" t="s">
        <v>50</v>
      </c>
      <c r="AB146" t="s">
        <v>124</v>
      </c>
      <c r="AC146" t="s">
        <v>53</v>
      </c>
    </row>
    <row r="147" spans="1:29" x14ac:dyDescent="0.35">
      <c r="A147" t="s">
        <v>223</v>
      </c>
      <c r="B147" t="s">
        <v>29</v>
      </c>
      <c r="C147" s="1">
        <v>44722</v>
      </c>
      <c r="D147" s="2">
        <v>0.43055555555555558</v>
      </c>
      <c r="E147" s="2">
        <v>1.2037037037037038E-3</v>
      </c>
      <c r="K147" t="s">
        <v>50</v>
      </c>
      <c r="L147" t="s">
        <v>41</v>
      </c>
      <c r="M147" t="s">
        <v>55</v>
      </c>
      <c r="N147">
        <v>188</v>
      </c>
      <c r="O147" t="s">
        <v>76</v>
      </c>
      <c r="P147" t="s">
        <v>44</v>
      </c>
      <c r="Q147">
        <v>8</v>
      </c>
      <c r="R147">
        <v>10</v>
      </c>
      <c r="S147">
        <v>9</v>
      </c>
      <c r="T147">
        <v>7</v>
      </c>
      <c r="U147">
        <v>5</v>
      </c>
      <c r="V147">
        <v>5</v>
      </c>
      <c r="W147" t="s">
        <v>66</v>
      </c>
      <c r="X147" t="s">
        <v>36</v>
      </c>
      <c r="Y147" t="s">
        <v>37</v>
      </c>
      <c r="Z147">
        <v>33</v>
      </c>
      <c r="AA147" t="s">
        <v>38</v>
      </c>
      <c r="AB147" t="s">
        <v>126</v>
      </c>
      <c r="AC147" t="s">
        <v>39</v>
      </c>
    </row>
    <row r="148" spans="1:29" x14ac:dyDescent="0.35">
      <c r="A148" t="s">
        <v>224</v>
      </c>
      <c r="B148" t="s">
        <v>29</v>
      </c>
      <c r="C148" s="1">
        <v>44722</v>
      </c>
      <c r="D148" s="2">
        <v>0.43124999999999997</v>
      </c>
      <c r="E148" s="2">
        <v>3.5995370370370369E-3</v>
      </c>
      <c r="K148" t="s">
        <v>30</v>
      </c>
      <c r="L148" t="s">
        <v>31</v>
      </c>
      <c r="M148" t="s">
        <v>49</v>
      </c>
      <c r="N148">
        <v>20</v>
      </c>
      <c r="O148" t="s">
        <v>43</v>
      </c>
      <c r="P148" t="s">
        <v>50</v>
      </c>
      <c r="Q148">
        <v>2</v>
      </c>
      <c r="R148">
        <v>3</v>
      </c>
      <c r="S148">
        <v>3</v>
      </c>
      <c r="T148">
        <v>3</v>
      </c>
      <c r="U148">
        <v>2</v>
      </c>
      <c r="V148">
        <v>4</v>
      </c>
      <c r="W148" t="s">
        <v>66</v>
      </c>
      <c r="X148" t="s">
        <v>52</v>
      </c>
      <c r="Y148" t="s">
        <v>57</v>
      </c>
      <c r="Z148">
        <v>22</v>
      </c>
      <c r="AA148" t="s">
        <v>50</v>
      </c>
      <c r="AB148" t="s">
        <v>124</v>
      </c>
      <c r="AC148" t="s">
        <v>50</v>
      </c>
    </row>
    <row r="149" spans="1:29" x14ac:dyDescent="0.35">
      <c r="A149" t="s">
        <v>225</v>
      </c>
      <c r="B149" t="s">
        <v>29</v>
      </c>
      <c r="C149" s="1">
        <v>44722</v>
      </c>
      <c r="D149" s="2">
        <v>0.43263888888888885</v>
      </c>
      <c r="E149" s="2">
        <v>1.25E-3</v>
      </c>
      <c r="K149" t="s">
        <v>86</v>
      </c>
      <c r="L149" t="s">
        <v>41</v>
      </c>
      <c r="M149" t="s">
        <v>49</v>
      </c>
      <c r="N149">
        <v>20</v>
      </c>
      <c r="O149" t="s">
        <v>76</v>
      </c>
      <c r="P149" t="s">
        <v>34</v>
      </c>
      <c r="Q149">
        <v>3</v>
      </c>
      <c r="R149">
        <v>5</v>
      </c>
      <c r="S149">
        <v>5</v>
      </c>
      <c r="T149">
        <v>4</v>
      </c>
      <c r="U149">
        <v>4</v>
      </c>
      <c r="V149">
        <v>5</v>
      </c>
      <c r="W149" t="s">
        <v>66</v>
      </c>
      <c r="X149" t="s">
        <v>60</v>
      </c>
      <c r="Y149" t="s">
        <v>37</v>
      </c>
      <c r="Z149">
        <v>27</v>
      </c>
      <c r="AA149" t="s">
        <v>95</v>
      </c>
      <c r="AB149" t="s">
        <v>124</v>
      </c>
      <c r="AC149" t="s">
        <v>50</v>
      </c>
    </row>
    <row r="150" spans="1:29" x14ac:dyDescent="0.35">
      <c r="A150" t="s">
        <v>226</v>
      </c>
      <c r="B150" t="s">
        <v>29</v>
      </c>
      <c r="C150" s="1">
        <v>44722</v>
      </c>
      <c r="D150" s="2">
        <v>0.43402777777777773</v>
      </c>
      <c r="E150" s="2">
        <v>2.5694444444444445E-3</v>
      </c>
      <c r="K150" t="s">
        <v>30</v>
      </c>
      <c r="L150" t="s">
        <v>31</v>
      </c>
      <c r="M150" t="s">
        <v>32</v>
      </c>
      <c r="N150">
        <v>116</v>
      </c>
      <c r="O150" t="s">
        <v>50</v>
      </c>
      <c r="P150" t="s">
        <v>50</v>
      </c>
      <c r="Q150">
        <v>8</v>
      </c>
      <c r="R150">
        <v>8</v>
      </c>
      <c r="S150">
        <v>8</v>
      </c>
      <c r="T150">
        <v>8</v>
      </c>
      <c r="U150">
        <v>10</v>
      </c>
      <c r="V150">
        <v>10</v>
      </c>
      <c r="W150" t="s">
        <v>51</v>
      </c>
      <c r="X150" t="s">
        <v>52</v>
      </c>
      <c r="Y150" t="s">
        <v>37</v>
      </c>
      <c r="Z150">
        <v>37</v>
      </c>
      <c r="AA150" t="s">
        <v>38</v>
      </c>
      <c r="AB150" t="s">
        <v>124</v>
      </c>
      <c r="AC150" t="s">
        <v>50</v>
      </c>
    </row>
    <row r="151" spans="1:29" x14ac:dyDescent="0.35">
      <c r="A151" t="s">
        <v>227</v>
      </c>
      <c r="B151" t="s">
        <v>29</v>
      </c>
      <c r="C151" s="1">
        <v>44722</v>
      </c>
      <c r="D151" s="2">
        <v>0.43402777777777773</v>
      </c>
      <c r="E151" s="2">
        <v>1.5821759259259261E-2</v>
      </c>
      <c r="K151" t="s">
        <v>50</v>
      </c>
      <c r="L151" t="s">
        <v>41</v>
      </c>
      <c r="M151" t="s">
        <v>42</v>
      </c>
      <c r="N151">
        <v>53</v>
      </c>
      <c r="O151" t="s">
        <v>50</v>
      </c>
      <c r="P151" t="s">
        <v>44</v>
      </c>
      <c r="Q151">
        <v>3</v>
      </c>
      <c r="R151">
        <v>4</v>
      </c>
      <c r="S151">
        <v>5</v>
      </c>
      <c r="T151">
        <v>5</v>
      </c>
      <c r="U151">
        <v>4</v>
      </c>
      <c r="V151">
        <v>3</v>
      </c>
      <c r="W151" t="s">
        <v>59</v>
      </c>
      <c r="X151" t="s">
        <v>60</v>
      </c>
      <c r="Y151" t="s">
        <v>37</v>
      </c>
      <c r="Z151">
        <v>24</v>
      </c>
      <c r="AA151" t="s">
        <v>38</v>
      </c>
      <c r="AB151" t="s">
        <v>126</v>
      </c>
      <c r="AC151" t="s">
        <v>39</v>
      </c>
    </row>
    <row r="152" spans="1:29" x14ac:dyDescent="0.35">
      <c r="A152" t="s">
        <v>228</v>
      </c>
      <c r="B152" t="s">
        <v>29</v>
      </c>
      <c r="C152" s="1">
        <v>44722</v>
      </c>
      <c r="D152" s="2">
        <v>0.43541666666666662</v>
      </c>
      <c r="E152" s="2">
        <v>9.2592592592592585E-4</v>
      </c>
      <c r="K152" t="s">
        <v>30</v>
      </c>
      <c r="L152" t="s">
        <v>41</v>
      </c>
      <c r="M152" t="s">
        <v>42</v>
      </c>
      <c r="N152">
        <v>53</v>
      </c>
      <c r="O152" t="s">
        <v>33</v>
      </c>
      <c r="P152" t="s">
        <v>44</v>
      </c>
      <c r="Q152">
        <v>1</v>
      </c>
      <c r="R152">
        <v>4</v>
      </c>
      <c r="S152">
        <v>3</v>
      </c>
      <c r="T152">
        <v>2</v>
      </c>
      <c r="U152">
        <v>0</v>
      </c>
      <c r="V152">
        <v>6</v>
      </c>
      <c r="W152" t="s">
        <v>59</v>
      </c>
      <c r="X152" t="s">
        <v>60</v>
      </c>
      <c r="Y152" t="s">
        <v>37</v>
      </c>
      <c r="Z152">
        <v>25</v>
      </c>
      <c r="AA152" t="s">
        <v>79</v>
      </c>
      <c r="AB152" t="s">
        <v>126</v>
      </c>
      <c r="AC152" t="s">
        <v>46</v>
      </c>
    </row>
    <row r="153" spans="1:29" x14ac:dyDescent="0.35">
      <c r="A153" t="s">
        <v>229</v>
      </c>
      <c r="B153" t="s">
        <v>29</v>
      </c>
      <c r="C153" s="1">
        <v>44722</v>
      </c>
      <c r="D153" s="2">
        <v>0.43541666666666662</v>
      </c>
      <c r="E153" s="2">
        <v>9.7222222222222209E-4</v>
      </c>
      <c r="K153" t="s">
        <v>48</v>
      </c>
      <c r="L153" t="s">
        <v>41</v>
      </c>
      <c r="M153" t="s">
        <v>68</v>
      </c>
      <c r="N153">
        <v>96</v>
      </c>
      <c r="O153" t="s">
        <v>33</v>
      </c>
      <c r="P153" t="s">
        <v>44</v>
      </c>
      <c r="Q153">
        <v>8</v>
      </c>
      <c r="R153">
        <v>10</v>
      </c>
      <c r="S153">
        <v>8</v>
      </c>
      <c r="T153">
        <v>8</v>
      </c>
      <c r="U153">
        <v>9</v>
      </c>
      <c r="V153">
        <v>10</v>
      </c>
      <c r="W153" t="s">
        <v>66</v>
      </c>
      <c r="X153" t="s">
        <v>82</v>
      </c>
      <c r="Y153" t="s">
        <v>37</v>
      </c>
      <c r="Z153">
        <v>28</v>
      </c>
      <c r="AA153" t="s">
        <v>38</v>
      </c>
      <c r="AB153" t="s">
        <v>126</v>
      </c>
      <c r="AC153" t="s">
        <v>53</v>
      </c>
    </row>
    <row r="154" spans="1:29" x14ac:dyDescent="0.35">
      <c r="A154" t="s">
        <v>230</v>
      </c>
      <c r="B154" t="s">
        <v>29</v>
      </c>
      <c r="C154" s="1">
        <v>44722</v>
      </c>
      <c r="D154" s="2">
        <v>0.4368055555555555</v>
      </c>
      <c r="E154" s="2">
        <v>1.4699074074074074E-3</v>
      </c>
      <c r="K154" t="s">
        <v>30</v>
      </c>
      <c r="L154" t="s">
        <v>31</v>
      </c>
      <c r="M154" t="s">
        <v>42</v>
      </c>
      <c r="N154">
        <v>53</v>
      </c>
      <c r="O154" t="s">
        <v>50</v>
      </c>
      <c r="P154" t="s">
        <v>34</v>
      </c>
      <c r="Q154">
        <v>5</v>
      </c>
      <c r="R154">
        <v>5</v>
      </c>
      <c r="S154">
        <v>7</v>
      </c>
      <c r="T154">
        <v>7</v>
      </c>
      <c r="U154">
        <v>7</v>
      </c>
      <c r="V154">
        <v>7</v>
      </c>
      <c r="W154" t="s">
        <v>51</v>
      </c>
      <c r="X154" t="s">
        <v>60</v>
      </c>
      <c r="Y154" t="s">
        <v>37</v>
      </c>
      <c r="Z154">
        <v>32</v>
      </c>
      <c r="AA154" t="s">
        <v>79</v>
      </c>
      <c r="AB154" t="s">
        <v>124</v>
      </c>
      <c r="AC154" t="s">
        <v>39</v>
      </c>
    </row>
    <row r="155" spans="1:29" x14ac:dyDescent="0.35">
      <c r="A155" t="s">
        <v>231</v>
      </c>
      <c r="B155" t="s">
        <v>29</v>
      </c>
      <c r="C155" s="1">
        <v>44722</v>
      </c>
      <c r="D155" s="2">
        <v>0.4368055555555555</v>
      </c>
      <c r="E155" s="2">
        <v>1.0879629629629629E-3</v>
      </c>
      <c r="K155" t="s">
        <v>30</v>
      </c>
      <c r="L155" t="s">
        <v>31</v>
      </c>
      <c r="M155" t="s">
        <v>42</v>
      </c>
      <c r="N155">
        <v>53</v>
      </c>
      <c r="O155" t="s">
        <v>50</v>
      </c>
      <c r="P155" t="s">
        <v>34</v>
      </c>
      <c r="Q155">
        <v>0</v>
      </c>
      <c r="R155">
        <v>7</v>
      </c>
      <c r="S155">
        <v>7</v>
      </c>
      <c r="T155">
        <v>7</v>
      </c>
      <c r="U155">
        <v>0</v>
      </c>
      <c r="V155">
        <v>7</v>
      </c>
      <c r="W155" t="s">
        <v>51</v>
      </c>
      <c r="X155" t="s">
        <v>82</v>
      </c>
      <c r="Y155" t="s">
        <v>37</v>
      </c>
      <c r="Z155">
        <v>29</v>
      </c>
      <c r="AA155" t="s">
        <v>38</v>
      </c>
      <c r="AB155" t="s">
        <v>124</v>
      </c>
      <c r="AC155" t="s">
        <v>46</v>
      </c>
    </row>
    <row r="156" spans="1:29" x14ac:dyDescent="0.35">
      <c r="A156" t="s">
        <v>232</v>
      </c>
      <c r="B156" t="s">
        <v>29</v>
      </c>
      <c r="C156" s="1">
        <v>44722</v>
      </c>
      <c r="D156" s="2">
        <v>0.43958333333333338</v>
      </c>
      <c r="E156" s="2">
        <v>1.9675925925925928E-3</v>
      </c>
      <c r="K156" t="s">
        <v>30</v>
      </c>
      <c r="L156" t="s">
        <v>41</v>
      </c>
      <c r="M156" t="s">
        <v>42</v>
      </c>
      <c r="N156">
        <v>53</v>
      </c>
      <c r="O156" t="s">
        <v>33</v>
      </c>
      <c r="P156" t="s">
        <v>44</v>
      </c>
      <c r="Q156">
        <v>7</v>
      </c>
      <c r="R156">
        <v>5</v>
      </c>
      <c r="S156">
        <v>8</v>
      </c>
      <c r="T156">
        <v>6</v>
      </c>
      <c r="U156">
        <v>5</v>
      </c>
      <c r="V156">
        <v>10</v>
      </c>
      <c r="W156" t="s">
        <v>59</v>
      </c>
      <c r="X156" t="s">
        <v>50</v>
      </c>
      <c r="Y156" t="s">
        <v>57</v>
      </c>
      <c r="Z156">
        <v>26</v>
      </c>
      <c r="AA156" t="s">
        <v>50</v>
      </c>
      <c r="AB156" t="s">
        <v>126</v>
      </c>
      <c r="AC156" t="s">
        <v>39</v>
      </c>
    </row>
    <row r="157" spans="1:29" x14ac:dyDescent="0.35">
      <c r="A157" t="s">
        <v>233</v>
      </c>
      <c r="B157" t="s">
        <v>29</v>
      </c>
      <c r="C157" s="1">
        <v>44722</v>
      </c>
      <c r="D157" s="2">
        <v>0.44236111111111115</v>
      </c>
      <c r="E157" s="2">
        <v>2.0949074074074073E-3</v>
      </c>
      <c r="K157" t="s">
        <v>48</v>
      </c>
      <c r="L157" t="s">
        <v>31</v>
      </c>
      <c r="M157" t="s">
        <v>42</v>
      </c>
      <c r="N157">
        <v>53</v>
      </c>
      <c r="O157" t="s">
        <v>76</v>
      </c>
      <c r="P157" t="s">
        <v>34</v>
      </c>
      <c r="Q157">
        <v>0</v>
      </c>
      <c r="R157">
        <v>7</v>
      </c>
      <c r="S157">
        <v>5</v>
      </c>
      <c r="T157">
        <v>0</v>
      </c>
      <c r="U157">
        <v>0</v>
      </c>
      <c r="V157">
        <v>7</v>
      </c>
      <c r="W157" t="s">
        <v>66</v>
      </c>
      <c r="X157" t="s">
        <v>36</v>
      </c>
      <c r="Y157" t="s">
        <v>37</v>
      </c>
      <c r="Z157">
        <v>37</v>
      </c>
      <c r="AA157" t="s">
        <v>45</v>
      </c>
      <c r="AB157" t="s">
        <v>126</v>
      </c>
      <c r="AC157" t="s">
        <v>39</v>
      </c>
    </row>
    <row r="158" spans="1:29" x14ac:dyDescent="0.35">
      <c r="A158" t="s">
        <v>234</v>
      </c>
      <c r="B158" t="s">
        <v>29</v>
      </c>
      <c r="C158" s="1">
        <v>44722</v>
      </c>
      <c r="D158" s="2">
        <v>0.44375000000000003</v>
      </c>
      <c r="E158" s="2">
        <v>1.2037037037037038E-3</v>
      </c>
      <c r="K158" t="s">
        <v>30</v>
      </c>
      <c r="L158" t="s">
        <v>41</v>
      </c>
      <c r="M158" t="s">
        <v>42</v>
      </c>
      <c r="N158">
        <v>53</v>
      </c>
      <c r="O158" t="s">
        <v>50</v>
      </c>
      <c r="P158" t="s">
        <v>44</v>
      </c>
      <c r="Q158">
        <v>4</v>
      </c>
      <c r="R158">
        <v>6</v>
      </c>
      <c r="S158">
        <v>5</v>
      </c>
      <c r="T158">
        <v>4</v>
      </c>
      <c r="U158">
        <v>5</v>
      </c>
      <c r="V158">
        <v>6</v>
      </c>
      <c r="W158" t="s">
        <v>66</v>
      </c>
      <c r="X158" t="s">
        <v>60</v>
      </c>
      <c r="Y158" t="s">
        <v>37</v>
      </c>
      <c r="Z158">
        <v>25</v>
      </c>
      <c r="AA158" t="s">
        <v>38</v>
      </c>
      <c r="AB158" t="s">
        <v>124</v>
      </c>
      <c r="AC158" t="s">
        <v>39</v>
      </c>
    </row>
    <row r="159" spans="1:29" x14ac:dyDescent="0.35">
      <c r="A159" t="s">
        <v>235</v>
      </c>
      <c r="B159" t="s">
        <v>29</v>
      </c>
      <c r="C159" s="1">
        <v>44722</v>
      </c>
      <c r="D159" s="2">
        <v>0.44444444444444442</v>
      </c>
      <c r="E159" s="2">
        <v>1.1111111111111111E-3</v>
      </c>
      <c r="K159" t="s">
        <v>30</v>
      </c>
      <c r="L159" t="s">
        <v>41</v>
      </c>
      <c r="M159" t="s">
        <v>49</v>
      </c>
      <c r="N159">
        <v>20</v>
      </c>
      <c r="O159" t="s">
        <v>43</v>
      </c>
      <c r="P159" t="s">
        <v>50</v>
      </c>
      <c r="Q159">
        <v>4</v>
      </c>
      <c r="R159">
        <v>4</v>
      </c>
      <c r="S159">
        <v>5</v>
      </c>
      <c r="T159">
        <v>6</v>
      </c>
      <c r="U159">
        <v>6</v>
      </c>
      <c r="V159">
        <v>0</v>
      </c>
      <c r="W159" t="s">
        <v>59</v>
      </c>
      <c r="X159" t="s">
        <v>60</v>
      </c>
      <c r="Y159" t="s">
        <v>37</v>
      </c>
      <c r="Z159">
        <v>24</v>
      </c>
      <c r="AA159" t="s">
        <v>50</v>
      </c>
      <c r="AB159" t="s">
        <v>120</v>
      </c>
      <c r="AC159" t="s">
        <v>39</v>
      </c>
    </row>
    <row r="160" spans="1:29" x14ac:dyDescent="0.35">
      <c r="A160" t="s">
        <v>236</v>
      </c>
      <c r="B160" t="s">
        <v>29</v>
      </c>
      <c r="C160" s="1">
        <v>44722</v>
      </c>
      <c r="D160" s="2">
        <v>0.44513888888888892</v>
      </c>
      <c r="E160" s="2">
        <v>1.9097222222222222E-3</v>
      </c>
      <c r="K160" t="s">
        <v>50</v>
      </c>
      <c r="L160" t="s">
        <v>41</v>
      </c>
      <c r="M160" t="s">
        <v>65</v>
      </c>
      <c r="N160">
        <v>138</v>
      </c>
      <c r="O160" t="s">
        <v>43</v>
      </c>
      <c r="P160" t="s">
        <v>50</v>
      </c>
      <c r="Q160">
        <v>7</v>
      </c>
      <c r="R160">
        <v>8</v>
      </c>
      <c r="S160">
        <v>8</v>
      </c>
      <c r="T160">
        <v>8</v>
      </c>
      <c r="U160">
        <v>7</v>
      </c>
      <c r="V160">
        <v>8</v>
      </c>
      <c r="W160" t="s">
        <v>51</v>
      </c>
      <c r="X160" t="s">
        <v>60</v>
      </c>
      <c r="Y160" t="s">
        <v>37</v>
      </c>
      <c r="Z160">
        <v>52</v>
      </c>
      <c r="AA160" t="s">
        <v>38</v>
      </c>
      <c r="AB160" t="s">
        <v>124</v>
      </c>
      <c r="AC160" t="s">
        <v>39</v>
      </c>
    </row>
    <row r="161" spans="1:29" x14ac:dyDescent="0.35">
      <c r="A161" t="s">
        <v>237</v>
      </c>
      <c r="B161" t="s">
        <v>29</v>
      </c>
      <c r="C161" s="1">
        <v>44722</v>
      </c>
      <c r="D161" s="2">
        <v>0.4465277777777778</v>
      </c>
      <c r="E161" s="2">
        <v>3.0324074074074073E-3</v>
      </c>
      <c r="K161" t="s">
        <v>30</v>
      </c>
      <c r="L161" t="s">
        <v>31</v>
      </c>
      <c r="M161" t="s">
        <v>42</v>
      </c>
      <c r="N161">
        <v>53</v>
      </c>
      <c r="O161" t="s">
        <v>43</v>
      </c>
      <c r="P161" t="s">
        <v>34</v>
      </c>
      <c r="Q161">
        <v>6</v>
      </c>
      <c r="R161">
        <v>10</v>
      </c>
      <c r="S161">
        <v>3</v>
      </c>
      <c r="T161">
        <v>5</v>
      </c>
      <c r="U161">
        <v>0</v>
      </c>
      <c r="V161">
        <v>10</v>
      </c>
      <c r="W161" t="s">
        <v>59</v>
      </c>
      <c r="X161" t="s">
        <v>82</v>
      </c>
      <c r="Y161" t="s">
        <v>37</v>
      </c>
      <c r="Z161">
        <v>27</v>
      </c>
      <c r="AA161" t="s">
        <v>50</v>
      </c>
      <c r="AB161" t="s">
        <v>124</v>
      </c>
      <c r="AC161" t="s">
        <v>46</v>
      </c>
    </row>
    <row r="162" spans="1:29" x14ac:dyDescent="0.35">
      <c r="A162" t="s">
        <v>238</v>
      </c>
      <c r="B162" t="s">
        <v>29</v>
      </c>
      <c r="C162" s="1">
        <v>44722</v>
      </c>
      <c r="D162" s="2">
        <v>0.44930555555555557</v>
      </c>
      <c r="E162" s="2">
        <v>7.7546296296296304E-4</v>
      </c>
      <c r="K162" t="s">
        <v>30</v>
      </c>
      <c r="L162" t="s">
        <v>41</v>
      </c>
      <c r="M162" t="s">
        <v>32</v>
      </c>
      <c r="N162">
        <v>116</v>
      </c>
      <c r="O162" t="s">
        <v>33</v>
      </c>
      <c r="P162" t="s">
        <v>50</v>
      </c>
      <c r="Q162">
        <v>6</v>
      </c>
      <c r="R162">
        <v>6</v>
      </c>
      <c r="S162">
        <v>3</v>
      </c>
      <c r="T162">
        <v>3</v>
      </c>
      <c r="U162">
        <v>3</v>
      </c>
      <c r="V162">
        <v>3</v>
      </c>
      <c r="W162" t="s">
        <v>66</v>
      </c>
      <c r="X162" t="s">
        <v>60</v>
      </c>
      <c r="Y162" t="s">
        <v>57</v>
      </c>
      <c r="Z162">
        <v>29</v>
      </c>
      <c r="AA162" t="s">
        <v>38</v>
      </c>
      <c r="AB162" t="s">
        <v>126</v>
      </c>
      <c r="AC162" t="s">
        <v>39</v>
      </c>
    </row>
    <row r="163" spans="1:29" x14ac:dyDescent="0.35">
      <c r="A163" t="s">
        <v>239</v>
      </c>
      <c r="B163" t="s">
        <v>29</v>
      </c>
      <c r="C163" s="1">
        <v>44722</v>
      </c>
      <c r="D163" s="2">
        <v>0.4513888888888889</v>
      </c>
      <c r="E163" s="2">
        <v>1.1458333333333333E-3</v>
      </c>
      <c r="K163" t="s">
        <v>86</v>
      </c>
      <c r="L163" t="s">
        <v>41</v>
      </c>
      <c r="M163" t="s">
        <v>49</v>
      </c>
      <c r="N163">
        <v>20</v>
      </c>
      <c r="O163" t="s">
        <v>76</v>
      </c>
      <c r="P163" t="s">
        <v>34</v>
      </c>
      <c r="Q163">
        <v>3</v>
      </c>
      <c r="R163">
        <v>7</v>
      </c>
      <c r="S163">
        <v>6</v>
      </c>
      <c r="T163">
        <v>7</v>
      </c>
      <c r="U163">
        <v>0</v>
      </c>
      <c r="V163">
        <v>0</v>
      </c>
      <c r="W163" t="s">
        <v>59</v>
      </c>
      <c r="X163" t="s">
        <v>60</v>
      </c>
      <c r="Y163" t="s">
        <v>37</v>
      </c>
      <c r="Z163">
        <v>42</v>
      </c>
      <c r="AA163" t="s">
        <v>50</v>
      </c>
      <c r="AB163" t="s">
        <v>133</v>
      </c>
      <c r="AC163" t="s">
        <v>39</v>
      </c>
    </row>
    <row r="164" spans="1:29" x14ac:dyDescent="0.35">
      <c r="A164" t="s">
        <v>240</v>
      </c>
      <c r="B164" t="s">
        <v>29</v>
      </c>
      <c r="C164" s="1">
        <v>44722</v>
      </c>
      <c r="D164" s="2">
        <v>0.45277777777777778</v>
      </c>
      <c r="E164" s="2">
        <v>9.7222222222222209E-4</v>
      </c>
      <c r="K164" t="s">
        <v>30</v>
      </c>
      <c r="L164" t="s">
        <v>31</v>
      </c>
      <c r="M164" t="s">
        <v>42</v>
      </c>
      <c r="N164">
        <v>53</v>
      </c>
      <c r="O164" t="s">
        <v>70</v>
      </c>
      <c r="P164" t="s">
        <v>44</v>
      </c>
      <c r="Q164">
        <v>3</v>
      </c>
      <c r="R164">
        <v>5</v>
      </c>
      <c r="S164">
        <v>6</v>
      </c>
      <c r="T164">
        <v>4</v>
      </c>
      <c r="U164">
        <v>3</v>
      </c>
      <c r="V164">
        <v>7</v>
      </c>
      <c r="W164" t="s">
        <v>59</v>
      </c>
      <c r="X164" t="s">
        <v>50</v>
      </c>
      <c r="Y164" t="s">
        <v>37</v>
      </c>
      <c r="Z164">
        <v>28</v>
      </c>
      <c r="AA164" t="s">
        <v>38</v>
      </c>
      <c r="AB164" t="s">
        <v>126</v>
      </c>
      <c r="AC164" t="s">
        <v>39</v>
      </c>
    </row>
    <row r="165" spans="1:29" x14ac:dyDescent="0.35">
      <c r="A165" t="s">
        <v>241</v>
      </c>
      <c r="B165" t="s">
        <v>29</v>
      </c>
      <c r="C165" s="1">
        <v>44722</v>
      </c>
      <c r="D165" s="2">
        <v>0.45277777777777778</v>
      </c>
      <c r="E165" s="2">
        <v>1.8402777777777777E-3</v>
      </c>
      <c r="K165" t="s">
        <v>30</v>
      </c>
      <c r="L165" t="s">
        <v>31</v>
      </c>
      <c r="M165" t="s">
        <v>49</v>
      </c>
      <c r="N165">
        <v>20</v>
      </c>
      <c r="O165" t="s">
        <v>76</v>
      </c>
      <c r="P165" t="s">
        <v>34</v>
      </c>
      <c r="Q165">
        <v>8</v>
      </c>
      <c r="R165">
        <v>8</v>
      </c>
      <c r="S165">
        <v>8</v>
      </c>
      <c r="T165">
        <v>8</v>
      </c>
      <c r="U165">
        <v>8</v>
      </c>
      <c r="V165">
        <v>9</v>
      </c>
      <c r="W165" t="s">
        <v>66</v>
      </c>
      <c r="X165" t="s">
        <v>52</v>
      </c>
      <c r="Y165" t="s">
        <v>37</v>
      </c>
      <c r="Z165">
        <v>44</v>
      </c>
      <c r="AA165" t="s">
        <v>50</v>
      </c>
      <c r="AB165" t="s">
        <v>124</v>
      </c>
      <c r="AC165" t="s">
        <v>71</v>
      </c>
    </row>
    <row r="166" spans="1:29" x14ac:dyDescent="0.35">
      <c r="A166" t="s">
        <v>242</v>
      </c>
      <c r="B166" t="s">
        <v>29</v>
      </c>
      <c r="C166" s="1">
        <v>44722</v>
      </c>
      <c r="D166" s="2">
        <v>0.45347222222222222</v>
      </c>
      <c r="E166" s="2">
        <v>1.0416666666666667E-3</v>
      </c>
      <c r="K166" t="s">
        <v>48</v>
      </c>
      <c r="L166" t="s">
        <v>31</v>
      </c>
      <c r="M166" t="s">
        <v>49</v>
      </c>
      <c r="N166">
        <v>20</v>
      </c>
      <c r="O166" t="s">
        <v>76</v>
      </c>
      <c r="P166" t="s">
        <v>34</v>
      </c>
      <c r="Q166">
        <v>5</v>
      </c>
      <c r="R166">
        <v>5</v>
      </c>
      <c r="S166">
        <v>6</v>
      </c>
      <c r="T166">
        <v>5</v>
      </c>
      <c r="U166">
        <v>6</v>
      </c>
      <c r="V166">
        <v>7</v>
      </c>
      <c r="W166" t="s">
        <v>66</v>
      </c>
      <c r="X166" t="s">
        <v>36</v>
      </c>
      <c r="Y166" t="s">
        <v>37</v>
      </c>
      <c r="Z166">
        <v>23</v>
      </c>
      <c r="AA166" t="s">
        <v>50</v>
      </c>
      <c r="AB166" t="s">
        <v>124</v>
      </c>
      <c r="AC166" t="s">
        <v>39</v>
      </c>
    </row>
    <row r="167" spans="1:29" x14ac:dyDescent="0.35">
      <c r="A167" t="s">
        <v>243</v>
      </c>
      <c r="B167" t="s">
        <v>29</v>
      </c>
      <c r="C167" s="1">
        <v>44722</v>
      </c>
      <c r="D167" s="2">
        <v>0.45347222222222222</v>
      </c>
      <c r="E167" s="2">
        <v>8.564814814814815E-4</v>
      </c>
      <c r="K167" t="s">
        <v>30</v>
      </c>
      <c r="L167" t="s">
        <v>41</v>
      </c>
      <c r="M167" t="s">
        <v>42</v>
      </c>
      <c r="N167">
        <v>53</v>
      </c>
      <c r="O167" t="s">
        <v>50</v>
      </c>
      <c r="P167" t="s">
        <v>44</v>
      </c>
      <c r="Q167">
        <v>1</v>
      </c>
      <c r="R167">
        <v>2</v>
      </c>
      <c r="S167">
        <v>6</v>
      </c>
      <c r="T167">
        <v>4</v>
      </c>
      <c r="U167">
        <v>2</v>
      </c>
      <c r="V167">
        <v>0</v>
      </c>
      <c r="W167" t="s">
        <v>51</v>
      </c>
      <c r="X167" t="s">
        <v>60</v>
      </c>
      <c r="Y167" t="s">
        <v>37</v>
      </c>
      <c r="Z167">
        <v>27</v>
      </c>
      <c r="AA167" t="s">
        <v>38</v>
      </c>
      <c r="AB167" t="s">
        <v>124</v>
      </c>
      <c r="AC167" t="s">
        <v>71</v>
      </c>
    </row>
    <row r="168" spans="1:29" x14ac:dyDescent="0.35">
      <c r="A168" t="s">
        <v>244</v>
      </c>
      <c r="B168" t="s">
        <v>29</v>
      </c>
      <c r="C168" s="1">
        <v>44722</v>
      </c>
      <c r="D168" s="2">
        <v>0.45416666666666666</v>
      </c>
      <c r="E168" s="2">
        <v>7.5231481481481471E-4</v>
      </c>
      <c r="K168" t="s">
        <v>30</v>
      </c>
      <c r="L168" t="s">
        <v>41</v>
      </c>
      <c r="M168" t="s">
        <v>73</v>
      </c>
      <c r="N168">
        <v>76</v>
      </c>
      <c r="O168" t="s">
        <v>81</v>
      </c>
      <c r="P168" t="s">
        <v>34</v>
      </c>
      <c r="Q168">
        <v>3</v>
      </c>
      <c r="R168">
        <v>3</v>
      </c>
      <c r="S168">
        <v>3</v>
      </c>
      <c r="T168">
        <v>2</v>
      </c>
      <c r="U168">
        <v>2</v>
      </c>
      <c r="V168">
        <v>1</v>
      </c>
      <c r="W168" t="s">
        <v>66</v>
      </c>
      <c r="X168" t="s">
        <v>82</v>
      </c>
      <c r="Y168" t="s">
        <v>37</v>
      </c>
      <c r="Z168">
        <v>26</v>
      </c>
      <c r="AA168" t="s">
        <v>38</v>
      </c>
      <c r="AB168" t="s">
        <v>126</v>
      </c>
      <c r="AC168" t="s">
        <v>39</v>
      </c>
    </row>
    <row r="169" spans="1:29" x14ac:dyDescent="0.35">
      <c r="A169" t="s">
        <v>245</v>
      </c>
      <c r="B169" t="s">
        <v>29</v>
      </c>
      <c r="C169" s="1">
        <v>44722</v>
      </c>
      <c r="D169" s="2">
        <v>0.4548611111111111</v>
      </c>
      <c r="E169" s="2">
        <v>8.564814814814815E-4</v>
      </c>
      <c r="K169" t="s">
        <v>30</v>
      </c>
      <c r="L169" t="s">
        <v>31</v>
      </c>
      <c r="M169" t="s">
        <v>68</v>
      </c>
      <c r="N169">
        <v>96</v>
      </c>
      <c r="O169" t="s">
        <v>33</v>
      </c>
      <c r="P169" t="s">
        <v>50</v>
      </c>
      <c r="Q169">
        <v>3</v>
      </c>
      <c r="R169">
        <v>4</v>
      </c>
      <c r="S169">
        <v>4</v>
      </c>
      <c r="T169">
        <v>4</v>
      </c>
      <c r="U169">
        <v>1</v>
      </c>
      <c r="V169">
        <v>3</v>
      </c>
      <c r="W169" t="s">
        <v>66</v>
      </c>
      <c r="X169" t="s">
        <v>60</v>
      </c>
      <c r="Y169" t="s">
        <v>37</v>
      </c>
      <c r="Z169">
        <v>27</v>
      </c>
      <c r="AA169" t="s">
        <v>38</v>
      </c>
      <c r="AB169" t="s">
        <v>126</v>
      </c>
      <c r="AC169" t="s">
        <v>71</v>
      </c>
    </row>
    <row r="170" spans="1:29" x14ac:dyDescent="0.35">
      <c r="A170" t="s">
        <v>246</v>
      </c>
      <c r="B170" t="s">
        <v>29</v>
      </c>
      <c r="C170" s="1">
        <v>44722</v>
      </c>
      <c r="D170" s="2">
        <v>0.45555555555555555</v>
      </c>
      <c r="E170" s="2">
        <v>1.2152777777777778E-3</v>
      </c>
      <c r="K170" t="s">
        <v>30</v>
      </c>
      <c r="L170" t="s">
        <v>31</v>
      </c>
      <c r="M170" t="s">
        <v>73</v>
      </c>
      <c r="N170">
        <v>76</v>
      </c>
      <c r="O170" t="s">
        <v>50</v>
      </c>
      <c r="P170" t="s">
        <v>34</v>
      </c>
      <c r="Q170">
        <v>0</v>
      </c>
      <c r="R170">
        <v>0</v>
      </c>
      <c r="S170">
        <v>7</v>
      </c>
      <c r="T170">
        <v>1</v>
      </c>
      <c r="U170">
        <v>0</v>
      </c>
      <c r="V170">
        <v>9</v>
      </c>
      <c r="W170" t="s">
        <v>59</v>
      </c>
      <c r="X170" t="s">
        <v>60</v>
      </c>
      <c r="Y170" t="s">
        <v>37</v>
      </c>
      <c r="Z170">
        <v>33</v>
      </c>
      <c r="AA170" t="s">
        <v>45</v>
      </c>
      <c r="AB170" t="s">
        <v>124</v>
      </c>
      <c r="AC170" t="s">
        <v>46</v>
      </c>
    </row>
    <row r="171" spans="1:29" x14ac:dyDescent="0.35">
      <c r="A171" t="s">
        <v>247</v>
      </c>
      <c r="B171" t="s">
        <v>29</v>
      </c>
      <c r="C171" s="1">
        <v>44722</v>
      </c>
      <c r="D171" s="2">
        <v>0.45555555555555555</v>
      </c>
      <c r="E171" s="2">
        <v>1.2037037037037038E-3</v>
      </c>
      <c r="K171" t="s">
        <v>30</v>
      </c>
      <c r="L171" t="s">
        <v>31</v>
      </c>
      <c r="M171" t="s">
        <v>73</v>
      </c>
      <c r="N171">
        <v>76</v>
      </c>
      <c r="O171" t="s">
        <v>50</v>
      </c>
      <c r="P171" t="s">
        <v>34</v>
      </c>
      <c r="Q171">
        <v>8</v>
      </c>
      <c r="R171">
        <v>10</v>
      </c>
      <c r="S171">
        <v>10</v>
      </c>
      <c r="T171">
        <v>10</v>
      </c>
      <c r="U171">
        <v>10</v>
      </c>
      <c r="V171">
        <v>10</v>
      </c>
      <c r="W171" t="s">
        <v>51</v>
      </c>
      <c r="X171" t="s">
        <v>60</v>
      </c>
      <c r="Y171" t="s">
        <v>37</v>
      </c>
      <c r="Z171">
        <v>28</v>
      </c>
      <c r="AA171" t="s">
        <v>38</v>
      </c>
      <c r="AB171" t="s">
        <v>124</v>
      </c>
      <c r="AC171" t="s">
        <v>71</v>
      </c>
    </row>
    <row r="172" spans="1:29" x14ac:dyDescent="0.35">
      <c r="A172" t="s">
        <v>248</v>
      </c>
      <c r="B172" t="s">
        <v>29</v>
      </c>
      <c r="C172" s="1">
        <v>44722</v>
      </c>
      <c r="D172" s="2">
        <v>0.45833333333333331</v>
      </c>
      <c r="E172" s="2">
        <v>1.0300925925925926E-3</v>
      </c>
      <c r="K172" t="s">
        <v>30</v>
      </c>
      <c r="L172" t="s">
        <v>31</v>
      </c>
      <c r="M172" t="s">
        <v>49</v>
      </c>
      <c r="N172">
        <v>20</v>
      </c>
      <c r="O172" t="s">
        <v>76</v>
      </c>
      <c r="P172" t="s">
        <v>44</v>
      </c>
      <c r="Q172">
        <v>2</v>
      </c>
      <c r="R172">
        <v>8</v>
      </c>
      <c r="S172">
        <v>8</v>
      </c>
      <c r="T172">
        <v>7</v>
      </c>
      <c r="U172">
        <v>6</v>
      </c>
      <c r="V172">
        <v>9</v>
      </c>
      <c r="W172" t="s">
        <v>66</v>
      </c>
      <c r="X172" t="s">
        <v>60</v>
      </c>
      <c r="Y172" t="s">
        <v>37</v>
      </c>
      <c r="Z172">
        <v>32</v>
      </c>
      <c r="AA172" t="s">
        <v>50</v>
      </c>
      <c r="AB172" t="s">
        <v>124</v>
      </c>
      <c r="AC172" t="s">
        <v>53</v>
      </c>
    </row>
    <row r="173" spans="1:29" x14ac:dyDescent="0.35">
      <c r="A173" t="s">
        <v>249</v>
      </c>
      <c r="B173" t="s">
        <v>29</v>
      </c>
      <c r="C173" s="1">
        <v>44722</v>
      </c>
      <c r="D173" s="2">
        <v>0.46111111111111108</v>
      </c>
      <c r="E173" s="2">
        <v>1.8287037037037037E-3</v>
      </c>
      <c r="K173" t="s">
        <v>86</v>
      </c>
      <c r="L173" t="s">
        <v>31</v>
      </c>
      <c r="M173" t="s">
        <v>42</v>
      </c>
      <c r="N173">
        <v>53</v>
      </c>
      <c r="O173" t="s">
        <v>50</v>
      </c>
      <c r="P173" t="s">
        <v>34</v>
      </c>
      <c r="Q173">
        <v>2</v>
      </c>
      <c r="R173">
        <v>4</v>
      </c>
      <c r="S173">
        <v>6</v>
      </c>
      <c r="T173">
        <v>1</v>
      </c>
      <c r="U173">
        <v>1</v>
      </c>
      <c r="V173">
        <v>1</v>
      </c>
      <c r="W173" t="s">
        <v>35</v>
      </c>
      <c r="X173" t="s">
        <v>60</v>
      </c>
      <c r="Y173" t="s">
        <v>37</v>
      </c>
      <c r="Z173">
        <v>34</v>
      </c>
      <c r="AA173" t="s">
        <v>45</v>
      </c>
      <c r="AB173" t="s">
        <v>133</v>
      </c>
      <c r="AC173" t="s">
        <v>46</v>
      </c>
    </row>
    <row r="174" spans="1:29" x14ac:dyDescent="0.35">
      <c r="A174" t="s">
        <v>250</v>
      </c>
      <c r="B174" t="s">
        <v>29</v>
      </c>
      <c r="C174" s="1">
        <v>44722</v>
      </c>
      <c r="D174" s="2">
        <v>0.46111111111111108</v>
      </c>
      <c r="E174" s="2">
        <v>7.407407407407407E-4</v>
      </c>
      <c r="K174" t="s">
        <v>30</v>
      </c>
      <c r="L174" t="s">
        <v>41</v>
      </c>
      <c r="M174" t="s">
        <v>55</v>
      </c>
      <c r="N174">
        <v>188</v>
      </c>
      <c r="O174" t="s">
        <v>76</v>
      </c>
      <c r="P174" t="s">
        <v>34</v>
      </c>
      <c r="Q174">
        <v>10</v>
      </c>
      <c r="R174">
        <v>10</v>
      </c>
      <c r="S174">
        <v>10</v>
      </c>
      <c r="T174">
        <v>8</v>
      </c>
      <c r="U174">
        <v>10</v>
      </c>
      <c r="V174">
        <v>10</v>
      </c>
      <c r="W174" t="s">
        <v>51</v>
      </c>
      <c r="X174" t="s">
        <v>52</v>
      </c>
      <c r="Y174" t="s">
        <v>37</v>
      </c>
      <c r="Z174">
        <v>28</v>
      </c>
      <c r="AA174" t="s">
        <v>38</v>
      </c>
      <c r="AB174" t="s">
        <v>124</v>
      </c>
      <c r="AC174" t="s">
        <v>46</v>
      </c>
    </row>
    <row r="175" spans="1:29" x14ac:dyDescent="0.35">
      <c r="A175" t="s">
        <v>251</v>
      </c>
      <c r="B175" t="s">
        <v>29</v>
      </c>
      <c r="C175" s="1">
        <v>44722</v>
      </c>
      <c r="D175" s="2">
        <v>0.46458333333333335</v>
      </c>
      <c r="E175" s="2">
        <v>1.2847222222222223E-3</v>
      </c>
      <c r="K175" t="s">
        <v>63</v>
      </c>
      <c r="L175" t="s">
        <v>31</v>
      </c>
      <c r="M175" t="s">
        <v>65</v>
      </c>
      <c r="N175">
        <v>138</v>
      </c>
      <c r="O175" t="s">
        <v>70</v>
      </c>
      <c r="P175" t="s">
        <v>34</v>
      </c>
      <c r="Q175">
        <v>2</v>
      </c>
      <c r="R175">
        <v>4</v>
      </c>
      <c r="S175">
        <v>1</v>
      </c>
      <c r="T175">
        <v>3</v>
      </c>
      <c r="U175">
        <v>1</v>
      </c>
      <c r="V175">
        <v>7</v>
      </c>
      <c r="W175" t="s">
        <v>66</v>
      </c>
      <c r="X175" t="s">
        <v>60</v>
      </c>
      <c r="Y175" t="s">
        <v>37</v>
      </c>
      <c r="Z175">
        <v>27</v>
      </c>
      <c r="AA175" t="s">
        <v>95</v>
      </c>
      <c r="AB175" t="s">
        <v>124</v>
      </c>
      <c r="AC175" t="s">
        <v>50</v>
      </c>
    </row>
    <row r="176" spans="1:29" x14ac:dyDescent="0.35">
      <c r="A176" t="s">
        <v>252</v>
      </c>
      <c r="B176" t="s">
        <v>29</v>
      </c>
      <c r="C176" s="1">
        <v>44722</v>
      </c>
      <c r="D176" s="2">
        <v>0.46458333333333335</v>
      </c>
      <c r="E176" s="2">
        <v>1.0995370370370371E-3</v>
      </c>
      <c r="K176" t="s">
        <v>48</v>
      </c>
      <c r="L176" t="s">
        <v>31</v>
      </c>
      <c r="M176" t="s">
        <v>42</v>
      </c>
      <c r="N176">
        <v>53</v>
      </c>
      <c r="O176" t="s">
        <v>43</v>
      </c>
      <c r="P176" t="s">
        <v>34</v>
      </c>
      <c r="Q176">
        <v>2</v>
      </c>
      <c r="R176">
        <v>4</v>
      </c>
      <c r="S176">
        <v>5</v>
      </c>
      <c r="T176">
        <v>5</v>
      </c>
      <c r="U176">
        <v>4</v>
      </c>
      <c r="V176">
        <v>6</v>
      </c>
      <c r="W176" t="s">
        <v>59</v>
      </c>
      <c r="X176" t="s">
        <v>60</v>
      </c>
      <c r="Y176" t="s">
        <v>37</v>
      </c>
      <c r="Z176">
        <v>22</v>
      </c>
      <c r="AA176" t="s">
        <v>38</v>
      </c>
      <c r="AB176" t="s">
        <v>124</v>
      </c>
      <c r="AC176" t="s">
        <v>39</v>
      </c>
    </row>
    <row r="177" spans="1:29" x14ac:dyDescent="0.35">
      <c r="A177" t="s">
        <v>253</v>
      </c>
      <c r="B177" t="s">
        <v>29</v>
      </c>
      <c r="C177" s="1">
        <v>44722</v>
      </c>
      <c r="D177" s="2">
        <v>0.46597222222222223</v>
      </c>
      <c r="E177" s="2">
        <v>7.291666666666667E-4</v>
      </c>
      <c r="K177" t="s">
        <v>30</v>
      </c>
      <c r="L177" t="s">
        <v>41</v>
      </c>
      <c r="M177" t="s">
        <v>73</v>
      </c>
      <c r="N177">
        <v>76</v>
      </c>
      <c r="O177" t="s">
        <v>33</v>
      </c>
      <c r="P177" t="s">
        <v>34</v>
      </c>
      <c r="Q177">
        <v>3</v>
      </c>
      <c r="R177">
        <v>3</v>
      </c>
      <c r="S177">
        <v>4</v>
      </c>
      <c r="T177">
        <v>1</v>
      </c>
      <c r="U177">
        <v>2</v>
      </c>
      <c r="V177">
        <v>2</v>
      </c>
      <c r="W177" t="s">
        <v>66</v>
      </c>
      <c r="X177" t="s">
        <v>60</v>
      </c>
      <c r="Y177" t="s">
        <v>37</v>
      </c>
      <c r="Z177">
        <v>29</v>
      </c>
      <c r="AA177" t="s">
        <v>38</v>
      </c>
      <c r="AB177" t="s">
        <v>126</v>
      </c>
      <c r="AC177" t="s">
        <v>39</v>
      </c>
    </row>
    <row r="178" spans="1:29" x14ac:dyDescent="0.35">
      <c r="A178" t="s">
        <v>254</v>
      </c>
      <c r="B178" t="s">
        <v>29</v>
      </c>
      <c r="C178" s="1">
        <v>44722</v>
      </c>
      <c r="D178" s="2">
        <v>0.46736111111111112</v>
      </c>
      <c r="E178" s="2">
        <v>1.5856481481481479E-3</v>
      </c>
      <c r="K178" t="s">
        <v>30</v>
      </c>
      <c r="L178" t="s">
        <v>41</v>
      </c>
      <c r="M178" t="s">
        <v>73</v>
      </c>
      <c r="N178">
        <v>76</v>
      </c>
      <c r="O178" t="s">
        <v>33</v>
      </c>
      <c r="P178" t="s">
        <v>34</v>
      </c>
      <c r="Q178">
        <v>8</v>
      </c>
      <c r="R178">
        <v>10</v>
      </c>
      <c r="S178">
        <v>10</v>
      </c>
      <c r="T178">
        <v>8</v>
      </c>
      <c r="U178">
        <v>5</v>
      </c>
      <c r="V178">
        <v>7</v>
      </c>
      <c r="W178" t="s">
        <v>66</v>
      </c>
      <c r="X178" t="s">
        <v>52</v>
      </c>
      <c r="Y178" t="s">
        <v>57</v>
      </c>
      <c r="Z178">
        <v>31</v>
      </c>
      <c r="AA178" t="s">
        <v>38</v>
      </c>
      <c r="AB178" t="s">
        <v>126</v>
      </c>
      <c r="AC178" t="s">
        <v>39</v>
      </c>
    </row>
    <row r="179" spans="1:29" x14ac:dyDescent="0.35">
      <c r="A179" t="s">
        <v>255</v>
      </c>
      <c r="B179" t="s">
        <v>29</v>
      </c>
      <c r="C179" s="1">
        <v>44722</v>
      </c>
      <c r="D179" s="2">
        <v>0.46736111111111112</v>
      </c>
      <c r="E179" s="2">
        <v>1.1458333333333333E-3</v>
      </c>
      <c r="K179" t="s">
        <v>30</v>
      </c>
      <c r="L179" t="s">
        <v>41</v>
      </c>
      <c r="M179" t="s">
        <v>73</v>
      </c>
      <c r="N179">
        <v>76</v>
      </c>
      <c r="O179" t="s">
        <v>76</v>
      </c>
      <c r="P179" t="s">
        <v>34</v>
      </c>
      <c r="Q179">
        <v>4</v>
      </c>
      <c r="R179">
        <v>5</v>
      </c>
      <c r="S179">
        <v>5</v>
      </c>
      <c r="T179">
        <v>5</v>
      </c>
      <c r="U179">
        <v>4</v>
      </c>
      <c r="V179">
        <v>4</v>
      </c>
      <c r="W179" t="s">
        <v>51</v>
      </c>
      <c r="X179" t="s">
        <v>36</v>
      </c>
      <c r="Y179" t="s">
        <v>37</v>
      </c>
      <c r="Z179">
        <v>28</v>
      </c>
      <c r="AA179" t="s">
        <v>38</v>
      </c>
      <c r="AB179" t="s">
        <v>124</v>
      </c>
      <c r="AC179" t="s">
        <v>39</v>
      </c>
    </row>
    <row r="180" spans="1:29" x14ac:dyDescent="0.35">
      <c r="A180" t="s">
        <v>256</v>
      </c>
      <c r="B180" t="s">
        <v>29</v>
      </c>
      <c r="C180" s="1">
        <v>44722</v>
      </c>
      <c r="D180" s="2">
        <v>0.4680555555555555</v>
      </c>
      <c r="E180" s="2">
        <v>6.134259259259259E-4</v>
      </c>
      <c r="K180" t="s">
        <v>86</v>
      </c>
      <c r="L180" t="s">
        <v>41</v>
      </c>
      <c r="M180" t="s">
        <v>49</v>
      </c>
      <c r="N180">
        <v>20</v>
      </c>
      <c r="O180" t="s">
        <v>33</v>
      </c>
      <c r="P180" t="s">
        <v>34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 t="s">
        <v>66</v>
      </c>
      <c r="X180" t="s">
        <v>52</v>
      </c>
      <c r="Y180" t="s">
        <v>37</v>
      </c>
      <c r="Z180">
        <v>24</v>
      </c>
      <c r="AA180" t="s">
        <v>38</v>
      </c>
      <c r="AB180" t="s">
        <v>126</v>
      </c>
      <c r="AC180" t="s">
        <v>46</v>
      </c>
    </row>
    <row r="181" spans="1:29" x14ac:dyDescent="0.35">
      <c r="A181" t="s">
        <v>257</v>
      </c>
      <c r="B181" t="s">
        <v>29</v>
      </c>
      <c r="C181" s="1">
        <v>44722</v>
      </c>
      <c r="D181" s="2">
        <v>0.46875</v>
      </c>
      <c r="E181" s="2">
        <v>9.1435185185185185E-4</v>
      </c>
      <c r="K181" t="s">
        <v>30</v>
      </c>
      <c r="L181" t="s">
        <v>41</v>
      </c>
      <c r="M181" t="s">
        <v>68</v>
      </c>
      <c r="N181">
        <v>96</v>
      </c>
      <c r="O181" t="s">
        <v>50</v>
      </c>
      <c r="P181" t="s">
        <v>50</v>
      </c>
      <c r="Q181">
        <v>4</v>
      </c>
      <c r="R181">
        <v>5</v>
      </c>
      <c r="S181">
        <v>3</v>
      </c>
      <c r="T181">
        <v>4</v>
      </c>
      <c r="U181">
        <v>2</v>
      </c>
      <c r="V181">
        <v>3</v>
      </c>
      <c r="W181" t="s">
        <v>51</v>
      </c>
      <c r="X181" t="s">
        <v>82</v>
      </c>
      <c r="Y181" t="s">
        <v>37</v>
      </c>
      <c r="Z181">
        <v>34</v>
      </c>
      <c r="AA181" t="s">
        <v>38</v>
      </c>
      <c r="AB181" t="s">
        <v>126</v>
      </c>
      <c r="AC181" t="s">
        <v>39</v>
      </c>
    </row>
    <row r="182" spans="1:29" x14ac:dyDescent="0.35">
      <c r="A182" t="s">
        <v>258</v>
      </c>
      <c r="B182" t="s">
        <v>29</v>
      </c>
      <c r="C182" s="1">
        <v>44722</v>
      </c>
      <c r="D182" s="2">
        <v>0.47083333333333338</v>
      </c>
      <c r="E182" s="2">
        <v>8.7962962962962962E-4</v>
      </c>
      <c r="K182" t="s">
        <v>48</v>
      </c>
      <c r="L182" t="s">
        <v>41</v>
      </c>
      <c r="M182" t="s">
        <v>68</v>
      </c>
      <c r="N182">
        <v>96</v>
      </c>
      <c r="O182" t="s">
        <v>76</v>
      </c>
      <c r="P182" t="s">
        <v>34</v>
      </c>
      <c r="Q182">
        <v>5</v>
      </c>
      <c r="R182">
        <v>3</v>
      </c>
      <c r="S182">
        <v>5</v>
      </c>
      <c r="T182">
        <v>5</v>
      </c>
      <c r="U182">
        <v>4</v>
      </c>
      <c r="V182">
        <v>5</v>
      </c>
      <c r="W182" t="s">
        <v>59</v>
      </c>
      <c r="X182" t="s">
        <v>60</v>
      </c>
      <c r="Y182" t="s">
        <v>37</v>
      </c>
      <c r="Z182">
        <v>23</v>
      </c>
      <c r="AA182" t="s">
        <v>38</v>
      </c>
      <c r="AB182" t="s">
        <v>124</v>
      </c>
      <c r="AC182" t="s">
        <v>39</v>
      </c>
    </row>
    <row r="183" spans="1:29" x14ac:dyDescent="0.35">
      <c r="A183" t="s">
        <v>259</v>
      </c>
      <c r="B183" t="s">
        <v>29</v>
      </c>
      <c r="C183" s="1">
        <v>44722</v>
      </c>
      <c r="D183" s="2">
        <v>0.47083333333333338</v>
      </c>
      <c r="E183" s="2">
        <v>1.4814814814814814E-3</v>
      </c>
      <c r="K183" t="s">
        <v>86</v>
      </c>
      <c r="L183" t="s">
        <v>41</v>
      </c>
      <c r="M183" t="s">
        <v>42</v>
      </c>
      <c r="N183">
        <v>53</v>
      </c>
      <c r="O183" t="s">
        <v>81</v>
      </c>
      <c r="P183" t="s">
        <v>50</v>
      </c>
      <c r="Q183">
        <v>10</v>
      </c>
      <c r="R183">
        <v>4</v>
      </c>
      <c r="S183">
        <v>10</v>
      </c>
      <c r="T183">
        <v>10</v>
      </c>
      <c r="U183">
        <v>4</v>
      </c>
      <c r="V183">
        <v>10</v>
      </c>
      <c r="W183" t="s">
        <v>66</v>
      </c>
      <c r="X183" t="s">
        <v>36</v>
      </c>
      <c r="Y183" t="s">
        <v>37</v>
      </c>
      <c r="Z183">
        <v>32</v>
      </c>
      <c r="AA183" t="s">
        <v>50</v>
      </c>
      <c r="AB183" t="s">
        <v>126</v>
      </c>
      <c r="AC183" t="s">
        <v>39</v>
      </c>
    </row>
    <row r="184" spans="1:29" x14ac:dyDescent="0.35">
      <c r="A184" t="s">
        <v>260</v>
      </c>
      <c r="B184" t="s">
        <v>29</v>
      </c>
      <c r="C184" s="1">
        <v>44722</v>
      </c>
      <c r="D184" s="2">
        <v>0.47222222222222227</v>
      </c>
      <c r="E184" s="2">
        <v>1.0532407407407407E-3</v>
      </c>
      <c r="K184" t="s">
        <v>30</v>
      </c>
      <c r="L184" t="s">
        <v>31</v>
      </c>
      <c r="M184" t="s">
        <v>49</v>
      </c>
      <c r="N184">
        <v>20</v>
      </c>
      <c r="O184" t="s">
        <v>33</v>
      </c>
      <c r="P184" t="s">
        <v>44</v>
      </c>
      <c r="Q184">
        <v>6</v>
      </c>
      <c r="R184">
        <v>8</v>
      </c>
      <c r="S184">
        <v>6</v>
      </c>
      <c r="T184">
        <v>6</v>
      </c>
      <c r="U184">
        <v>8</v>
      </c>
      <c r="V184">
        <v>10</v>
      </c>
      <c r="W184" t="s">
        <v>51</v>
      </c>
      <c r="X184" t="s">
        <v>36</v>
      </c>
      <c r="Y184" t="s">
        <v>37</v>
      </c>
      <c r="Z184">
        <v>29</v>
      </c>
      <c r="AA184" t="s">
        <v>50</v>
      </c>
      <c r="AB184" t="s">
        <v>120</v>
      </c>
      <c r="AC184" t="s">
        <v>71</v>
      </c>
    </row>
    <row r="185" spans="1:29" x14ac:dyDescent="0.35">
      <c r="A185" t="s">
        <v>261</v>
      </c>
      <c r="B185" t="s">
        <v>29</v>
      </c>
      <c r="C185" s="1">
        <v>44722</v>
      </c>
      <c r="D185" s="2">
        <v>0.47361111111111115</v>
      </c>
      <c r="E185" s="2">
        <v>1.1458333333333333E-3</v>
      </c>
      <c r="K185" t="s">
        <v>30</v>
      </c>
      <c r="L185" t="s">
        <v>31</v>
      </c>
      <c r="M185" t="s">
        <v>49</v>
      </c>
      <c r="N185">
        <v>20</v>
      </c>
      <c r="O185" t="s">
        <v>78</v>
      </c>
      <c r="P185" t="s">
        <v>34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 t="s">
        <v>35</v>
      </c>
      <c r="X185" t="s">
        <v>60</v>
      </c>
      <c r="Y185" t="s">
        <v>37</v>
      </c>
      <c r="Z185">
        <v>34</v>
      </c>
      <c r="AA185" t="s">
        <v>50</v>
      </c>
      <c r="AB185" t="s">
        <v>124</v>
      </c>
      <c r="AC185" t="s">
        <v>53</v>
      </c>
    </row>
    <row r="186" spans="1:29" x14ac:dyDescent="0.35">
      <c r="A186" t="s">
        <v>262</v>
      </c>
      <c r="B186" t="s">
        <v>29</v>
      </c>
      <c r="C186" s="1">
        <v>44722</v>
      </c>
      <c r="D186" s="2">
        <v>0.47361111111111115</v>
      </c>
      <c r="E186" s="2">
        <v>6.3657407407407402E-4</v>
      </c>
      <c r="K186" t="s">
        <v>30</v>
      </c>
      <c r="L186" t="s">
        <v>41</v>
      </c>
      <c r="M186" t="s">
        <v>73</v>
      </c>
      <c r="N186">
        <v>76</v>
      </c>
      <c r="O186" t="s">
        <v>43</v>
      </c>
      <c r="P186" t="s">
        <v>34</v>
      </c>
      <c r="Q186">
        <v>7</v>
      </c>
      <c r="R186">
        <v>5</v>
      </c>
      <c r="S186">
        <v>5</v>
      </c>
      <c r="T186">
        <v>7</v>
      </c>
      <c r="U186">
        <v>9</v>
      </c>
      <c r="V186">
        <v>10</v>
      </c>
      <c r="W186" t="s">
        <v>56</v>
      </c>
      <c r="X186" t="s">
        <v>36</v>
      </c>
      <c r="Y186" t="s">
        <v>37</v>
      </c>
      <c r="Z186">
        <v>24</v>
      </c>
      <c r="AA186" t="s">
        <v>79</v>
      </c>
      <c r="AB186" t="s">
        <v>124</v>
      </c>
      <c r="AC186" t="s">
        <v>39</v>
      </c>
    </row>
    <row r="187" spans="1:29" x14ac:dyDescent="0.35">
      <c r="A187" t="s">
        <v>263</v>
      </c>
      <c r="B187" t="s">
        <v>29</v>
      </c>
      <c r="C187" s="1">
        <v>44722</v>
      </c>
      <c r="D187" s="2">
        <v>0.47430555555555554</v>
      </c>
      <c r="E187" s="2">
        <v>1.6087962962962963E-3</v>
      </c>
      <c r="K187" t="s">
        <v>50</v>
      </c>
      <c r="L187" t="s">
        <v>41</v>
      </c>
      <c r="M187" t="s">
        <v>73</v>
      </c>
      <c r="N187">
        <v>76</v>
      </c>
      <c r="O187" t="s">
        <v>76</v>
      </c>
      <c r="P187" t="s">
        <v>34</v>
      </c>
      <c r="Q187">
        <v>0</v>
      </c>
      <c r="R187">
        <v>10</v>
      </c>
      <c r="S187">
        <v>6</v>
      </c>
      <c r="T187">
        <v>0</v>
      </c>
      <c r="U187">
        <v>0</v>
      </c>
      <c r="V187">
        <v>0</v>
      </c>
      <c r="W187" t="s">
        <v>59</v>
      </c>
      <c r="X187" t="s">
        <v>60</v>
      </c>
      <c r="Y187" t="s">
        <v>37</v>
      </c>
      <c r="Z187">
        <v>30</v>
      </c>
      <c r="AA187" t="s">
        <v>38</v>
      </c>
      <c r="AB187" t="s">
        <v>124</v>
      </c>
      <c r="AC187" t="s">
        <v>50</v>
      </c>
    </row>
    <row r="188" spans="1:29" x14ac:dyDescent="0.35">
      <c r="A188" t="s">
        <v>264</v>
      </c>
      <c r="B188" t="s">
        <v>29</v>
      </c>
      <c r="C188" s="1">
        <v>44722</v>
      </c>
      <c r="D188" s="2">
        <v>0.47569444444444442</v>
      </c>
      <c r="E188" s="2">
        <v>1.3773148148148147E-3</v>
      </c>
      <c r="K188" t="s">
        <v>50</v>
      </c>
      <c r="L188" t="s">
        <v>41</v>
      </c>
      <c r="M188" t="s">
        <v>68</v>
      </c>
      <c r="N188">
        <v>96</v>
      </c>
      <c r="O188" t="s">
        <v>50</v>
      </c>
      <c r="P188" t="s">
        <v>34</v>
      </c>
      <c r="Q188">
        <v>5</v>
      </c>
      <c r="R188">
        <v>5</v>
      </c>
      <c r="S188">
        <v>6</v>
      </c>
      <c r="T188">
        <v>4</v>
      </c>
      <c r="U188">
        <v>5</v>
      </c>
      <c r="V188">
        <v>5</v>
      </c>
      <c r="W188" t="s">
        <v>59</v>
      </c>
      <c r="X188" t="s">
        <v>60</v>
      </c>
      <c r="Y188" t="s">
        <v>37</v>
      </c>
      <c r="Z188">
        <v>24</v>
      </c>
      <c r="AA188" t="s">
        <v>38</v>
      </c>
      <c r="AB188" t="s">
        <v>126</v>
      </c>
      <c r="AC188" t="s">
        <v>71</v>
      </c>
    </row>
    <row r="189" spans="1:29" x14ac:dyDescent="0.35">
      <c r="A189" t="s">
        <v>265</v>
      </c>
      <c r="B189" t="s">
        <v>29</v>
      </c>
      <c r="C189" s="1">
        <v>44722</v>
      </c>
      <c r="D189" s="2">
        <v>0.47569444444444442</v>
      </c>
      <c r="E189" s="2">
        <v>1.2962962962962963E-3</v>
      </c>
      <c r="K189" t="s">
        <v>30</v>
      </c>
      <c r="L189" t="s">
        <v>31</v>
      </c>
      <c r="M189" t="s">
        <v>42</v>
      </c>
      <c r="N189">
        <v>53</v>
      </c>
      <c r="O189" t="s">
        <v>50</v>
      </c>
      <c r="P189" t="s">
        <v>34</v>
      </c>
      <c r="Q189">
        <v>6</v>
      </c>
      <c r="R189">
        <v>8</v>
      </c>
      <c r="S189">
        <v>10</v>
      </c>
      <c r="T189">
        <v>9</v>
      </c>
      <c r="U189">
        <v>7</v>
      </c>
      <c r="V189">
        <v>9</v>
      </c>
      <c r="W189" t="s">
        <v>51</v>
      </c>
      <c r="X189" t="s">
        <v>60</v>
      </c>
      <c r="Y189" t="s">
        <v>37</v>
      </c>
      <c r="Z189">
        <v>27</v>
      </c>
      <c r="AA189" t="s">
        <v>38</v>
      </c>
      <c r="AB189" t="s">
        <v>124</v>
      </c>
      <c r="AC189" t="s">
        <v>50</v>
      </c>
    </row>
    <row r="190" spans="1:29" x14ac:dyDescent="0.35">
      <c r="A190" t="s">
        <v>266</v>
      </c>
      <c r="B190" t="s">
        <v>29</v>
      </c>
      <c r="C190" s="1">
        <v>44722</v>
      </c>
      <c r="D190" s="2">
        <v>0.47847222222222219</v>
      </c>
      <c r="E190" s="2">
        <v>2.4305555555555556E-3</v>
      </c>
      <c r="K190" t="s">
        <v>30</v>
      </c>
      <c r="L190" t="s">
        <v>41</v>
      </c>
      <c r="M190" t="s">
        <v>49</v>
      </c>
      <c r="N190">
        <v>20</v>
      </c>
      <c r="O190" t="s">
        <v>43</v>
      </c>
      <c r="P190" t="s">
        <v>34</v>
      </c>
      <c r="Q190">
        <v>1</v>
      </c>
      <c r="R190">
        <v>2</v>
      </c>
      <c r="S190">
        <v>4</v>
      </c>
      <c r="T190">
        <v>4</v>
      </c>
      <c r="U190">
        <v>4</v>
      </c>
      <c r="V190">
        <v>5</v>
      </c>
      <c r="W190" t="s">
        <v>66</v>
      </c>
      <c r="X190" t="s">
        <v>60</v>
      </c>
      <c r="Y190" t="s">
        <v>37</v>
      </c>
      <c r="Z190">
        <v>21</v>
      </c>
      <c r="AA190" t="s">
        <v>95</v>
      </c>
      <c r="AB190" t="s">
        <v>124</v>
      </c>
      <c r="AC190" t="s">
        <v>46</v>
      </c>
    </row>
    <row r="191" spans="1:29" x14ac:dyDescent="0.35">
      <c r="A191" t="s">
        <v>267</v>
      </c>
      <c r="B191" t="s">
        <v>29</v>
      </c>
      <c r="C191" s="1">
        <v>44722</v>
      </c>
      <c r="D191" s="2">
        <v>0.48541666666666666</v>
      </c>
      <c r="E191" s="2">
        <v>2.7083333333333334E-3</v>
      </c>
      <c r="K191" t="s">
        <v>30</v>
      </c>
      <c r="L191" t="s">
        <v>41</v>
      </c>
      <c r="M191" t="s">
        <v>49</v>
      </c>
      <c r="N191">
        <v>20</v>
      </c>
      <c r="O191" t="s">
        <v>50</v>
      </c>
      <c r="P191" t="s">
        <v>34</v>
      </c>
      <c r="Q191">
        <v>3</v>
      </c>
      <c r="R191">
        <v>5</v>
      </c>
      <c r="S191">
        <v>9</v>
      </c>
      <c r="T191">
        <v>9</v>
      </c>
      <c r="V191">
        <v>8</v>
      </c>
      <c r="W191" t="s">
        <v>35</v>
      </c>
      <c r="X191" t="s">
        <v>50</v>
      </c>
      <c r="Y191" t="s">
        <v>37</v>
      </c>
      <c r="Z191">
        <v>31</v>
      </c>
      <c r="AA191" t="s">
        <v>50</v>
      </c>
      <c r="AB191" t="s">
        <v>126</v>
      </c>
      <c r="AC191" t="s">
        <v>53</v>
      </c>
    </row>
    <row r="192" spans="1:29" x14ac:dyDescent="0.35">
      <c r="A192" t="s">
        <v>268</v>
      </c>
      <c r="B192" t="s">
        <v>29</v>
      </c>
      <c r="C192" s="1">
        <v>44722</v>
      </c>
      <c r="D192" s="2">
        <v>0.4861111111111111</v>
      </c>
      <c r="E192" s="2">
        <v>1.8287037037037037E-3</v>
      </c>
      <c r="K192" t="s">
        <v>30</v>
      </c>
      <c r="L192" t="s">
        <v>31</v>
      </c>
      <c r="M192" t="s">
        <v>49</v>
      </c>
      <c r="N192">
        <v>20</v>
      </c>
      <c r="O192" t="s">
        <v>70</v>
      </c>
      <c r="P192" t="s">
        <v>44</v>
      </c>
      <c r="Q192">
        <v>5</v>
      </c>
      <c r="R192">
        <v>7</v>
      </c>
      <c r="S192">
        <v>5</v>
      </c>
      <c r="T192">
        <v>5</v>
      </c>
      <c r="U192">
        <v>5</v>
      </c>
      <c r="V192">
        <v>7</v>
      </c>
      <c r="W192" t="s">
        <v>59</v>
      </c>
      <c r="X192" t="s">
        <v>60</v>
      </c>
      <c r="Y192" t="s">
        <v>37</v>
      </c>
      <c r="Z192">
        <v>41</v>
      </c>
      <c r="AA192" t="s">
        <v>50</v>
      </c>
      <c r="AB192" t="s">
        <v>124</v>
      </c>
      <c r="AC192" t="s">
        <v>39</v>
      </c>
    </row>
    <row r="193" spans="1:29" x14ac:dyDescent="0.35">
      <c r="A193" t="s">
        <v>269</v>
      </c>
      <c r="B193" t="s">
        <v>29</v>
      </c>
      <c r="C193" s="1">
        <v>44722</v>
      </c>
      <c r="D193" s="2">
        <v>0.48958333333333331</v>
      </c>
      <c r="E193" s="2">
        <v>1.4699074074074074E-3</v>
      </c>
      <c r="K193" t="s">
        <v>30</v>
      </c>
      <c r="L193" t="s">
        <v>31</v>
      </c>
      <c r="M193" t="s">
        <v>49</v>
      </c>
      <c r="N193">
        <v>20</v>
      </c>
      <c r="O193" t="s">
        <v>76</v>
      </c>
      <c r="P193" t="s">
        <v>34</v>
      </c>
      <c r="Q193">
        <v>0</v>
      </c>
      <c r="R193">
        <v>1</v>
      </c>
      <c r="S193">
        <v>1</v>
      </c>
      <c r="T193">
        <v>0</v>
      </c>
      <c r="U193">
        <v>0</v>
      </c>
      <c r="V193">
        <v>2</v>
      </c>
      <c r="W193" t="s">
        <v>59</v>
      </c>
      <c r="X193" t="s">
        <v>60</v>
      </c>
      <c r="Y193" t="s">
        <v>37</v>
      </c>
      <c r="Z193">
        <v>25</v>
      </c>
      <c r="AA193" t="s">
        <v>95</v>
      </c>
      <c r="AB193" t="s">
        <v>124</v>
      </c>
      <c r="AC193" t="s">
        <v>46</v>
      </c>
    </row>
    <row r="194" spans="1:29" x14ac:dyDescent="0.35">
      <c r="A194" t="s">
        <v>270</v>
      </c>
      <c r="B194" t="s">
        <v>29</v>
      </c>
      <c r="C194" s="1">
        <v>44722</v>
      </c>
      <c r="D194" s="2">
        <v>0.49027777777777781</v>
      </c>
      <c r="E194" s="2">
        <v>2.7662037037037034E-3</v>
      </c>
      <c r="K194" t="s">
        <v>30</v>
      </c>
      <c r="L194" t="s">
        <v>41</v>
      </c>
      <c r="M194" t="s">
        <v>49</v>
      </c>
      <c r="N194">
        <v>20</v>
      </c>
      <c r="O194" t="s">
        <v>43</v>
      </c>
      <c r="P194" t="s">
        <v>50</v>
      </c>
      <c r="Q194">
        <v>4</v>
      </c>
      <c r="R194">
        <v>7</v>
      </c>
      <c r="S194">
        <v>8</v>
      </c>
      <c r="T194">
        <v>8</v>
      </c>
      <c r="U194">
        <v>8</v>
      </c>
      <c r="V194">
        <v>9</v>
      </c>
      <c r="W194" t="s">
        <v>66</v>
      </c>
      <c r="X194" t="s">
        <v>50</v>
      </c>
      <c r="Y194" t="s">
        <v>37</v>
      </c>
      <c r="Z194">
        <v>24</v>
      </c>
      <c r="AA194" t="s">
        <v>50</v>
      </c>
      <c r="AB194" t="s">
        <v>124</v>
      </c>
      <c r="AC194" t="s">
        <v>53</v>
      </c>
    </row>
    <row r="195" spans="1:29" x14ac:dyDescent="0.35">
      <c r="A195" t="s">
        <v>271</v>
      </c>
      <c r="B195" t="s">
        <v>29</v>
      </c>
      <c r="C195" s="1">
        <v>44722</v>
      </c>
      <c r="D195" s="2">
        <v>0.4909722222222222</v>
      </c>
      <c r="E195" s="2">
        <v>1.4004629629629629E-3</v>
      </c>
      <c r="K195" t="s">
        <v>30</v>
      </c>
      <c r="L195" t="s">
        <v>41</v>
      </c>
      <c r="M195" t="s">
        <v>49</v>
      </c>
      <c r="N195">
        <v>20</v>
      </c>
      <c r="O195" t="s">
        <v>43</v>
      </c>
      <c r="P195" t="s">
        <v>34</v>
      </c>
      <c r="Q195">
        <v>6</v>
      </c>
      <c r="R195">
        <v>5</v>
      </c>
      <c r="S195">
        <v>6</v>
      </c>
      <c r="T195">
        <v>5</v>
      </c>
      <c r="U195">
        <v>6</v>
      </c>
      <c r="V195">
        <v>6</v>
      </c>
      <c r="W195" t="s">
        <v>66</v>
      </c>
      <c r="X195" t="s">
        <v>60</v>
      </c>
      <c r="Y195" t="s">
        <v>37</v>
      </c>
      <c r="Z195">
        <v>30</v>
      </c>
      <c r="AA195" t="s">
        <v>50</v>
      </c>
      <c r="AB195" t="s">
        <v>126</v>
      </c>
      <c r="AC195" t="s">
        <v>50</v>
      </c>
    </row>
    <row r="196" spans="1:29" x14ac:dyDescent="0.35">
      <c r="A196" t="s">
        <v>272</v>
      </c>
      <c r="B196" t="s">
        <v>29</v>
      </c>
      <c r="C196" s="1">
        <v>44722</v>
      </c>
      <c r="D196" s="2">
        <v>0.4916666666666667</v>
      </c>
      <c r="E196" s="2">
        <v>2.5231481481481481E-3</v>
      </c>
      <c r="K196" t="s">
        <v>30</v>
      </c>
      <c r="L196" t="s">
        <v>41</v>
      </c>
      <c r="M196" t="s">
        <v>55</v>
      </c>
      <c r="N196">
        <v>188</v>
      </c>
      <c r="O196" t="s">
        <v>43</v>
      </c>
      <c r="P196" t="s">
        <v>50</v>
      </c>
      <c r="Q196">
        <v>7</v>
      </c>
      <c r="R196">
        <v>7</v>
      </c>
      <c r="S196">
        <v>7</v>
      </c>
      <c r="U196">
        <v>5</v>
      </c>
      <c r="V196">
        <v>7</v>
      </c>
      <c r="W196" t="s">
        <v>66</v>
      </c>
      <c r="X196" t="s">
        <v>52</v>
      </c>
      <c r="Y196" t="s">
        <v>37</v>
      </c>
      <c r="Z196">
        <v>33</v>
      </c>
      <c r="AA196" t="s">
        <v>38</v>
      </c>
      <c r="AB196" t="s">
        <v>124</v>
      </c>
      <c r="AC196" t="s">
        <v>39</v>
      </c>
    </row>
    <row r="197" spans="1:29" x14ac:dyDescent="0.35">
      <c r="A197" t="s">
        <v>273</v>
      </c>
      <c r="B197" t="s">
        <v>29</v>
      </c>
      <c r="C197" s="1">
        <v>44722</v>
      </c>
      <c r="D197" s="2">
        <v>0.49236111111111108</v>
      </c>
      <c r="E197" s="2">
        <v>1.8518518518518517E-3</v>
      </c>
      <c r="K197" t="s">
        <v>30</v>
      </c>
      <c r="L197" t="s">
        <v>41</v>
      </c>
      <c r="M197" t="s">
        <v>73</v>
      </c>
      <c r="N197">
        <v>76</v>
      </c>
      <c r="O197" t="s">
        <v>50</v>
      </c>
      <c r="P197" t="s">
        <v>50</v>
      </c>
      <c r="Q197">
        <v>7</v>
      </c>
      <c r="R197">
        <v>4</v>
      </c>
      <c r="S197">
        <v>10</v>
      </c>
      <c r="T197">
        <v>9</v>
      </c>
      <c r="U197">
        <v>7</v>
      </c>
      <c r="V197">
        <v>10</v>
      </c>
      <c r="W197" t="s">
        <v>59</v>
      </c>
      <c r="X197" t="s">
        <v>60</v>
      </c>
      <c r="Y197" t="s">
        <v>37</v>
      </c>
      <c r="Z197">
        <v>23</v>
      </c>
      <c r="AA197" t="s">
        <v>38</v>
      </c>
      <c r="AB197" t="s">
        <v>124</v>
      </c>
      <c r="AC197" t="s">
        <v>71</v>
      </c>
    </row>
    <row r="198" spans="1:29" x14ac:dyDescent="0.35">
      <c r="A198" t="s">
        <v>274</v>
      </c>
      <c r="B198" t="s">
        <v>29</v>
      </c>
      <c r="C198" s="1">
        <v>44722</v>
      </c>
      <c r="D198" s="2">
        <v>0.49236111111111108</v>
      </c>
      <c r="E198" s="2">
        <v>1.0879629629629629E-3</v>
      </c>
      <c r="K198" t="s">
        <v>30</v>
      </c>
      <c r="L198" t="s">
        <v>31</v>
      </c>
      <c r="M198" t="s">
        <v>73</v>
      </c>
      <c r="N198">
        <v>76</v>
      </c>
      <c r="O198" t="s">
        <v>76</v>
      </c>
      <c r="P198" t="s">
        <v>34</v>
      </c>
      <c r="Q198">
        <v>6</v>
      </c>
      <c r="R198">
        <v>6</v>
      </c>
      <c r="S198">
        <v>6</v>
      </c>
      <c r="T198">
        <v>6</v>
      </c>
      <c r="U198">
        <v>6</v>
      </c>
      <c r="V198">
        <v>6</v>
      </c>
      <c r="W198" t="s">
        <v>59</v>
      </c>
      <c r="X198" t="s">
        <v>36</v>
      </c>
      <c r="Y198" t="s">
        <v>57</v>
      </c>
      <c r="Z198">
        <v>33</v>
      </c>
      <c r="AA198" t="s">
        <v>79</v>
      </c>
      <c r="AB198" t="s">
        <v>126</v>
      </c>
      <c r="AC198" t="s">
        <v>46</v>
      </c>
    </row>
    <row r="199" spans="1:29" x14ac:dyDescent="0.35">
      <c r="A199" t="s">
        <v>275</v>
      </c>
      <c r="B199" t="s">
        <v>29</v>
      </c>
      <c r="C199" s="1">
        <v>44722</v>
      </c>
      <c r="D199" s="2">
        <v>0.49305555555555558</v>
      </c>
      <c r="E199" s="2">
        <v>5.5555555555555556E-4</v>
      </c>
      <c r="K199" t="s">
        <v>30</v>
      </c>
      <c r="L199" t="s">
        <v>41</v>
      </c>
      <c r="M199" t="s">
        <v>32</v>
      </c>
      <c r="N199">
        <v>116</v>
      </c>
      <c r="O199" t="s">
        <v>43</v>
      </c>
      <c r="P199" t="s">
        <v>34</v>
      </c>
      <c r="Q199">
        <v>4</v>
      </c>
      <c r="R199">
        <v>4</v>
      </c>
      <c r="S199">
        <v>4</v>
      </c>
      <c r="T199">
        <v>4</v>
      </c>
      <c r="U199">
        <v>4</v>
      </c>
      <c r="V199">
        <v>4</v>
      </c>
      <c r="W199" t="s">
        <v>66</v>
      </c>
      <c r="X199" t="s">
        <v>60</v>
      </c>
      <c r="Y199" t="s">
        <v>37</v>
      </c>
      <c r="Z199">
        <v>25</v>
      </c>
      <c r="AA199" t="s">
        <v>38</v>
      </c>
      <c r="AB199" t="s">
        <v>124</v>
      </c>
      <c r="AC199" t="s">
        <v>39</v>
      </c>
    </row>
    <row r="200" spans="1:29" x14ac:dyDescent="0.35">
      <c r="A200" t="s">
        <v>276</v>
      </c>
      <c r="B200" t="s">
        <v>29</v>
      </c>
      <c r="C200" s="1">
        <v>44722</v>
      </c>
      <c r="D200" s="2">
        <v>0.49374999999999997</v>
      </c>
      <c r="E200" s="2">
        <v>6.5972222222222213E-4</v>
      </c>
      <c r="K200" t="s">
        <v>30</v>
      </c>
      <c r="L200" t="s">
        <v>41</v>
      </c>
      <c r="M200" t="s">
        <v>49</v>
      </c>
      <c r="N200">
        <v>20</v>
      </c>
      <c r="O200" t="s">
        <v>50</v>
      </c>
      <c r="P200" t="s">
        <v>34</v>
      </c>
      <c r="Q200">
        <v>5</v>
      </c>
      <c r="R200">
        <v>5</v>
      </c>
      <c r="S200">
        <v>5</v>
      </c>
      <c r="T200">
        <v>5</v>
      </c>
      <c r="U200">
        <v>5</v>
      </c>
      <c r="V200">
        <v>5</v>
      </c>
      <c r="W200" t="s">
        <v>66</v>
      </c>
      <c r="X200" t="s">
        <v>36</v>
      </c>
      <c r="Y200" t="s">
        <v>57</v>
      </c>
      <c r="Z200">
        <v>27</v>
      </c>
      <c r="AA200" t="s">
        <v>50</v>
      </c>
      <c r="AB200" t="s">
        <v>126</v>
      </c>
      <c r="AC200" t="s">
        <v>39</v>
      </c>
    </row>
    <row r="201" spans="1:29" x14ac:dyDescent="0.35">
      <c r="A201" t="s">
        <v>277</v>
      </c>
      <c r="B201" t="s">
        <v>29</v>
      </c>
      <c r="C201" s="1">
        <v>44722</v>
      </c>
      <c r="D201" s="2">
        <v>0.49513888888888885</v>
      </c>
      <c r="E201" s="2">
        <v>1.2152777777777778E-3</v>
      </c>
      <c r="K201" t="s">
        <v>30</v>
      </c>
      <c r="L201" t="s">
        <v>31</v>
      </c>
      <c r="M201" t="s">
        <v>49</v>
      </c>
      <c r="N201">
        <v>20</v>
      </c>
      <c r="O201" t="s">
        <v>43</v>
      </c>
      <c r="P201" t="s">
        <v>131</v>
      </c>
      <c r="Q201">
        <v>5</v>
      </c>
      <c r="R201">
        <v>10</v>
      </c>
      <c r="S201">
        <v>10</v>
      </c>
      <c r="T201">
        <v>8</v>
      </c>
      <c r="U201">
        <v>10</v>
      </c>
      <c r="V201">
        <v>10</v>
      </c>
      <c r="W201" t="s">
        <v>56</v>
      </c>
      <c r="X201" t="s">
        <v>52</v>
      </c>
      <c r="Y201" t="s">
        <v>37</v>
      </c>
      <c r="Z201">
        <v>30</v>
      </c>
      <c r="AA201" t="s">
        <v>79</v>
      </c>
      <c r="AB201" t="s">
        <v>124</v>
      </c>
      <c r="AC201" t="s">
        <v>39</v>
      </c>
    </row>
    <row r="202" spans="1:29" x14ac:dyDescent="0.35">
      <c r="A202" t="s">
        <v>278</v>
      </c>
      <c r="B202" t="s">
        <v>29</v>
      </c>
      <c r="C202" s="1">
        <v>44722</v>
      </c>
      <c r="D202" s="2">
        <v>0.49583333333333335</v>
      </c>
      <c r="E202" s="2">
        <v>1.8634259259259261E-3</v>
      </c>
      <c r="K202" t="s">
        <v>30</v>
      </c>
      <c r="L202" t="s">
        <v>31</v>
      </c>
      <c r="M202" t="s">
        <v>49</v>
      </c>
      <c r="N202">
        <v>20</v>
      </c>
      <c r="O202" t="s">
        <v>76</v>
      </c>
      <c r="P202" t="s">
        <v>34</v>
      </c>
      <c r="Q202">
        <v>0</v>
      </c>
      <c r="R202">
        <v>3</v>
      </c>
      <c r="V202">
        <v>6</v>
      </c>
      <c r="W202" t="s">
        <v>66</v>
      </c>
      <c r="X202" t="s">
        <v>36</v>
      </c>
      <c r="Y202" t="s">
        <v>37</v>
      </c>
      <c r="Z202">
        <v>29</v>
      </c>
      <c r="AA202" t="s">
        <v>50</v>
      </c>
      <c r="AB202" t="s">
        <v>124</v>
      </c>
      <c r="AC202" t="s">
        <v>53</v>
      </c>
    </row>
    <row r="203" spans="1:29" x14ac:dyDescent="0.35">
      <c r="A203" t="s">
        <v>279</v>
      </c>
      <c r="B203" t="s">
        <v>29</v>
      </c>
      <c r="C203" s="1">
        <v>44722</v>
      </c>
      <c r="D203" s="2">
        <v>0.49652777777777773</v>
      </c>
      <c r="E203" s="2">
        <v>2.5810185185185185E-3</v>
      </c>
      <c r="K203" t="s">
        <v>50</v>
      </c>
      <c r="L203" t="s">
        <v>31</v>
      </c>
      <c r="M203" t="s">
        <v>49</v>
      </c>
      <c r="N203">
        <v>20</v>
      </c>
      <c r="O203" t="s">
        <v>33</v>
      </c>
      <c r="P203" t="s">
        <v>34</v>
      </c>
      <c r="Q203">
        <v>10</v>
      </c>
      <c r="R203">
        <v>2</v>
      </c>
      <c r="S203">
        <v>8</v>
      </c>
      <c r="T203">
        <v>5</v>
      </c>
      <c r="U203">
        <v>0</v>
      </c>
      <c r="V203">
        <v>6</v>
      </c>
      <c r="W203" t="s">
        <v>51</v>
      </c>
      <c r="X203" t="s">
        <v>60</v>
      </c>
      <c r="Y203" t="s">
        <v>37</v>
      </c>
      <c r="Z203">
        <v>25</v>
      </c>
      <c r="AA203" t="s">
        <v>95</v>
      </c>
      <c r="AB203" t="s">
        <v>126</v>
      </c>
      <c r="AC203" t="s">
        <v>50</v>
      </c>
    </row>
    <row r="204" spans="1:29" x14ac:dyDescent="0.35">
      <c r="A204" t="s">
        <v>280</v>
      </c>
      <c r="B204" t="s">
        <v>29</v>
      </c>
      <c r="C204" s="1">
        <v>44722</v>
      </c>
      <c r="D204" s="2">
        <v>0.49652777777777773</v>
      </c>
      <c r="E204" s="2">
        <v>1.0185185185185186E-3</v>
      </c>
      <c r="K204" t="s">
        <v>30</v>
      </c>
      <c r="L204" t="s">
        <v>41</v>
      </c>
      <c r="M204" t="s">
        <v>68</v>
      </c>
      <c r="N204">
        <v>96</v>
      </c>
      <c r="O204" t="s">
        <v>70</v>
      </c>
      <c r="P204" t="s">
        <v>50</v>
      </c>
      <c r="Q204">
        <v>7</v>
      </c>
      <c r="R204">
        <v>7</v>
      </c>
      <c r="S204">
        <v>5</v>
      </c>
      <c r="T204">
        <v>7</v>
      </c>
      <c r="U204">
        <v>7</v>
      </c>
      <c r="V204">
        <v>7</v>
      </c>
      <c r="W204" t="s">
        <v>51</v>
      </c>
      <c r="X204" t="s">
        <v>36</v>
      </c>
      <c r="Y204" t="s">
        <v>37</v>
      </c>
      <c r="Z204">
        <v>40</v>
      </c>
      <c r="AA204" t="s">
        <v>38</v>
      </c>
      <c r="AB204" t="s">
        <v>120</v>
      </c>
      <c r="AC204" t="s">
        <v>71</v>
      </c>
    </row>
    <row r="205" spans="1:29" x14ac:dyDescent="0.35">
      <c r="A205" t="s">
        <v>281</v>
      </c>
      <c r="B205" t="s">
        <v>29</v>
      </c>
      <c r="C205" s="1">
        <v>44722</v>
      </c>
      <c r="D205" s="2">
        <v>0.50069444444444444</v>
      </c>
      <c r="E205" s="2">
        <v>2.0717592592592593E-3</v>
      </c>
      <c r="K205" t="s">
        <v>30</v>
      </c>
      <c r="L205" t="s">
        <v>41</v>
      </c>
      <c r="M205" t="s">
        <v>42</v>
      </c>
      <c r="N205">
        <v>53</v>
      </c>
      <c r="O205" t="s">
        <v>50</v>
      </c>
      <c r="P205" t="s">
        <v>50</v>
      </c>
      <c r="Q205">
        <v>6</v>
      </c>
      <c r="R205">
        <v>10</v>
      </c>
      <c r="S205">
        <v>8</v>
      </c>
      <c r="T205">
        <v>8</v>
      </c>
      <c r="U205">
        <v>4</v>
      </c>
      <c r="V205">
        <v>4</v>
      </c>
      <c r="W205" t="s">
        <v>66</v>
      </c>
      <c r="X205" t="s">
        <v>60</v>
      </c>
      <c r="Y205" t="s">
        <v>57</v>
      </c>
      <c r="Z205">
        <v>29</v>
      </c>
      <c r="AA205" t="s">
        <v>45</v>
      </c>
      <c r="AB205" t="s">
        <v>124</v>
      </c>
      <c r="AC205" t="s">
        <v>50</v>
      </c>
    </row>
    <row r="206" spans="1:29" x14ac:dyDescent="0.35">
      <c r="A206" t="s">
        <v>282</v>
      </c>
      <c r="B206" t="s">
        <v>29</v>
      </c>
      <c r="C206" s="1">
        <v>44722</v>
      </c>
      <c r="D206" s="2">
        <v>0.50069444444444444</v>
      </c>
      <c r="E206" s="2">
        <v>3.2870370370370367E-3</v>
      </c>
      <c r="K206" t="s">
        <v>30</v>
      </c>
      <c r="L206" t="s">
        <v>41</v>
      </c>
      <c r="M206" t="s">
        <v>42</v>
      </c>
      <c r="N206">
        <v>53</v>
      </c>
      <c r="O206" t="s">
        <v>50</v>
      </c>
      <c r="P206" t="s">
        <v>34</v>
      </c>
      <c r="Q206">
        <v>0</v>
      </c>
      <c r="R206">
        <v>3</v>
      </c>
      <c r="S206">
        <v>3</v>
      </c>
      <c r="T206">
        <v>3</v>
      </c>
      <c r="U206">
        <v>3</v>
      </c>
      <c r="W206" t="s">
        <v>59</v>
      </c>
      <c r="X206" t="s">
        <v>36</v>
      </c>
      <c r="Y206" t="s">
        <v>37</v>
      </c>
      <c r="Z206">
        <v>29</v>
      </c>
      <c r="AA206" t="s">
        <v>95</v>
      </c>
      <c r="AB206" t="s">
        <v>126</v>
      </c>
      <c r="AC206" t="s">
        <v>46</v>
      </c>
    </row>
    <row r="207" spans="1:29" x14ac:dyDescent="0.35">
      <c r="A207" t="s">
        <v>283</v>
      </c>
      <c r="B207" t="s">
        <v>29</v>
      </c>
      <c r="C207" s="1">
        <v>44722</v>
      </c>
      <c r="D207" s="2">
        <v>0.50208333333333333</v>
      </c>
      <c r="E207" s="2">
        <v>1.1574074074074073E-3</v>
      </c>
      <c r="K207" t="s">
        <v>30</v>
      </c>
      <c r="L207" t="s">
        <v>31</v>
      </c>
      <c r="M207" t="s">
        <v>49</v>
      </c>
      <c r="N207">
        <v>20</v>
      </c>
      <c r="O207" t="s">
        <v>78</v>
      </c>
      <c r="P207" t="s">
        <v>34</v>
      </c>
      <c r="Q207">
        <v>1</v>
      </c>
      <c r="R207">
        <v>2</v>
      </c>
      <c r="S207">
        <v>2</v>
      </c>
      <c r="T207">
        <v>3</v>
      </c>
      <c r="U207">
        <v>3</v>
      </c>
      <c r="V207">
        <v>4</v>
      </c>
      <c r="W207" t="s">
        <v>66</v>
      </c>
      <c r="X207" t="s">
        <v>60</v>
      </c>
      <c r="Y207" t="s">
        <v>37</v>
      </c>
      <c r="Z207">
        <v>28</v>
      </c>
      <c r="AA207" t="s">
        <v>50</v>
      </c>
      <c r="AB207" t="s">
        <v>126</v>
      </c>
      <c r="AC207" t="s">
        <v>53</v>
      </c>
    </row>
    <row r="208" spans="1:29" x14ac:dyDescent="0.35">
      <c r="A208" t="s">
        <v>284</v>
      </c>
      <c r="B208" t="s">
        <v>29</v>
      </c>
      <c r="C208" s="1">
        <v>44722</v>
      </c>
      <c r="D208" s="2">
        <v>0.50277777777777777</v>
      </c>
      <c r="E208" s="2">
        <v>1.6319444444444445E-3</v>
      </c>
      <c r="K208" t="s">
        <v>50</v>
      </c>
      <c r="L208" t="s">
        <v>41</v>
      </c>
      <c r="M208" t="s">
        <v>68</v>
      </c>
      <c r="N208">
        <v>96</v>
      </c>
      <c r="O208" t="s">
        <v>50</v>
      </c>
      <c r="P208" t="s">
        <v>50</v>
      </c>
      <c r="Q208">
        <v>5</v>
      </c>
      <c r="R208">
        <v>2</v>
      </c>
      <c r="S208">
        <v>0</v>
      </c>
      <c r="T208">
        <v>2</v>
      </c>
      <c r="U208">
        <v>0</v>
      </c>
      <c r="V208">
        <v>0</v>
      </c>
      <c r="W208" t="s">
        <v>66</v>
      </c>
      <c r="X208" t="s">
        <v>52</v>
      </c>
      <c r="Y208" t="s">
        <v>37</v>
      </c>
      <c r="Z208">
        <v>34</v>
      </c>
      <c r="AA208" t="s">
        <v>79</v>
      </c>
      <c r="AB208" t="s">
        <v>124</v>
      </c>
      <c r="AC208" t="s">
        <v>39</v>
      </c>
    </row>
    <row r="209" spans="1:29" x14ac:dyDescent="0.35">
      <c r="A209" t="s">
        <v>285</v>
      </c>
      <c r="B209" t="s">
        <v>29</v>
      </c>
      <c r="C209" s="1">
        <v>44722</v>
      </c>
      <c r="D209" s="2">
        <v>0.50694444444444442</v>
      </c>
      <c r="E209" s="2">
        <v>2.0601851851851853E-3</v>
      </c>
      <c r="K209" t="s">
        <v>86</v>
      </c>
      <c r="L209" t="s">
        <v>41</v>
      </c>
      <c r="M209" t="s">
        <v>49</v>
      </c>
      <c r="N209">
        <v>20</v>
      </c>
      <c r="O209" t="s">
        <v>76</v>
      </c>
      <c r="P209" t="s">
        <v>34</v>
      </c>
      <c r="Q209">
        <v>0</v>
      </c>
      <c r="R209">
        <v>4</v>
      </c>
      <c r="S209">
        <v>7</v>
      </c>
      <c r="T209">
        <v>6</v>
      </c>
      <c r="U209">
        <v>7</v>
      </c>
      <c r="V209">
        <v>8</v>
      </c>
      <c r="W209" t="s">
        <v>51</v>
      </c>
      <c r="X209" t="s">
        <v>50</v>
      </c>
      <c r="Y209" t="s">
        <v>37</v>
      </c>
      <c r="Z209">
        <v>24</v>
      </c>
      <c r="AA209" t="s">
        <v>50</v>
      </c>
      <c r="AB209" t="s">
        <v>126</v>
      </c>
      <c r="AC209" t="s">
        <v>39</v>
      </c>
    </row>
    <row r="210" spans="1:29" x14ac:dyDescent="0.35">
      <c r="A210" t="s">
        <v>286</v>
      </c>
      <c r="B210" t="s">
        <v>29</v>
      </c>
      <c r="C210" s="1">
        <v>44722</v>
      </c>
      <c r="D210" s="2">
        <v>0.50763888888888886</v>
      </c>
      <c r="E210" s="2">
        <v>1.6550925925925926E-3</v>
      </c>
      <c r="K210" t="s">
        <v>30</v>
      </c>
      <c r="L210" t="s">
        <v>31</v>
      </c>
      <c r="M210" t="s">
        <v>49</v>
      </c>
      <c r="N210">
        <v>20</v>
      </c>
      <c r="O210" t="s">
        <v>70</v>
      </c>
      <c r="P210" t="s">
        <v>34</v>
      </c>
      <c r="Q210">
        <v>5</v>
      </c>
      <c r="R210">
        <v>8</v>
      </c>
      <c r="S210">
        <v>8</v>
      </c>
      <c r="T210">
        <v>9</v>
      </c>
      <c r="U210">
        <v>7</v>
      </c>
      <c r="V210">
        <v>9</v>
      </c>
      <c r="W210" t="s">
        <v>56</v>
      </c>
      <c r="X210" t="s">
        <v>60</v>
      </c>
      <c r="Y210" t="s">
        <v>37</v>
      </c>
      <c r="Z210">
        <v>26</v>
      </c>
      <c r="AA210" t="s">
        <v>50</v>
      </c>
      <c r="AB210" t="s">
        <v>124</v>
      </c>
      <c r="AC210" t="s">
        <v>50</v>
      </c>
    </row>
    <row r="211" spans="1:29" x14ac:dyDescent="0.35">
      <c r="A211" t="s">
        <v>287</v>
      </c>
      <c r="B211" t="s">
        <v>29</v>
      </c>
      <c r="C211" s="1">
        <v>44722</v>
      </c>
      <c r="D211" s="2">
        <v>0.51111111111111118</v>
      </c>
      <c r="E211" s="2">
        <v>9.3750000000000007E-4</v>
      </c>
      <c r="K211" t="s">
        <v>30</v>
      </c>
      <c r="L211" t="s">
        <v>41</v>
      </c>
      <c r="M211" t="s">
        <v>65</v>
      </c>
      <c r="N211">
        <v>138</v>
      </c>
      <c r="O211" t="s">
        <v>76</v>
      </c>
      <c r="P211" t="s">
        <v>34</v>
      </c>
      <c r="Q211">
        <v>10</v>
      </c>
      <c r="R211">
        <v>5</v>
      </c>
      <c r="S211">
        <v>10</v>
      </c>
      <c r="T211">
        <v>10</v>
      </c>
      <c r="U211">
        <v>6</v>
      </c>
      <c r="V211">
        <v>10</v>
      </c>
      <c r="W211" t="s">
        <v>59</v>
      </c>
      <c r="X211" t="s">
        <v>52</v>
      </c>
      <c r="Y211" t="s">
        <v>37</v>
      </c>
      <c r="Z211">
        <v>28</v>
      </c>
      <c r="AA211" t="s">
        <v>38</v>
      </c>
      <c r="AB211" t="s">
        <v>124</v>
      </c>
      <c r="AC211" t="s">
        <v>71</v>
      </c>
    </row>
    <row r="212" spans="1:29" x14ac:dyDescent="0.35">
      <c r="A212" t="s">
        <v>288</v>
      </c>
      <c r="B212" t="s">
        <v>29</v>
      </c>
      <c r="C212" s="1">
        <v>44722</v>
      </c>
      <c r="D212" s="2">
        <v>0.51111111111111118</v>
      </c>
      <c r="E212" s="2">
        <v>6.8287037037037025E-4</v>
      </c>
      <c r="K212" t="s">
        <v>86</v>
      </c>
      <c r="L212" t="s">
        <v>41</v>
      </c>
      <c r="M212" t="s">
        <v>49</v>
      </c>
      <c r="N212">
        <v>20</v>
      </c>
      <c r="O212" t="s">
        <v>78</v>
      </c>
      <c r="P212" t="s">
        <v>44</v>
      </c>
      <c r="Q212">
        <v>5</v>
      </c>
      <c r="R212">
        <v>4</v>
      </c>
      <c r="S212">
        <v>4</v>
      </c>
      <c r="T212">
        <v>4</v>
      </c>
      <c r="U212">
        <v>5</v>
      </c>
      <c r="V212">
        <v>5</v>
      </c>
      <c r="W212" t="s">
        <v>59</v>
      </c>
      <c r="X212" t="s">
        <v>52</v>
      </c>
      <c r="Y212" t="s">
        <v>37</v>
      </c>
      <c r="Z212">
        <v>25</v>
      </c>
      <c r="AA212" t="s">
        <v>50</v>
      </c>
      <c r="AB212" t="s">
        <v>126</v>
      </c>
      <c r="AC212" t="s">
        <v>39</v>
      </c>
    </row>
    <row r="213" spans="1:29" x14ac:dyDescent="0.35">
      <c r="A213" t="s">
        <v>289</v>
      </c>
      <c r="B213" t="s">
        <v>29</v>
      </c>
      <c r="C213" s="1">
        <v>44722</v>
      </c>
      <c r="D213" s="2">
        <v>0.51597222222222217</v>
      </c>
      <c r="E213" s="2">
        <v>1.9907407407407408E-3</v>
      </c>
      <c r="K213" t="s">
        <v>30</v>
      </c>
      <c r="L213" t="s">
        <v>31</v>
      </c>
      <c r="M213" t="s">
        <v>49</v>
      </c>
      <c r="N213">
        <v>20</v>
      </c>
      <c r="O213" t="s">
        <v>76</v>
      </c>
      <c r="P213" t="s">
        <v>34</v>
      </c>
      <c r="Q213">
        <v>1</v>
      </c>
      <c r="R213">
        <v>4</v>
      </c>
      <c r="S213">
        <v>9</v>
      </c>
      <c r="T213">
        <v>7</v>
      </c>
      <c r="U213">
        <v>8</v>
      </c>
      <c r="V213">
        <v>10</v>
      </c>
      <c r="W213" t="s">
        <v>51</v>
      </c>
      <c r="X213" t="s">
        <v>60</v>
      </c>
      <c r="Y213" t="s">
        <v>37</v>
      </c>
      <c r="Z213">
        <v>33</v>
      </c>
      <c r="AA213" t="s">
        <v>50</v>
      </c>
      <c r="AB213" t="s">
        <v>124</v>
      </c>
      <c r="AC213" t="s">
        <v>71</v>
      </c>
    </row>
    <row r="214" spans="1:29" x14ac:dyDescent="0.35">
      <c r="A214" t="s">
        <v>290</v>
      </c>
      <c r="B214" t="s">
        <v>29</v>
      </c>
      <c r="C214" s="1">
        <v>44722</v>
      </c>
      <c r="D214" s="2">
        <v>0.51597222222222217</v>
      </c>
      <c r="E214" s="2">
        <v>7.0601851851851847E-4</v>
      </c>
      <c r="K214" t="s">
        <v>30</v>
      </c>
      <c r="L214" t="s">
        <v>31</v>
      </c>
      <c r="M214" t="s">
        <v>73</v>
      </c>
      <c r="N214">
        <v>76</v>
      </c>
      <c r="O214" t="s">
        <v>43</v>
      </c>
      <c r="P214" t="s">
        <v>34</v>
      </c>
      <c r="Q214">
        <v>4</v>
      </c>
      <c r="R214">
        <v>4</v>
      </c>
      <c r="S214">
        <v>6</v>
      </c>
      <c r="T214">
        <v>3</v>
      </c>
      <c r="U214">
        <v>4</v>
      </c>
      <c r="V214">
        <v>0</v>
      </c>
      <c r="W214" t="s">
        <v>66</v>
      </c>
      <c r="X214" t="s">
        <v>36</v>
      </c>
      <c r="Y214" t="s">
        <v>37</v>
      </c>
      <c r="Z214">
        <v>30</v>
      </c>
      <c r="AA214" t="s">
        <v>50</v>
      </c>
      <c r="AB214" t="s">
        <v>126</v>
      </c>
      <c r="AC214" t="s">
        <v>39</v>
      </c>
    </row>
    <row r="215" spans="1:29" x14ac:dyDescent="0.35">
      <c r="A215" t="s">
        <v>291</v>
      </c>
      <c r="B215" t="s">
        <v>29</v>
      </c>
      <c r="C215" s="1">
        <v>44722</v>
      </c>
      <c r="D215" s="2">
        <v>0.51736111111111105</v>
      </c>
      <c r="E215" s="2">
        <v>1.9791666666666668E-3</v>
      </c>
      <c r="K215" t="s">
        <v>30</v>
      </c>
      <c r="L215" t="s">
        <v>31</v>
      </c>
      <c r="M215" t="s">
        <v>49</v>
      </c>
      <c r="N215">
        <v>20</v>
      </c>
      <c r="O215" t="s">
        <v>43</v>
      </c>
      <c r="P215" t="s">
        <v>34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 t="s">
        <v>35</v>
      </c>
      <c r="X215" t="s">
        <v>60</v>
      </c>
      <c r="Y215" t="s">
        <v>37</v>
      </c>
      <c r="Z215">
        <v>35</v>
      </c>
      <c r="AA215" t="s">
        <v>95</v>
      </c>
      <c r="AB215" t="s">
        <v>124</v>
      </c>
      <c r="AC215" t="s">
        <v>50</v>
      </c>
    </row>
    <row r="216" spans="1:29" x14ac:dyDescent="0.35">
      <c r="A216" t="s">
        <v>292</v>
      </c>
      <c r="B216" t="s">
        <v>29</v>
      </c>
      <c r="C216" s="1">
        <v>44722</v>
      </c>
      <c r="D216" s="2">
        <v>0.51944444444444449</v>
      </c>
      <c r="E216" s="2">
        <v>1.3541666666666667E-3</v>
      </c>
      <c r="K216" t="s">
        <v>30</v>
      </c>
      <c r="L216" t="s">
        <v>41</v>
      </c>
      <c r="M216" t="s">
        <v>49</v>
      </c>
      <c r="N216">
        <v>20</v>
      </c>
      <c r="O216" t="s">
        <v>50</v>
      </c>
      <c r="P216" t="s">
        <v>50</v>
      </c>
      <c r="Q216">
        <v>5</v>
      </c>
      <c r="R216">
        <v>2</v>
      </c>
      <c r="S216">
        <v>5</v>
      </c>
      <c r="T216">
        <v>5</v>
      </c>
      <c r="U216">
        <v>3</v>
      </c>
      <c r="V216">
        <v>4</v>
      </c>
      <c r="W216" t="s">
        <v>59</v>
      </c>
      <c r="X216" t="s">
        <v>60</v>
      </c>
      <c r="Y216" t="s">
        <v>37</v>
      </c>
      <c r="Z216">
        <v>25</v>
      </c>
      <c r="AA216" t="s">
        <v>50</v>
      </c>
      <c r="AB216" t="s">
        <v>124</v>
      </c>
      <c r="AC216" t="s">
        <v>39</v>
      </c>
    </row>
    <row r="217" spans="1:29" x14ac:dyDescent="0.35">
      <c r="A217" t="s">
        <v>293</v>
      </c>
      <c r="B217" t="s">
        <v>29</v>
      </c>
      <c r="C217" s="1">
        <v>44722</v>
      </c>
      <c r="D217" s="2">
        <v>0.52013888888888882</v>
      </c>
      <c r="E217" s="2">
        <v>9.3750000000000007E-4</v>
      </c>
      <c r="K217" t="s">
        <v>30</v>
      </c>
      <c r="L217" t="s">
        <v>41</v>
      </c>
      <c r="M217" t="s">
        <v>49</v>
      </c>
      <c r="N217">
        <v>20</v>
      </c>
      <c r="O217" t="s">
        <v>294</v>
      </c>
      <c r="P217" t="s">
        <v>34</v>
      </c>
      <c r="Q217">
        <v>4</v>
      </c>
      <c r="R217">
        <v>7</v>
      </c>
      <c r="S217">
        <v>9</v>
      </c>
      <c r="T217">
        <v>5</v>
      </c>
      <c r="U217">
        <v>2</v>
      </c>
      <c r="V217">
        <v>8</v>
      </c>
      <c r="W217" t="s">
        <v>51</v>
      </c>
      <c r="X217" t="s">
        <v>60</v>
      </c>
      <c r="Y217" t="s">
        <v>37</v>
      </c>
      <c r="Z217">
        <v>23</v>
      </c>
      <c r="AA217" t="s">
        <v>50</v>
      </c>
      <c r="AB217" t="s">
        <v>124</v>
      </c>
      <c r="AC217" t="s">
        <v>39</v>
      </c>
    </row>
    <row r="218" spans="1:29" x14ac:dyDescent="0.35">
      <c r="A218" t="s">
        <v>295</v>
      </c>
      <c r="B218" t="s">
        <v>29</v>
      </c>
      <c r="C218" s="1">
        <v>44722</v>
      </c>
      <c r="D218" s="2">
        <v>0.52222222222222225</v>
      </c>
      <c r="E218" s="2">
        <v>1.5046296296296294E-3</v>
      </c>
      <c r="K218" t="s">
        <v>48</v>
      </c>
      <c r="L218" t="s">
        <v>41</v>
      </c>
      <c r="M218" t="s">
        <v>49</v>
      </c>
      <c r="N218">
        <v>20</v>
      </c>
      <c r="O218" t="s">
        <v>33</v>
      </c>
      <c r="P218" t="s">
        <v>34</v>
      </c>
      <c r="Q218">
        <v>6</v>
      </c>
      <c r="R218">
        <v>6</v>
      </c>
      <c r="S218">
        <v>6</v>
      </c>
      <c r="T218">
        <v>5</v>
      </c>
      <c r="U218">
        <v>4</v>
      </c>
      <c r="V218">
        <v>7</v>
      </c>
      <c r="W218" t="s">
        <v>66</v>
      </c>
      <c r="X218" t="s">
        <v>52</v>
      </c>
      <c r="Y218" t="s">
        <v>37</v>
      </c>
      <c r="Z218">
        <v>24</v>
      </c>
      <c r="AA218" t="s">
        <v>50</v>
      </c>
      <c r="AB218" t="s">
        <v>124</v>
      </c>
      <c r="AC218" t="s">
        <v>71</v>
      </c>
    </row>
    <row r="219" spans="1:29" x14ac:dyDescent="0.35">
      <c r="A219" t="s">
        <v>296</v>
      </c>
      <c r="B219" t="s">
        <v>29</v>
      </c>
      <c r="C219" s="1">
        <v>44722</v>
      </c>
      <c r="D219" s="2">
        <v>0.52777777777777779</v>
      </c>
      <c r="E219" s="2">
        <v>1.8518518518518517E-3</v>
      </c>
      <c r="K219" t="s">
        <v>30</v>
      </c>
      <c r="L219" t="s">
        <v>31</v>
      </c>
      <c r="M219" t="s">
        <v>55</v>
      </c>
      <c r="N219">
        <v>188</v>
      </c>
      <c r="O219" t="s">
        <v>78</v>
      </c>
      <c r="P219" t="s">
        <v>50</v>
      </c>
      <c r="Q219">
        <v>8</v>
      </c>
      <c r="R219">
        <v>9</v>
      </c>
      <c r="S219">
        <v>9</v>
      </c>
      <c r="T219">
        <v>7</v>
      </c>
      <c r="U219">
        <v>6</v>
      </c>
      <c r="V219">
        <v>6</v>
      </c>
      <c r="W219" t="s">
        <v>66</v>
      </c>
      <c r="X219" t="s">
        <v>60</v>
      </c>
      <c r="Y219" t="s">
        <v>37</v>
      </c>
      <c r="Z219">
        <v>27</v>
      </c>
      <c r="AA219" t="s">
        <v>38</v>
      </c>
      <c r="AB219" t="s">
        <v>126</v>
      </c>
      <c r="AC219" t="s">
        <v>53</v>
      </c>
    </row>
    <row r="220" spans="1:29" x14ac:dyDescent="0.35">
      <c r="A220" t="s">
        <v>297</v>
      </c>
      <c r="B220" t="s">
        <v>29</v>
      </c>
      <c r="C220" s="1">
        <v>44722</v>
      </c>
      <c r="D220" s="2">
        <v>0.53263888888888888</v>
      </c>
      <c r="E220" s="2">
        <v>9.7222222222222209E-4</v>
      </c>
      <c r="K220" t="s">
        <v>30</v>
      </c>
      <c r="L220" t="s">
        <v>31</v>
      </c>
      <c r="M220" t="s">
        <v>73</v>
      </c>
      <c r="N220">
        <v>76</v>
      </c>
      <c r="O220" t="s">
        <v>50</v>
      </c>
      <c r="P220" t="s">
        <v>34</v>
      </c>
      <c r="Q220">
        <v>4</v>
      </c>
      <c r="R220">
        <v>10</v>
      </c>
      <c r="S220">
        <v>10</v>
      </c>
      <c r="T220">
        <v>8</v>
      </c>
      <c r="U220">
        <v>5</v>
      </c>
      <c r="V220">
        <v>6</v>
      </c>
      <c r="W220" t="s">
        <v>66</v>
      </c>
      <c r="X220" t="s">
        <v>36</v>
      </c>
      <c r="Y220" t="s">
        <v>37</v>
      </c>
      <c r="Z220">
        <v>32</v>
      </c>
      <c r="AA220" t="s">
        <v>38</v>
      </c>
      <c r="AB220" t="s">
        <v>124</v>
      </c>
      <c r="AC220" t="s">
        <v>46</v>
      </c>
    </row>
    <row r="221" spans="1:29" x14ac:dyDescent="0.35">
      <c r="A221" t="s">
        <v>298</v>
      </c>
      <c r="B221" t="s">
        <v>29</v>
      </c>
      <c r="C221" s="1">
        <v>44722</v>
      </c>
      <c r="D221" s="2">
        <v>0.53819444444444442</v>
      </c>
      <c r="E221" s="2">
        <v>1.3310185185185185E-3</v>
      </c>
      <c r="K221" t="s">
        <v>30</v>
      </c>
      <c r="L221" t="s">
        <v>31</v>
      </c>
      <c r="M221" t="s">
        <v>42</v>
      </c>
      <c r="N221">
        <v>53</v>
      </c>
      <c r="O221" t="s">
        <v>76</v>
      </c>
      <c r="P221" t="s">
        <v>34</v>
      </c>
      <c r="Q221">
        <v>3</v>
      </c>
      <c r="R221">
        <v>5</v>
      </c>
      <c r="S221">
        <v>4</v>
      </c>
      <c r="T221">
        <v>4</v>
      </c>
      <c r="U221">
        <v>4</v>
      </c>
      <c r="V221">
        <v>4</v>
      </c>
      <c r="W221" t="s">
        <v>66</v>
      </c>
      <c r="X221" t="s">
        <v>52</v>
      </c>
      <c r="Y221" t="s">
        <v>37</v>
      </c>
      <c r="Z221">
        <v>50</v>
      </c>
      <c r="AA221" t="s">
        <v>45</v>
      </c>
      <c r="AB221" t="s">
        <v>124</v>
      </c>
      <c r="AC221" t="s">
        <v>39</v>
      </c>
    </row>
    <row r="222" spans="1:29" x14ac:dyDescent="0.35">
      <c r="A222" t="s">
        <v>299</v>
      </c>
      <c r="B222" t="s">
        <v>29</v>
      </c>
      <c r="C222" s="1">
        <v>44722</v>
      </c>
      <c r="D222" s="2">
        <v>0.53819444444444442</v>
      </c>
      <c r="E222" s="2">
        <v>9.8379629629629642E-4</v>
      </c>
      <c r="K222" t="s">
        <v>300</v>
      </c>
      <c r="L222" t="s">
        <v>31</v>
      </c>
      <c r="M222" t="s">
        <v>73</v>
      </c>
      <c r="N222">
        <v>76</v>
      </c>
      <c r="O222" t="s">
        <v>50</v>
      </c>
      <c r="P222" t="s">
        <v>34</v>
      </c>
      <c r="Q222">
        <v>7</v>
      </c>
      <c r="R222">
        <v>7</v>
      </c>
      <c r="S222">
        <v>8</v>
      </c>
      <c r="T222">
        <v>9</v>
      </c>
      <c r="U222">
        <v>10</v>
      </c>
      <c r="V222">
        <v>10</v>
      </c>
      <c r="W222" t="s">
        <v>66</v>
      </c>
      <c r="X222" t="s">
        <v>36</v>
      </c>
      <c r="Y222" t="s">
        <v>37</v>
      </c>
      <c r="Z222">
        <v>29</v>
      </c>
      <c r="AA222" t="s">
        <v>38</v>
      </c>
      <c r="AB222" t="s">
        <v>120</v>
      </c>
      <c r="AC222" t="s">
        <v>39</v>
      </c>
    </row>
    <row r="223" spans="1:29" x14ac:dyDescent="0.35">
      <c r="A223" t="s">
        <v>301</v>
      </c>
      <c r="B223" t="s">
        <v>29</v>
      </c>
      <c r="C223" s="1">
        <v>44722</v>
      </c>
      <c r="D223" s="2">
        <v>0.5395833333333333</v>
      </c>
      <c r="E223" s="2">
        <v>2.7083333333333334E-3</v>
      </c>
      <c r="K223" t="s">
        <v>30</v>
      </c>
      <c r="L223" t="s">
        <v>31</v>
      </c>
      <c r="M223" t="s">
        <v>49</v>
      </c>
      <c r="N223">
        <v>20</v>
      </c>
      <c r="O223" t="s">
        <v>70</v>
      </c>
      <c r="P223" t="s">
        <v>44</v>
      </c>
      <c r="Q223">
        <v>2</v>
      </c>
      <c r="R223">
        <v>8</v>
      </c>
      <c r="S223">
        <v>7</v>
      </c>
      <c r="T223">
        <v>6</v>
      </c>
      <c r="U223">
        <v>5</v>
      </c>
      <c r="V223">
        <v>6</v>
      </c>
      <c r="W223" t="s">
        <v>66</v>
      </c>
      <c r="X223" t="s">
        <v>52</v>
      </c>
      <c r="Y223" t="s">
        <v>37</v>
      </c>
      <c r="Z223">
        <v>41</v>
      </c>
      <c r="AA223" t="s">
        <v>50</v>
      </c>
      <c r="AB223" t="s">
        <v>124</v>
      </c>
      <c r="AC223" t="s">
        <v>71</v>
      </c>
    </row>
    <row r="224" spans="1:29" x14ac:dyDescent="0.35">
      <c r="A224" t="s">
        <v>302</v>
      </c>
      <c r="B224" t="s">
        <v>29</v>
      </c>
      <c r="C224" s="1">
        <v>44722</v>
      </c>
      <c r="D224" s="2">
        <v>0.54027777777777775</v>
      </c>
      <c r="E224" s="2">
        <v>1.3194444444444443E-3</v>
      </c>
      <c r="K224" t="s">
        <v>50</v>
      </c>
      <c r="L224" t="s">
        <v>41</v>
      </c>
      <c r="M224" t="s">
        <v>49</v>
      </c>
      <c r="N224">
        <v>20</v>
      </c>
      <c r="O224" t="s">
        <v>50</v>
      </c>
      <c r="P224" t="s">
        <v>44</v>
      </c>
      <c r="Q224">
        <v>1</v>
      </c>
      <c r="R224">
        <v>7</v>
      </c>
      <c r="S224">
        <v>7</v>
      </c>
      <c r="T224">
        <v>1</v>
      </c>
      <c r="U224">
        <v>4</v>
      </c>
      <c r="V224">
        <v>10</v>
      </c>
      <c r="W224" t="s">
        <v>66</v>
      </c>
      <c r="X224" t="s">
        <v>60</v>
      </c>
      <c r="Y224" t="s">
        <v>37</v>
      </c>
      <c r="Z224">
        <v>23</v>
      </c>
      <c r="AA224" t="s">
        <v>38</v>
      </c>
      <c r="AB224" t="s">
        <v>133</v>
      </c>
      <c r="AC224" t="s">
        <v>39</v>
      </c>
    </row>
    <row r="225" spans="1:29" x14ac:dyDescent="0.35">
      <c r="A225" t="s">
        <v>303</v>
      </c>
      <c r="B225" t="s">
        <v>29</v>
      </c>
      <c r="C225" s="1">
        <v>44722</v>
      </c>
      <c r="D225" s="2">
        <v>0.54652777777777783</v>
      </c>
      <c r="E225" s="2">
        <v>2.4768518518518516E-3</v>
      </c>
      <c r="K225" t="s">
        <v>30</v>
      </c>
      <c r="L225" t="s">
        <v>31</v>
      </c>
      <c r="M225" t="s">
        <v>49</v>
      </c>
      <c r="N225">
        <v>20</v>
      </c>
      <c r="O225" t="s">
        <v>43</v>
      </c>
      <c r="P225" t="s">
        <v>34</v>
      </c>
      <c r="Q225">
        <v>4</v>
      </c>
      <c r="R225">
        <v>7</v>
      </c>
      <c r="S225">
        <v>8</v>
      </c>
      <c r="T225">
        <v>7</v>
      </c>
      <c r="U225">
        <v>8</v>
      </c>
      <c r="V225">
        <v>8</v>
      </c>
      <c r="W225" t="s">
        <v>59</v>
      </c>
      <c r="X225" t="s">
        <v>60</v>
      </c>
      <c r="Y225" t="s">
        <v>37</v>
      </c>
      <c r="Z225">
        <v>31</v>
      </c>
      <c r="AA225" t="s">
        <v>50</v>
      </c>
      <c r="AB225" t="s">
        <v>124</v>
      </c>
      <c r="AC225" t="s">
        <v>53</v>
      </c>
    </row>
    <row r="226" spans="1:29" x14ac:dyDescent="0.35">
      <c r="A226" t="s">
        <v>304</v>
      </c>
      <c r="B226" t="s">
        <v>29</v>
      </c>
      <c r="C226" s="1">
        <v>44722</v>
      </c>
      <c r="D226" s="2">
        <v>0.54722222222222217</v>
      </c>
      <c r="E226" s="2">
        <v>1.0069444444444444E-3</v>
      </c>
      <c r="K226" t="s">
        <v>30</v>
      </c>
      <c r="L226" t="s">
        <v>41</v>
      </c>
      <c r="M226" t="s">
        <v>49</v>
      </c>
      <c r="N226">
        <v>20</v>
      </c>
      <c r="O226" t="s">
        <v>33</v>
      </c>
      <c r="P226" t="s">
        <v>34</v>
      </c>
      <c r="Q226">
        <v>0</v>
      </c>
      <c r="R226">
        <v>10</v>
      </c>
      <c r="S226">
        <v>10</v>
      </c>
      <c r="T226">
        <v>10</v>
      </c>
      <c r="U226">
        <v>10</v>
      </c>
      <c r="V226">
        <v>10</v>
      </c>
      <c r="W226" t="s">
        <v>59</v>
      </c>
      <c r="X226" t="s">
        <v>60</v>
      </c>
      <c r="Y226" t="s">
        <v>37</v>
      </c>
      <c r="Z226">
        <v>22</v>
      </c>
      <c r="AA226" t="s">
        <v>50</v>
      </c>
      <c r="AB226" t="s">
        <v>124</v>
      </c>
      <c r="AC226" t="s">
        <v>305</v>
      </c>
    </row>
    <row r="227" spans="1:29" x14ac:dyDescent="0.35">
      <c r="A227" t="s">
        <v>306</v>
      </c>
      <c r="B227" t="s">
        <v>29</v>
      </c>
      <c r="C227" s="1">
        <v>44722</v>
      </c>
      <c r="D227" s="2">
        <v>0.54722222222222217</v>
      </c>
      <c r="E227" s="2">
        <v>1.2847222222222223E-3</v>
      </c>
      <c r="K227" t="s">
        <v>30</v>
      </c>
      <c r="L227" t="s">
        <v>41</v>
      </c>
      <c r="M227" t="s">
        <v>73</v>
      </c>
      <c r="N227">
        <v>76</v>
      </c>
      <c r="O227" t="s">
        <v>43</v>
      </c>
      <c r="P227" t="s">
        <v>34</v>
      </c>
      <c r="Q227">
        <v>3</v>
      </c>
      <c r="R227">
        <v>5</v>
      </c>
      <c r="S227">
        <v>5</v>
      </c>
      <c r="T227">
        <v>5</v>
      </c>
      <c r="U227">
        <v>3</v>
      </c>
      <c r="V227">
        <v>3</v>
      </c>
      <c r="W227" t="s">
        <v>35</v>
      </c>
      <c r="X227" t="s">
        <v>60</v>
      </c>
      <c r="Y227" t="s">
        <v>37</v>
      </c>
      <c r="Z227">
        <v>29</v>
      </c>
      <c r="AA227" t="s">
        <v>38</v>
      </c>
      <c r="AB227" t="s">
        <v>126</v>
      </c>
      <c r="AC227" t="s">
        <v>71</v>
      </c>
    </row>
    <row r="228" spans="1:29" x14ac:dyDescent="0.35">
      <c r="A228" t="s">
        <v>307</v>
      </c>
      <c r="B228" t="s">
        <v>29</v>
      </c>
      <c r="C228" s="1">
        <v>44722</v>
      </c>
      <c r="D228" s="2">
        <v>0.54791666666666672</v>
      </c>
      <c r="E228" s="2">
        <v>1.4351851851851854E-3</v>
      </c>
      <c r="K228" t="s">
        <v>63</v>
      </c>
      <c r="L228" t="s">
        <v>31</v>
      </c>
      <c r="M228" t="s">
        <v>49</v>
      </c>
      <c r="N228">
        <v>20</v>
      </c>
      <c r="O228" t="s">
        <v>76</v>
      </c>
      <c r="P228" t="s">
        <v>34</v>
      </c>
      <c r="Q228">
        <v>4</v>
      </c>
      <c r="R228">
        <v>4</v>
      </c>
      <c r="S228">
        <v>4</v>
      </c>
      <c r="T228">
        <v>0</v>
      </c>
      <c r="U228">
        <v>0</v>
      </c>
      <c r="V228">
        <v>6</v>
      </c>
      <c r="W228" t="s">
        <v>59</v>
      </c>
      <c r="X228" t="s">
        <v>82</v>
      </c>
      <c r="Y228" t="s">
        <v>37</v>
      </c>
      <c r="Z228">
        <v>23</v>
      </c>
      <c r="AA228" t="s">
        <v>50</v>
      </c>
      <c r="AB228" t="s">
        <v>124</v>
      </c>
      <c r="AC228" t="s">
        <v>50</v>
      </c>
    </row>
    <row r="229" spans="1:29" x14ac:dyDescent="0.35">
      <c r="A229" t="s">
        <v>308</v>
      </c>
      <c r="B229" t="s">
        <v>29</v>
      </c>
      <c r="C229" s="1">
        <v>44722</v>
      </c>
      <c r="D229" s="2">
        <v>0.54999999999999993</v>
      </c>
      <c r="E229" s="2">
        <v>9.8379629629629642E-4</v>
      </c>
      <c r="K229" t="s">
        <v>86</v>
      </c>
      <c r="L229" t="s">
        <v>41</v>
      </c>
      <c r="M229" t="s">
        <v>49</v>
      </c>
      <c r="N229">
        <v>20</v>
      </c>
      <c r="O229" t="s">
        <v>50</v>
      </c>
      <c r="P229" t="s">
        <v>50</v>
      </c>
      <c r="Q229">
        <v>0</v>
      </c>
      <c r="R229">
        <v>0</v>
      </c>
      <c r="S229">
        <v>1</v>
      </c>
      <c r="T229">
        <v>1</v>
      </c>
      <c r="U229">
        <v>0</v>
      </c>
      <c r="V229">
        <v>1</v>
      </c>
      <c r="W229" t="s">
        <v>66</v>
      </c>
      <c r="X229" t="s">
        <v>36</v>
      </c>
      <c r="Y229" t="s">
        <v>57</v>
      </c>
      <c r="Z229">
        <v>24</v>
      </c>
      <c r="AA229" t="s">
        <v>38</v>
      </c>
      <c r="AB229" t="s">
        <v>120</v>
      </c>
      <c r="AC229" t="s">
        <v>71</v>
      </c>
    </row>
    <row r="230" spans="1:29" x14ac:dyDescent="0.35">
      <c r="A230" t="s">
        <v>309</v>
      </c>
      <c r="B230" t="s">
        <v>29</v>
      </c>
      <c r="C230" s="1">
        <v>44722</v>
      </c>
      <c r="D230" s="2">
        <v>0.55069444444444449</v>
      </c>
      <c r="E230" s="2">
        <v>1.4930555555555556E-3</v>
      </c>
      <c r="K230" t="s">
        <v>30</v>
      </c>
      <c r="L230" t="s">
        <v>31</v>
      </c>
      <c r="M230" t="s">
        <v>73</v>
      </c>
      <c r="N230">
        <v>76</v>
      </c>
      <c r="O230" t="s">
        <v>50</v>
      </c>
      <c r="P230" t="s">
        <v>34</v>
      </c>
      <c r="Q230">
        <v>5</v>
      </c>
      <c r="R230">
        <v>9</v>
      </c>
      <c r="S230">
        <v>10</v>
      </c>
      <c r="T230">
        <v>10</v>
      </c>
      <c r="U230">
        <v>5</v>
      </c>
      <c r="V230">
        <v>10</v>
      </c>
      <c r="W230" t="s">
        <v>66</v>
      </c>
      <c r="X230" t="s">
        <v>60</v>
      </c>
      <c r="Y230" t="s">
        <v>37</v>
      </c>
      <c r="Z230">
        <v>26</v>
      </c>
      <c r="AA230" t="s">
        <v>38</v>
      </c>
      <c r="AB230" t="s">
        <v>124</v>
      </c>
      <c r="AC230" t="s">
        <v>53</v>
      </c>
    </row>
    <row r="231" spans="1:29" x14ac:dyDescent="0.35">
      <c r="A231" t="s">
        <v>310</v>
      </c>
      <c r="B231" t="s">
        <v>29</v>
      </c>
      <c r="C231" s="1">
        <v>44722</v>
      </c>
      <c r="D231" s="2">
        <v>0.55277777777777781</v>
      </c>
      <c r="E231" s="2">
        <v>1.0416666666666667E-3</v>
      </c>
      <c r="K231" t="s">
        <v>86</v>
      </c>
      <c r="L231" t="s">
        <v>31</v>
      </c>
      <c r="M231" t="s">
        <v>49</v>
      </c>
      <c r="N231">
        <v>20</v>
      </c>
      <c r="O231" t="s">
        <v>43</v>
      </c>
      <c r="P231" t="s">
        <v>34</v>
      </c>
      <c r="Q231">
        <v>4</v>
      </c>
      <c r="R231">
        <v>3</v>
      </c>
      <c r="S231">
        <v>5</v>
      </c>
      <c r="T231">
        <v>2</v>
      </c>
      <c r="U231">
        <v>2</v>
      </c>
      <c r="V231">
        <v>3</v>
      </c>
      <c r="W231" t="s">
        <v>59</v>
      </c>
      <c r="X231" t="s">
        <v>82</v>
      </c>
      <c r="Y231" t="s">
        <v>37</v>
      </c>
      <c r="Z231">
        <v>31</v>
      </c>
      <c r="AA231" t="s">
        <v>95</v>
      </c>
      <c r="AB231" t="s">
        <v>124</v>
      </c>
      <c r="AC231" t="s">
        <v>46</v>
      </c>
    </row>
    <row r="232" spans="1:29" x14ac:dyDescent="0.35">
      <c r="A232" t="s">
        <v>311</v>
      </c>
      <c r="B232" t="s">
        <v>29</v>
      </c>
      <c r="C232" s="1">
        <v>44722</v>
      </c>
      <c r="D232" s="2">
        <v>0.55555555555555558</v>
      </c>
      <c r="E232" s="2">
        <v>1.0532407407407407E-3</v>
      </c>
      <c r="K232" t="s">
        <v>30</v>
      </c>
      <c r="L232" t="s">
        <v>31</v>
      </c>
      <c r="M232" t="s">
        <v>49</v>
      </c>
      <c r="N232">
        <v>20</v>
      </c>
      <c r="O232" t="s">
        <v>50</v>
      </c>
      <c r="P232" t="s">
        <v>34</v>
      </c>
      <c r="Q232">
        <v>1</v>
      </c>
      <c r="R232">
        <v>1</v>
      </c>
      <c r="S232">
        <v>1</v>
      </c>
      <c r="T232">
        <v>1</v>
      </c>
      <c r="U232">
        <v>7</v>
      </c>
      <c r="V232">
        <v>9</v>
      </c>
      <c r="W232" t="s">
        <v>66</v>
      </c>
      <c r="X232" t="s">
        <v>36</v>
      </c>
      <c r="Y232" t="s">
        <v>37</v>
      </c>
      <c r="Z232">
        <v>22</v>
      </c>
      <c r="AA232" t="s">
        <v>50</v>
      </c>
      <c r="AB232" t="s">
        <v>124</v>
      </c>
      <c r="AC232" t="s">
        <v>53</v>
      </c>
    </row>
    <row r="233" spans="1:29" x14ac:dyDescent="0.35">
      <c r="A233" t="s">
        <v>312</v>
      </c>
      <c r="B233" t="s">
        <v>29</v>
      </c>
      <c r="C233" s="1">
        <v>44722</v>
      </c>
      <c r="D233" s="2">
        <v>0.56180555555555556</v>
      </c>
      <c r="E233" s="2">
        <v>1.7592592592592592E-3</v>
      </c>
      <c r="K233" t="s">
        <v>30</v>
      </c>
      <c r="L233" t="s">
        <v>31</v>
      </c>
      <c r="M233" t="s">
        <v>73</v>
      </c>
      <c r="N233">
        <v>76</v>
      </c>
      <c r="O233" t="s">
        <v>50</v>
      </c>
      <c r="P233" t="s">
        <v>34</v>
      </c>
      <c r="Q233">
        <v>7</v>
      </c>
      <c r="R233">
        <v>8</v>
      </c>
      <c r="S233">
        <v>10</v>
      </c>
      <c r="T233">
        <v>8</v>
      </c>
      <c r="U233">
        <v>7</v>
      </c>
      <c r="V233">
        <v>5</v>
      </c>
      <c r="W233" t="s">
        <v>66</v>
      </c>
      <c r="X233" t="s">
        <v>36</v>
      </c>
      <c r="Y233" t="s">
        <v>37</v>
      </c>
      <c r="Z233">
        <v>31</v>
      </c>
      <c r="AA233" t="s">
        <v>50</v>
      </c>
      <c r="AB233" t="s">
        <v>124</v>
      </c>
      <c r="AC233" t="s">
        <v>39</v>
      </c>
    </row>
    <row r="234" spans="1:29" x14ac:dyDescent="0.35">
      <c r="A234" t="s">
        <v>313</v>
      </c>
      <c r="B234" t="s">
        <v>29</v>
      </c>
      <c r="C234" s="1">
        <v>44722</v>
      </c>
      <c r="D234" s="2">
        <v>0.56319444444444444</v>
      </c>
      <c r="E234" s="2">
        <v>9.3750000000000007E-4</v>
      </c>
      <c r="K234" t="s">
        <v>86</v>
      </c>
      <c r="L234" t="s">
        <v>31</v>
      </c>
      <c r="M234" t="s">
        <v>49</v>
      </c>
      <c r="N234">
        <v>20</v>
      </c>
      <c r="O234" t="s">
        <v>76</v>
      </c>
      <c r="P234" t="s">
        <v>34</v>
      </c>
      <c r="Q234">
        <v>0</v>
      </c>
      <c r="R234">
        <v>4</v>
      </c>
      <c r="S234">
        <v>0</v>
      </c>
      <c r="T234">
        <v>0</v>
      </c>
      <c r="U234">
        <v>4</v>
      </c>
      <c r="V234">
        <v>5</v>
      </c>
      <c r="W234" t="s">
        <v>66</v>
      </c>
      <c r="X234" t="s">
        <v>60</v>
      </c>
      <c r="Y234" t="s">
        <v>37</v>
      </c>
      <c r="Z234">
        <v>27</v>
      </c>
      <c r="AA234" t="s">
        <v>38</v>
      </c>
      <c r="AB234" t="s">
        <v>126</v>
      </c>
      <c r="AC234" t="s">
        <v>46</v>
      </c>
    </row>
    <row r="235" spans="1:29" x14ac:dyDescent="0.35">
      <c r="A235" t="s">
        <v>314</v>
      </c>
      <c r="B235" t="s">
        <v>29</v>
      </c>
      <c r="C235" s="1">
        <v>44722</v>
      </c>
      <c r="D235" s="2">
        <v>0.56388888888888888</v>
      </c>
      <c r="E235" s="2">
        <v>1.0648148148148147E-3</v>
      </c>
      <c r="K235" t="s">
        <v>86</v>
      </c>
      <c r="L235" t="s">
        <v>41</v>
      </c>
      <c r="M235" t="s">
        <v>49</v>
      </c>
      <c r="N235">
        <v>20</v>
      </c>
      <c r="O235" t="s">
        <v>50</v>
      </c>
      <c r="P235" t="s">
        <v>34</v>
      </c>
      <c r="Q235">
        <v>1</v>
      </c>
      <c r="R235">
        <v>1</v>
      </c>
      <c r="S235">
        <v>2</v>
      </c>
      <c r="T235">
        <v>1</v>
      </c>
      <c r="U235">
        <v>1</v>
      </c>
      <c r="V235">
        <v>1</v>
      </c>
      <c r="W235" t="s">
        <v>59</v>
      </c>
      <c r="X235" t="s">
        <v>60</v>
      </c>
      <c r="Y235" t="s">
        <v>57</v>
      </c>
      <c r="Z235">
        <v>25</v>
      </c>
      <c r="AA235" t="s">
        <v>38</v>
      </c>
      <c r="AB235" t="s">
        <v>124</v>
      </c>
      <c r="AC235" t="s">
        <v>46</v>
      </c>
    </row>
    <row r="236" spans="1:29" x14ac:dyDescent="0.35">
      <c r="A236" t="s">
        <v>315</v>
      </c>
      <c r="B236" t="s">
        <v>29</v>
      </c>
      <c r="C236" s="1">
        <v>44722</v>
      </c>
      <c r="D236" s="2">
        <v>0.56736111111111109</v>
      </c>
      <c r="E236" s="2">
        <v>1.6875000000000001E-2</v>
      </c>
      <c r="K236" t="s">
        <v>30</v>
      </c>
      <c r="L236" t="s">
        <v>31</v>
      </c>
      <c r="M236" t="s">
        <v>49</v>
      </c>
      <c r="N236">
        <v>20</v>
      </c>
      <c r="O236" t="s">
        <v>33</v>
      </c>
      <c r="P236" t="s">
        <v>34</v>
      </c>
      <c r="Q236">
        <v>4</v>
      </c>
      <c r="R236">
        <v>10</v>
      </c>
      <c r="S236">
        <v>10</v>
      </c>
      <c r="T236">
        <v>8</v>
      </c>
      <c r="U236">
        <v>8</v>
      </c>
      <c r="V236">
        <v>10</v>
      </c>
      <c r="W236" t="s">
        <v>51</v>
      </c>
      <c r="X236" t="s">
        <v>52</v>
      </c>
      <c r="Y236" t="s">
        <v>37</v>
      </c>
      <c r="Z236">
        <v>30</v>
      </c>
      <c r="AA236" t="s">
        <v>50</v>
      </c>
      <c r="AB236" t="s">
        <v>126</v>
      </c>
      <c r="AC236" t="s">
        <v>71</v>
      </c>
    </row>
    <row r="237" spans="1:29" x14ac:dyDescent="0.35">
      <c r="A237" t="s">
        <v>316</v>
      </c>
      <c r="B237" t="s">
        <v>29</v>
      </c>
      <c r="C237" s="1">
        <v>44722</v>
      </c>
      <c r="D237" s="2">
        <v>0.56874999999999998</v>
      </c>
      <c r="E237" s="2">
        <v>1.2037037037037038E-3</v>
      </c>
      <c r="K237" t="s">
        <v>30</v>
      </c>
      <c r="L237" t="s">
        <v>31</v>
      </c>
      <c r="M237" t="s">
        <v>42</v>
      </c>
      <c r="N237">
        <v>53</v>
      </c>
      <c r="O237" t="s">
        <v>33</v>
      </c>
      <c r="P237" t="s">
        <v>44</v>
      </c>
      <c r="Q237">
        <v>0</v>
      </c>
      <c r="R237">
        <v>6</v>
      </c>
      <c r="S237">
        <v>5</v>
      </c>
      <c r="T237">
        <v>6</v>
      </c>
      <c r="U237">
        <v>0</v>
      </c>
      <c r="V237">
        <v>2</v>
      </c>
      <c r="W237" t="s">
        <v>51</v>
      </c>
      <c r="X237" t="s">
        <v>50</v>
      </c>
      <c r="Y237" t="s">
        <v>37</v>
      </c>
      <c r="Z237">
        <v>28</v>
      </c>
      <c r="AA237" t="s">
        <v>38</v>
      </c>
      <c r="AB237" t="s">
        <v>126</v>
      </c>
      <c r="AC237" t="s">
        <v>71</v>
      </c>
    </row>
    <row r="238" spans="1:29" x14ac:dyDescent="0.35">
      <c r="A238" t="s">
        <v>317</v>
      </c>
      <c r="B238" t="s">
        <v>29</v>
      </c>
      <c r="C238" s="1">
        <v>44722</v>
      </c>
      <c r="D238" s="2">
        <v>0.56944444444444442</v>
      </c>
      <c r="E238" s="2">
        <v>1.1226851851851851E-3</v>
      </c>
      <c r="K238" t="s">
        <v>30</v>
      </c>
      <c r="L238" t="s">
        <v>41</v>
      </c>
      <c r="M238" t="s">
        <v>65</v>
      </c>
      <c r="N238">
        <v>138</v>
      </c>
      <c r="O238" t="s">
        <v>43</v>
      </c>
      <c r="P238" t="s">
        <v>34</v>
      </c>
      <c r="Q238">
        <v>6</v>
      </c>
      <c r="R238">
        <v>6</v>
      </c>
      <c r="S238">
        <v>5</v>
      </c>
      <c r="T238">
        <v>4</v>
      </c>
      <c r="U238">
        <v>2</v>
      </c>
      <c r="V238">
        <v>4</v>
      </c>
      <c r="W238" t="s">
        <v>51</v>
      </c>
      <c r="X238" t="s">
        <v>36</v>
      </c>
      <c r="Y238" t="s">
        <v>37</v>
      </c>
      <c r="Z238">
        <v>26</v>
      </c>
      <c r="AA238" t="s">
        <v>38</v>
      </c>
      <c r="AB238" t="s">
        <v>124</v>
      </c>
      <c r="AC238" t="s">
        <v>39</v>
      </c>
    </row>
    <row r="239" spans="1:29" x14ac:dyDescent="0.35">
      <c r="A239" t="s">
        <v>318</v>
      </c>
      <c r="B239" t="s">
        <v>29</v>
      </c>
      <c r="C239" s="1">
        <v>44722</v>
      </c>
      <c r="D239" s="2">
        <v>0.57708333333333328</v>
      </c>
      <c r="E239" s="2">
        <v>1.1574074074074073E-3</v>
      </c>
      <c r="K239" t="s">
        <v>63</v>
      </c>
      <c r="L239" t="s">
        <v>31</v>
      </c>
      <c r="M239" t="s">
        <v>65</v>
      </c>
      <c r="N239">
        <v>138</v>
      </c>
      <c r="O239" t="s">
        <v>50</v>
      </c>
      <c r="P239" t="s">
        <v>34</v>
      </c>
      <c r="Q239">
        <v>6</v>
      </c>
      <c r="R239">
        <v>7</v>
      </c>
      <c r="S239">
        <v>7</v>
      </c>
      <c r="T239">
        <v>10</v>
      </c>
      <c r="U239">
        <v>6</v>
      </c>
      <c r="V239">
        <v>7</v>
      </c>
      <c r="W239" t="s">
        <v>66</v>
      </c>
      <c r="X239" t="s">
        <v>36</v>
      </c>
      <c r="Y239" t="s">
        <v>57</v>
      </c>
      <c r="Z239">
        <v>32</v>
      </c>
      <c r="AA239" t="s">
        <v>38</v>
      </c>
      <c r="AB239" t="s">
        <v>126</v>
      </c>
      <c r="AC239" t="s">
        <v>39</v>
      </c>
    </row>
    <row r="240" spans="1:29" x14ac:dyDescent="0.35">
      <c r="A240" t="s">
        <v>319</v>
      </c>
      <c r="B240" t="s">
        <v>29</v>
      </c>
      <c r="C240" s="1">
        <v>44722</v>
      </c>
      <c r="D240" s="2">
        <v>0.57777777777777783</v>
      </c>
      <c r="E240" s="2">
        <v>1.8634259259259261E-3</v>
      </c>
      <c r="K240" t="s">
        <v>30</v>
      </c>
      <c r="L240" t="s">
        <v>31</v>
      </c>
      <c r="M240" t="s">
        <v>49</v>
      </c>
      <c r="N240">
        <v>20</v>
      </c>
      <c r="O240" t="s">
        <v>50</v>
      </c>
      <c r="P240" t="s">
        <v>50</v>
      </c>
      <c r="Q240">
        <v>3</v>
      </c>
      <c r="R240">
        <v>5</v>
      </c>
      <c r="S240">
        <v>6</v>
      </c>
      <c r="T240">
        <v>4</v>
      </c>
      <c r="U240">
        <v>6</v>
      </c>
      <c r="V240">
        <v>6</v>
      </c>
      <c r="W240" t="s">
        <v>66</v>
      </c>
      <c r="X240" t="s">
        <v>60</v>
      </c>
      <c r="Y240" t="s">
        <v>57</v>
      </c>
      <c r="Z240">
        <v>40</v>
      </c>
      <c r="AA240" t="s">
        <v>50</v>
      </c>
      <c r="AB240" t="s">
        <v>153</v>
      </c>
      <c r="AC240" t="s">
        <v>39</v>
      </c>
    </row>
    <row r="241" spans="1:29" x14ac:dyDescent="0.35">
      <c r="A241" t="s">
        <v>320</v>
      </c>
      <c r="B241" t="s">
        <v>29</v>
      </c>
      <c r="C241" s="1">
        <v>44722</v>
      </c>
      <c r="D241" s="2">
        <v>0.57916666666666672</v>
      </c>
      <c r="E241" s="2">
        <v>1.8287037037037037E-3</v>
      </c>
      <c r="K241" t="s">
        <v>48</v>
      </c>
      <c r="L241" t="s">
        <v>31</v>
      </c>
      <c r="M241" t="s">
        <v>49</v>
      </c>
      <c r="N241">
        <v>20</v>
      </c>
      <c r="O241" t="s">
        <v>50</v>
      </c>
      <c r="P241" t="s">
        <v>34</v>
      </c>
      <c r="Q241">
        <v>4</v>
      </c>
      <c r="R241">
        <v>7</v>
      </c>
      <c r="S241">
        <v>7</v>
      </c>
      <c r="T241">
        <v>6</v>
      </c>
      <c r="U241">
        <v>8</v>
      </c>
      <c r="V241">
        <v>7</v>
      </c>
      <c r="W241" t="s">
        <v>66</v>
      </c>
      <c r="X241" t="s">
        <v>60</v>
      </c>
      <c r="Y241" t="s">
        <v>37</v>
      </c>
      <c r="Z241">
        <v>36</v>
      </c>
      <c r="AA241" t="s">
        <v>50</v>
      </c>
      <c r="AB241" t="s">
        <v>133</v>
      </c>
      <c r="AC241" t="s">
        <v>46</v>
      </c>
    </row>
    <row r="242" spans="1:29" x14ac:dyDescent="0.35">
      <c r="A242" t="s">
        <v>321</v>
      </c>
      <c r="B242" t="s">
        <v>29</v>
      </c>
      <c r="C242" s="1">
        <v>44722</v>
      </c>
      <c r="D242" s="2">
        <v>0.57916666666666672</v>
      </c>
      <c r="E242" s="2">
        <v>1.0300925925925926E-3</v>
      </c>
      <c r="K242" t="s">
        <v>30</v>
      </c>
      <c r="L242" t="s">
        <v>31</v>
      </c>
      <c r="M242" t="s">
        <v>73</v>
      </c>
      <c r="N242">
        <v>76</v>
      </c>
      <c r="O242" t="s">
        <v>43</v>
      </c>
      <c r="P242" t="s">
        <v>34</v>
      </c>
      <c r="Q242">
        <v>6</v>
      </c>
      <c r="R242">
        <v>10</v>
      </c>
      <c r="S242">
        <v>9</v>
      </c>
      <c r="T242">
        <v>9</v>
      </c>
      <c r="U242">
        <v>9</v>
      </c>
      <c r="V242">
        <v>10</v>
      </c>
      <c r="W242" t="s">
        <v>59</v>
      </c>
      <c r="X242" t="s">
        <v>60</v>
      </c>
      <c r="Y242" t="s">
        <v>37</v>
      </c>
      <c r="Z242">
        <v>35</v>
      </c>
      <c r="AA242" t="s">
        <v>38</v>
      </c>
      <c r="AB242" t="s">
        <v>124</v>
      </c>
      <c r="AC242" t="s">
        <v>71</v>
      </c>
    </row>
    <row r="243" spans="1:29" x14ac:dyDescent="0.35">
      <c r="A243" t="s">
        <v>322</v>
      </c>
      <c r="B243" t="s">
        <v>29</v>
      </c>
      <c r="C243" s="1">
        <v>44722</v>
      </c>
      <c r="D243" s="2">
        <v>0.5805555555555556</v>
      </c>
      <c r="E243" s="2">
        <v>6.8287037037037025E-4</v>
      </c>
      <c r="K243" t="s">
        <v>30</v>
      </c>
      <c r="L243" t="s">
        <v>31</v>
      </c>
      <c r="M243" t="s">
        <v>73</v>
      </c>
      <c r="N243">
        <v>76</v>
      </c>
      <c r="O243" t="s">
        <v>76</v>
      </c>
      <c r="P243" t="s">
        <v>34</v>
      </c>
      <c r="Q243">
        <v>3</v>
      </c>
      <c r="R243">
        <v>4</v>
      </c>
      <c r="S243">
        <v>4</v>
      </c>
      <c r="T243">
        <v>4</v>
      </c>
      <c r="U243">
        <v>5</v>
      </c>
      <c r="V243">
        <v>5</v>
      </c>
      <c r="W243" t="s">
        <v>35</v>
      </c>
      <c r="X243" t="s">
        <v>52</v>
      </c>
      <c r="Y243" t="s">
        <v>37</v>
      </c>
      <c r="Z243">
        <v>29</v>
      </c>
      <c r="AA243" t="s">
        <v>38</v>
      </c>
      <c r="AB243" t="s">
        <v>126</v>
      </c>
      <c r="AC243" t="s">
        <v>46</v>
      </c>
    </row>
    <row r="244" spans="1:29" x14ac:dyDescent="0.35">
      <c r="A244" t="s">
        <v>323</v>
      </c>
      <c r="B244" t="s">
        <v>29</v>
      </c>
      <c r="C244" s="1">
        <v>44722</v>
      </c>
      <c r="D244" s="2">
        <v>0.5805555555555556</v>
      </c>
      <c r="E244" s="2">
        <v>2.8703703703703708E-3</v>
      </c>
      <c r="K244" t="s">
        <v>30</v>
      </c>
      <c r="L244" t="s">
        <v>41</v>
      </c>
      <c r="M244" t="s">
        <v>42</v>
      </c>
      <c r="N244">
        <v>53</v>
      </c>
      <c r="O244" t="s">
        <v>43</v>
      </c>
      <c r="P244" t="s">
        <v>34</v>
      </c>
      <c r="Q244">
        <v>6</v>
      </c>
      <c r="R244">
        <v>5</v>
      </c>
      <c r="S244">
        <v>9</v>
      </c>
      <c r="T244">
        <v>9</v>
      </c>
      <c r="U244">
        <v>7</v>
      </c>
      <c r="V244">
        <v>5</v>
      </c>
      <c r="W244" t="s">
        <v>66</v>
      </c>
      <c r="X244" t="s">
        <v>50</v>
      </c>
      <c r="Y244" t="s">
        <v>57</v>
      </c>
      <c r="Z244">
        <v>25</v>
      </c>
      <c r="AA244" t="s">
        <v>50</v>
      </c>
      <c r="AB244" t="s">
        <v>126</v>
      </c>
      <c r="AC244" t="s">
        <v>71</v>
      </c>
    </row>
    <row r="245" spans="1:29" x14ac:dyDescent="0.35">
      <c r="A245" t="s">
        <v>324</v>
      </c>
      <c r="B245" t="s">
        <v>29</v>
      </c>
      <c r="C245" s="1">
        <v>44722</v>
      </c>
      <c r="D245" s="2">
        <v>0.5805555555555556</v>
      </c>
      <c r="E245" s="2">
        <v>1.4467592592592594E-3</v>
      </c>
      <c r="K245" t="s">
        <v>325</v>
      </c>
      <c r="L245" t="s">
        <v>31</v>
      </c>
      <c r="M245" t="s">
        <v>42</v>
      </c>
      <c r="N245">
        <v>53</v>
      </c>
      <c r="O245" t="s">
        <v>50</v>
      </c>
      <c r="P245" t="s">
        <v>34</v>
      </c>
      <c r="Q245">
        <v>6</v>
      </c>
      <c r="R245">
        <v>8</v>
      </c>
      <c r="S245">
        <v>8</v>
      </c>
      <c r="T245">
        <v>9</v>
      </c>
      <c r="U245">
        <v>6</v>
      </c>
      <c r="V245">
        <v>8</v>
      </c>
      <c r="W245" t="s">
        <v>59</v>
      </c>
      <c r="X245" t="s">
        <v>36</v>
      </c>
      <c r="Y245" t="s">
        <v>37</v>
      </c>
      <c r="Z245">
        <v>29</v>
      </c>
      <c r="AA245" t="s">
        <v>38</v>
      </c>
      <c r="AB245" t="s">
        <v>124</v>
      </c>
      <c r="AC245" t="s">
        <v>39</v>
      </c>
    </row>
    <row r="246" spans="1:29" x14ac:dyDescent="0.35">
      <c r="A246" t="s">
        <v>326</v>
      </c>
      <c r="B246" t="s">
        <v>29</v>
      </c>
      <c r="C246" s="1">
        <v>44722</v>
      </c>
      <c r="D246" s="2">
        <v>0.58402777777777781</v>
      </c>
      <c r="E246" s="2">
        <v>1.4351851851851854E-3</v>
      </c>
      <c r="K246" t="s">
        <v>30</v>
      </c>
      <c r="L246" t="s">
        <v>41</v>
      </c>
      <c r="M246" t="s">
        <v>68</v>
      </c>
      <c r="N246">
        <v>96</v>
      </c>
      <c r="O246" t="s">
        <v>327</v>
      </c>
      <c r="P246" t="s">
        <v>34</v>
      </c>
      <c r="Q246">
        <v>7</v>
      </c>
      <c r="R246">
        <v>6</v>
      </c>
      <c r="S246">
        <v>7</v>
      </c>
      <c r="T246">
        <v>4</v>
      </c>
      <c r="U246">
        <v>5</v>
      </c>
      <c r="V246">
        <v>8</v>
      </c>
      <c r="W246" t="s">
        <v>59</v>
      </c>
      <c r="X246" t="s">
        <v>52</v>
      </c>
      <c r="Y246" t="s">
        <v>37</v>
      </c>
      <c r="Z246">
        <v>26</v>
      </c>
      <c r="AA246" t="s">
        <v>38</v>
      </c>
      <c r="AB246" t="s">
        <v>124</v>
      </c>
      <c r="AC246" t="s">
        <v>53</v>
      </c>
    </row>
    <row r="247" spans="1:29" x14ac:dyDescent="0.35">
      <c r="A247" t="s">
        <v>328</v>
      </c>
      <c r="B247" t="s">
        <v>29</v>
      </c>
      <c r="C247" s="1">
        <v>44722</v>
      </c>
      <c r="D247" s="2">
        <v>0.58402777777777781</v>
      </c>
      <c r="E247" s="2">
        <v>1.4120370370370369E-3</v>
      </c>
      <c r="K247" t="s">
        <v>30</v>
      </c>
      <c r="L247" t="s">
        <v>41</v>
      </c>
      <c r="M247" t="s">
        <v>49</v>
      </c>
      <c r="N247">
        <v>20</v>
      </c>
      <c r="O247" t="s">
        <v>50</v>
      </c>
      <c r="P247" t="s">
        <v>44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 t="s">
        <v>66</v>
      </c>
      <c r="X247" t="s">
        <v>36</v>
      </c>
      <c r="Y247" t="s">
        <v>37</v>
      </c>
      <c r="Z247">
        <v>34</v>
      </c>
      <c r="AA247" t="s">
        <v>50</v>
      </c>
      <c r="AB247" t="s">
        <v>124</v>
      </c>
      <c r="AC247" t="s">
        <v>53</v>
      </c>
    </row>
    <row r="248" spans="1:29" x14ac:dyDescent="0.35">
      <c r="A248" t="s">
        <v>329</v>
      </c>
      <c r="B248" t="s">
        <v>29</v>
      </c>
      <c r="C248" s="1">
        <v>44722</v>
      </c>
      <c r="D248" s="2">
        <v>0.58472222222222225</v>
      </c>
      <c r="E248" s="2">
        <v>1.0069444444444444E-3</v>
      </c>
      <c r="K248" t="s">
        <v>30</v>
      </c>
      <c r="L248" t="s">
        <v>31</v>
      </c>
      <c r="M248" t="s">
        <v>49</v>
      </c>
      <c r="N248">
        <v>20</v>
      </c>
      <c r="O248" t="s">
        <v>43</v>
      </c>
      <c r="P248" t="s">
        <v>34</v>
      </c>
      <c r="Q248">
        <v>5</v>
      </c>
      <c r="R248">
        <v>2</v>
      </c>
      <c r="S248">
        <v>5</v>
      </c>
      <c r="T248">
        <v>4</v>
      </c>
      <c r="U248">
        <v>3</v>
      </c>
      <c r="V248">
        <v>5</v>
      </c>
      <c r="W248" t="s">
        <v>66</v>
      </c>
      <c r="X248" t="s">
        <v>52</v>
      </c>
      <c r="Y248" t="s">
        <v>37</v>
      </c>
      <c r="Z248">
        <v>26</v>
      </c>
      <c r="AA248" t="s">
        <v>50</v>
      </c>
      <c r="AB248" t="s">
        <v>124</v>
      </c>
      <c r="AC248" t="s">
        <v>39</v>
      </c>
    </row>
    <row r="249" spans="1:29" x14ac:dyDescent="0.35">
      <c r="A249" t="s">
        <v>330</v>
      </c>
      <c r="B249" t="s">
        <v>29</v>
      </c>
      <c r="C249" s="1">
        <v>44722</v>
      </c>
      <c r="D249" s="2">
        <v>0.58680555555555558</v>
      </c>
      <c r="E249" s="2">
        <v>1.5162037037037036E-3</v>
      </c>
      <c r="K249" t="s">
        <v>30</v>
      </c>
      <c r="L249" t="s">
        <v>41</v>
      </c>
      <c r="M249" t="s">
        <v>49</v>
      </c>
      <c r="N249">
        <v>20</v>
      </c>
      <c r="O249" t="s">
        <v>76</v>
      </c>
      <c r="P249" t="s">
        <v>34</v>
      </c>
      <c r="Q249">
        <v>3</v>
      </c>
      <c r="R249">
        <v>3</v>
      </c>
      <c r="S249">
        <v>5</v>
      </c>
      <c r="T249">
        <v>4</v>
      </c>
      <c r="U249">
        <v>3</v>
      </c>
      <c r="V249">
        <v>2</v>
      </c>
      <c r="W249" t="s">
        <v>59</v>
      </c>
      <c r="X249" t="s">
        <v>50</v>
      </c>
      <c r="Y249" t="s">
        <v>57</v>
      </c>
      <c r="Z249">
        <v>22</v>
      </c>
      <c r="AA249" t="s">
        <v>95</v>
      </c>
      <c r="AB249" t="s">
        <v>124</v>
      </c>
      <c r="AC249" t="s">
        <v>46</v>
      </c>
    </row>
    <row r="250" spans="1:29" x14ac:dyDescent="0.35">
      <c r="A250" t="s">
        <v>331</v>
      </c>
      <c r="B250" t="s">
        <v>29</v>
      </c>
      <c r="C250" s="1">
        <v>44722</v>
      </c>
      <c r="D250" s="2">
        <v>0.58958333333333335</v>
      </c>
      <c r="E250" s="2">
        <v>1.1574074074074073E-3</v>
      </c>
      <c r="K250" t="s">
        <v>86</v>
      </c>
      <c r="L250" t="s">
        <v>31</v>
      </c>
      <c r="M250" t="s">
        <v>49</v>
      </c>
      <c r="N250">
        <v>20</v>
      </c>
      <c r="O250" t="s">
        <v>81</v>
      </c>
      <c r="P250" t="s">
        <v>34</v>
      </c>
      <c r="Q250">
        <v>0</v>
      </c>
      <c r="R250">
        <v>2</v>
      </c>
      <c r="S250">
        <v>0</v>
      </c>
      <c r="T250">
        <v>1</v>
      </c>
      <c r="U250">
        <v>1</v>
      </c>
      <c r="V250">
        <v>2</v>
      </c>
      <c r="W250" t="s">
        <v>35</v>
      </c>
      <c r="X250" t="s">
        <v>36</v>
      </c>
      <c r="Y250" t="s">
        <v>57</v>
      </c>
      <c r="Z250">
        <v>24</v>
      </c>
      <c r="AA250" t="s">
        <v>50</v>
      </c>
      <c r="AB250" t="s">
        <v>124</v>
      </c>
      <c r="AC250" t="s">
        <v>53</v>
      </c>
    </row>
    <row r="251" spans="1:29" x14ac:dyDescent="0.35">
      <c r="A251" t="s">
        <v>332</v>
      </c>
      <c r="B251" t="s">
        <v>29</v>
      </c>
      <c r="C251" s="1">
        <v>44722</v>
      </c>
      <c r="D251" s="2">
        <v>0.59166666666666667</v>
      </c>
      <c r="E251" s="2">
        <v>2.1874999999999998E-3</v>
      </c>
      <c r="K251" t="s">
        <v>30</v>
      </c>
      <c r="L251" t="s">
        <v>41</v>
      </c>
      <c r="M251" t="s">
        <v>49</v>
      </c>
      <c r="N251">
        <v>20</v>
      </c>
      <c r="O251" t="s">
        <v>50</v>
      </c>
      <c r="P251" t="s">
        <v>34</v>
      </c>
      <c r="Q251">
        <v>3</v>
      </c>
      <c r="R251">
        <v>6</v>
      </c>
      <c r="S251">
        <v>6</v>
      </c>
      <c r="T251">
        <v>6</v>
      </c>
      <c r="U251">
        <v>4</v>
      </c>
      <c r="V251">
        <v>3</v>
      </c>
      <c r="W251" t="s">
        <v>66</v>
      </c>
      <c r="X251" t="s">
        <v>60</v>
      </c>
      <c r="Y251" t="s">
        <v>37</v>
      </c>
      <c r="Z251">
        <v>26</v>
      </c>
      <c r="AA251" t="s">
        <v>50</v>
      </c>
      <c r="AB251" t="s">
        <v>124</v>
      </c>
      <c r="AC251" t="s">
        <v>71</v>
      </c>
    </row>
    <row r="252" spans="1:29" x14ac:dyDescent="0.35">
      <c r="A252" t="s">
        <v>333</v>
      </c>
      <c r="B252" t="s">
        <v>29</v>
      </c>
      <c r="C252" s="1">
        <v>44722</v>
      </c>
      <c r="D252" s="2">
        <v>0.59166666666666667</v>
      </c>
      <c r="E252" s="2">
        <v>2.2337962962962967E-3</v>
      </c>
      <c r="K252" t="s">
        <v>300</v>
      </c>
      <c r="L252" t="s">
        <v>31</v>
      </c>
      <c r="M252" t="s">
        <v>49</v>
      </c>
      <c r="N252">
        <v>20</v>
      </c>
      <c r="O252" t="s">
        <v>43</v>
      </c>
      <c r="P252" t="s">
        <v>34</v>
      </c>
      <c r="Q252">
        <v>5</v>
      </c>
      <c r="R252">
        <v>6</v>
      </c>
      <c r="S252">
        <v>2</v>
      </c>
      <c r="T252">
        <v>3</v>
      </c>
      <c r="U252">
        <v>3</v>
      </c>
      <c r="V252">
        <v>5</v>
      </c>
      <c r="W252" t="s">
        <v>35</v>
      </c>
      <c r="X252" t="s">
        <v>52</v>
      </c>
      <c r="Y252" t="s">
        <v>57</v>
      </c>
      <c r="Z252">
        <v>34</v>
      </c>
      <c r="AA252" t="s">
        <v>50</v>
      </c>
      <c r="AB252" t="s">
        <v>126</v>
      </c>
      <c r="AC252" t="s">
        <v>39</v>
      </c>
    </row>
    <row r="253" spans="1:29" x14ac:dyDescent="0.35">
      <c r="A253" t="s">
        <v>334</v>
      </c>
      <c r="B253" t="s">
        <v>29</v>
      </c>
      <c r="C253" s="1">
        <v>44722</v>
      </c>
      <c r="D253" s="2">
        <v>0.59236111111111112</v>
      </c>
      <c r="E253" s="2">
        <v>1.7013888888888892E-3</v>
      </c>
      <c r="K253" t="s">
        <v>30</v>
      </c>
      <c r="L253" t="s">
        <v>41</v>
      </c>
      <c r="M253" t="s">
        <v>49</v>
      </c>
      <c r="N253">
        <v>20</v>
      </c>
      <c r="O253" t="s">
        <v>76</v>
      </c>
      <c r="P253" t="s">
        <v>34</v>
      </c>
      <c r="Q253">
        <v>3</v>
      </c>
      <c r="R253">
        <v>5</v>
      </c>
      <c r="S253">
        <v>4</v>
      </c>
      <c r="T253">
        <v>5</v>
      </c>
      <c r="U253">
        <v>4</v>
      </c>
      <c r="V253">
        <v>2</v>
      </c>
      <c r="W253" t="s">
        <v>66</v>
      </c>
      <c r="X253" t="s">
        <v>60</v>
      </c>
      <c r="Y253" t="s">
        <v>37</v>
      </c>
      <c r="Z253">
        <v>29</v>
      </c>
      <c r="AA253" t="s">
        <v>95</v>
      </c>
      <c r="AB253" t="s">
        <v>124</v>
      </c>
      <c r="AC253" t="s">
        <v>46</v>
      </c>
    </row>
    <row r="254" spans="1:29" x14ac:dyDescent="0.35">
      <c r="A254" t="s">
        <v>335</v>
      </c>
      <c r="B254" t="s">
        <v>29</v>
      </c>
      <c r="C254" s="1">
        <v>44722</v>
      </c>
      <c r="D254" s="2">
        <v>0.59305555555555556</v>
      </c>
      <c r="E254" s="2">
        <v>1.0069444444444444E-3</v>
      </c>
      <c r="K254" t="s">
        <v>63</v>
      </c>
      <c r="L254" t="s">
        <v>41</v>
      </c>
      <c r="M254" t="s">
        <v>49</v>
      </c>
      <c r="N254">
        <v>20</v>
      </c>
      <c r="O254" t="s">
        <v>76</v>
      </c>
      <c r="P254" t="s">
        <v>44</v>
      </c>
      <c r="Q254">
        <v>2</v>
      </c>
      <c r="R254">
        <v>7</v>
      </c>
      <c r="S254">
        <v>7</v>
      </c>
      <c r="T254">
        <v>7</v>
      </c>
      <c r="U254">
        <v>7</v>
      </c>
      <c r="V254">
        <v>7</v>
      </c>
      <c r="W254" t="s">
        <v>51</v>
      </c>
      <c r="X254" t="s">
        <v>60</v>
      </c>
      <c r="Y254" t="s">
        <v>37</v>
      </c>
      <c r="Z254">
        <v>21</v>
      </c>
      <c r="AA254" t="s">
        <v>50</v>
      </c>
      <c r="AB254" t="s">
        <v>124</v>
      </c>
      <c r="AC254" t="s">
        <v>53</v>
      </c>
    </row>
    <row r="255" spans="1:29" x14ac:dyDescent="0.35">
      <c r="A255" t="s">
        <v>336</v>
      </c>
      <c r="B255" t="s">
        <v>29</v>
      </c>
      <c r="C255" s="1">
        <v>44722</v>
      </c>
      <c r="D255" s="2">
        <v>0.59305555555555556</v>
      </c>
      <c r="E255" s="2">
        <v>1.9328703703703704E-3</v>
      </c>
      <c r="K255" t="s">
        <v>50</v>
      </c>
      <c r="L255" t="s">
        <v>41</v>
      </c>
      <c r="M255" t="s">
        <v>49</v>
      </c>
      <c r="N255">
        <v>20</v>
      </c>
      <c r="O255" t="s">
        <v>50</v>
      </c>
      <c r="P255" t="s">
        <v>34</v>
      </c>
      <c r="Q255">
        <v>2</v>
      </c>
      <c r="R255">
        <v>4</v>
      </c>
      <c r="S255">
        <v>5</v>
      </c>
      <c r="T255">
        <v>3</v>
      </c>
      <c r="U255">
        <v>1</v>
      </c>
      <c r="V255">
        <v>1</v>
      </c>
      <c r="W255" t="s">
        <v>66</v>
      </c>
      <c r="X255" t="s">
        <v>52</v>
      </c>
      <c r="Y255" t="s">
        <v>57</v>
      </c>
      <c r="Z255">
        <v>35</v>
      </c>
      <c r="AA255" t="s">
        <v>50</v>
      </c>
      <c r="AB255" t="s">
        <v>126</v>
      </c>
      <c r="AC255" t="s">
        <v>39</v>
      </c>
    </row>
    <row r="256" spans="1:29" x14ac:dyDescent="0.35">
      <c r="A256" t="s">
        <v>337</v>
      </c>
      <c r="B256" t="s">
        <v>29</v>
      </c>
      <c r="C256" s="1">
        <v>44722</v>
      </c>
      <c r="D256" s="2">
        <v>0.59375</v>
      </c>
      <c r="E256" s="2">
        <v>1.1921296296296296E-3</v>
      </c>
      <c r="K256" t="s">
        <v>30</v>
      </c>
      <c r="L256" t="s">
        <v>41</v>
      </c>
      <c r="M256" t="s">
        <v>42</v>
      </c>
      <c r="N256">
        <v>53</v>
      </c>
      <c r="O256" t="s">
        <v>78</v>
      </c>
      <c r="P256" t="s">
        <v>34</v>
      </c>
      <c r="Q256">
        <v>7</v>
      </c>
      <c r="R256">
        <v>7</v>
      </c>
      <c r="S256">
        <v>8</v>
      </c>
      <c r="T256">
        <v>8</v>
      </c>
      <c r="U256">
        <v>6</v>
      </c>
      <c r="V256">
        <v>7</v>
      </c>
      <c r="W256" t="s">
        <v>66</v>
      </c>
      <c r="X256" t="s">
        <v>52</v>
      </c>
      <c r="Y256" t="s">
        <v>37</v>
      </c>
      <c r="Z256">
        <v>26</v>
      </c>
      <c r="AA256" t="s">
        <v>38</v>
      </c>
      <c r="AB256" t="s">
        <v>124</v>
      </c>
      <c r="AC256" t="s">
        <v>53</v>
      </c>
    </row>
    <row r="257" spans="1:29" x14ac:dyDescent="0.35">
      <c r="A257" t="s">
        <v>338</v>
      </c>
      <c r="B257" t="s">
        <v>29</v>
      </c>
      <c r="C257" s="1">
        <v>44722</v>
      </c>
      <c r="D257" s="2">
        <v>0.59444444444444444</v>
      </c>
      <c r="E257" s="2">
        <v>1.1805555555555556E-3</v>
      </c>
      <c r="K257" t="s">
        <v>30</v>
      </c>
      <c r="L257" t="s">
        <v>31</v>
      </c>
      <c r="M257" t="s">
        <v>42</v>
      </c>
      <c r="N257">
        <v>53</v>
      </c>
      <c r="O257" t="s">
        <v>50</v>
      </c>
      <c r="P257" t="s">
        <v>34</v>
      </c>
      <c r="Q257">
        <v>2</v>
      </c>
      <c r="R257">
        <v>4</v>
      </c>
      <c r="S257">
        <v>7</v>
      </c>
      <c r="T257">
        <v>10</v>
      </c>
      <c r="U257">
        <v>5</v>
      </c>
      <c r="V257">
        <v>10</v>
      </c>
      <c r="W257" t="s">
        <v>66</v>
      </c>
      <c r="X257" t="s">
        <v>36</v>
      </c>
      <c r="Y257" t="s">
        <v>37</v>
      </c>
      <c r="Z257">
        <v>28</v>
      </c>
      <c r="AA257" t="s">
        <v>38</v>
      </c>
      <c r="AB257" t="s">
        <v>124</v>
      </c>
      <c r="AC257" t="s">
        <v>39</v>
      </c>
    </row>
    <row r="258" spans="1:29" x14ac:dyDescent="0.35">
      <c r="A258" t="s">
        <v>339</v>
      </c>
      <c r="B258" t="s">
        <v>29</v>
      </c>
      <c r="C258" s="1">
        <v>44722</v>
      </c>
      <c r="D258" s="2">
        <v>0.59930555555555554</v>
      </c>
      <c r="E258" s="2">
        <v>1.4120370370370369E-3</v>
      </c>
      <c r="K258" t="s">
        <v>50</v>
      </c>
      <c r="L258" t="s">
        <v>41</v>
      </c>
      <c r="M258" t="s">
        <v>42</v>
      </c>
      <c r="N258">
        <v>53</v>
      </c>
      <c r="O258" t="s">
        <v>50</v>
      </c>
      <c r="P258" t="s">
        <v>34</v>
      </c>
      <c r="Q258">
        <v>1</v>
      </c>
      <c r="R258">
        <v>5</v>
      </c>
      <c r="S258">
        <v>5</v>
      </c>
      <c r="T258">
        <v>1</v>
      </c>
      <c r="U258">
        <v>0</v>
      </c>
      <c r="V258">
        <v>3</v>
      </c>
      <c r="W258" t="s">
        <v>51</v>
      </c>
      <c r="X258" t="s">
        <v>60</v>
      </c>
      <c r="Y258" t="s">
        <v>57</v>
      </c>
      <c r="Z258">
        <v>33</v>
      </c>
      <c r="AA258" t="s">
        <v>38</v>
      </c>
      <c r="AB258" t="s">
        <v>124</v>
      </c>
      <c r="AC258" t="s">
        <v>39</v>
      </c>
    </row>
    <row r="259" spans="1:29" x14ac:dyDescent="0.35">
      <c r="A259" t="s">
        <v>340</v>
      </c>
      <c r="B259" t="s">
        <v>29</v>
      </c>
      <c r="C259" s="1">
        <v>44722</v>
      </c>
      <c r="D259" s="2">
        <v>0.60069444444444442</v>
      </c>
      <c r="E259" s="2">
        <v>1.3541666666666667E-3</v>
      </c>
      <c r="K259" t="s">
        <v>30</v>
      </c>
      <c r="L259" t="s">
        <v>31</v>
      </c>
      <c r="M259" t="s">
        <v>73</v>
      </c>
      <c r="N259">
        <v>76</v>
      </c>
      <c r="O259" t="s">
        <v>50</v>
      </c>
      <c r="P259" t="s">
        <v>50</v>
      </c>
      <c r="Q259">
        <v>7</v>
      </c>
      <c r="R259">
        <v>6</v>
      </c>
      <c r="S259">
        <v>5</v>
      </c>
      <c r="T259">
        <v>7</v>
      </c>
      <c r="U259">
        <v>4</v>
      </c>
      <c r="V259">
        <v>4</v>
      </c>
      <c r="W259" t="s">
        <v>51</v>
      </c>
      <c r="X259" t="s">
        <v>60</v>
      </c>
      <c r="Y259" t="s">
        <v>57</v>
      </c>
      <c r="Z259">
        <v>56</v>
      </c>
      <c r="AA259" t="s">
        <v>38</v>
      </c>
      <c r="AB259" t="s">
        <v>124</v>
      </c>
      <c r="AC259" t="s">
        <v>39</v>
      </c>
    </row>
    <row r="260" spans="1:29" x14ac:dyDescent="0.35">
      <c r="A260" t="s">
        <v>341</v>
      </c>
      <c r="B260" t="s">
        <v>29</v>
      </c>
      <c r="C260" s="1">
        <v>44722</v>
      </c>
      <c r="D260" s="2">
        <v>0.60486111111111118</v>
      </c>
      <c r="E260" s="2">
        <v>3.1249999999999997E-3</v>
      </c>
      <c r="K260" t="s">
        <v>50</v>
      </c>
      <c r="L260" t="s">
        <v>41</v>
      </c>
      <c r="M260" t="s">
        <v>49</v>
      </c>
      <c r="N260">
        <v>20</v>
      </c>
      <c r="O260" t="s">
        <v>50</v>
      </c>
      <c r="P260" t="s">
        <v>34</v>
      </c>
      <c r="Q260">
        <v>3</v>
      </c>
      <c r="R260">
        <v>3</v>
      </c>
      <c r="S260">
        <v>6</v>
      </c>
      <c r="T260">
        <v>5</v>
      </c>
      <c r="V260">
        <v>4</v>
      </c>
      <c r="W260" t="s">
        <v>59</v>
      </c>
      <c r="X260" t="s">
        <v>52</v>
      </c>
      <c r="Y260" t="s">
        <v>37</v>
      </c>
      <c r="Z260">
        <v>23</v>
      </c>
      <c r="AA260" t="s">
        <v>95</v>
      </c>
      <c r="AB260" t="s">
        <v>124</v>
      </c>
      <c r="AC260" t="s">
        <v>46</v>
      </c>
    </row>
    <row r="261" spans="1:29" x14ac:dyDescent="0.35">
      <c r="A261" t="s">
        <v>342</v>
      </c>
      <c r="B261" t="s">
        <v>29</v>
      </c>
      <c r="C261" s="1">
        <v>44722</v>
      </c>
      <c r="D261" s="2">
        <v>0.6118055555555556</v>
      </c>
      <c r="E261" s="2">
        <v>8.7962962962962962E-4</v>
      </c>
      <c r="K261" t="s">
        <v>63</v>
      </c>
      <c r="L261" t="s">
        <v>31</v>
      </c>
      <c r="M261" t="s">
        <v>65</v>
      </c>
      <c r="N261">
        <v>138</v>
      </c>
      <c r="O261" t="s">
        <v>33</v>
      </c>
      <c r="P261" t="s">
        <v>34</v>
      </c>
      <c r="Q261">
        <v>4</v>
      </c>
      <c r="R261">
        <v>5</v>
      </c>
      <c r="S261">
        <v>5</v>
      </c>
      <c r="T261">
        <v>5</v>
      </c>
      <c r="U261">
        <v>4</v>
      </c>
      <c r="V261">
        <v>5</v>
      </c>
      <c r="W261" t="s">
        <v>59</v>
      </c>
      <c r="X261" t="s">
        <v>60</v>
      </c>
      <c r="Y261" t="s">
        <v>37</v>
      </c>
      <c r="Z261">
        <v>28</v>
      </c>
      <c r="AA261" t="s">
        <v>38</v>
      </c>
      <c r="AB261" t="s">
        <v>126</v>
      </c>
      <c r="AC261" t="s">
        <v>39</v>
      </c>
    </row>
    <row r="262" spans="1:29" x14ac:dyDescent="0.35">
      <c r="A262" t="s">
        <v>343</v>
      </c>
      <c r="B262" t="s">
        <v>29</v>
      </c>
      <c r="C262" s="1">
        <v>44722</v>
      </c>
      <c r="D262" s="2">
        <v>0.61249999999999993</v>
      </c>
      <c r="E262" s="2">
        <v>1.2037037037037038E-3</v>
      </c>
      <c r="K262" t="s">
        <v>86</v>
      </c>
      <c r="L262" t="s">
        <v>41</v>
      </c>
      <c r="M262" t="s">
        <v>49</v>
      </c>
      <c r="N262">
        <v>20</v>
      </c>
      <c r="O262" t="s">
        <v>50</v>
      </c>
      <c r="P262" t="s">
        <v>112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10</v>
      </c>
      <c r="W262" t="s">
        <v>66</v>
      </c>
      <c r="X262" t="s">
        <v>36</v>
      </c>
      <c r="Y262" t="s">
        <v>37</v>
      </c>
      <c r="Z262">
        <v>21</v>
      </c>
      <c r="AA262" t="s">
        <v>50</v>
      </c>
      <c r="AB262" t="s">
        <v>120</v>
      </c>
      <c r="AC262" t="s">
        <v>39</v>
      </c>
    </row>
    <row r="263" spans="1:29" x14ac:dyDescent="0.35">
      <c r="A263" t="s">
        <v>344</v>
      </c>
      <c r="B263" t="s">
        <v>29</v>
      </c>
      <c r="C263" s="1">
        <v>44722</v>
      </c>
      <c r="D263" s="2">
        <v>0.61319444444444449</v>
      </c>
      <c r="E263" s="2">
        <v>1.5509259259259261E-3</v>
      </c>
      <c r="K263" t="s">
        <v>86</v>
      </c>
      <c r="L263" t="s">
        <v>41</v>
      </c>
      <c r="M263" t="s">
        <v>73</v>
      </c>
      <c r="N263">
        <v>76</v>
      </c>
      <c r="O263" t="s">
        <v>50</v>
      </c>
      <c r="P263" t="s">
        <v>34</v>
      </c>
      <c r="Q263">
        <v>2</v>
      </c>
      <c r="R263">
        <v>2</v>
      </c>
      <c r="S263">
        <v>4</v>
      </c>
      <c r="T263">
        <v>1</v>
      </c>
      <c r="U263">
        <v>2</v>
      </c>
      <c r="V263">
        <v>1</v>
      </c>
      <c r="W263" t="s">
        <v>66</v>
      </c>
      <c r="X263" t="s">
        <v>52</v>
      </c>
      <c r="Y263" t="s">
        <v>37</v>
      </c>
      <c r="Z263">
        <v>35</v>
      </c>
      <c r="AA263" t="s">
        <v>38</v>
      </c>
      <c r="AB263" t="s">
        <v>126</v>
      </c>
      <c r="AC263" t="s">
        <v>53</v>
      </c>
    </row>
    <row r="264" spans="1:29" x14ac:dyDescent="0.35">
      <c r="A264" t="s">
        <v>345</v>
      </c>
      <c r="B264" t="s">
        <v>29</v>
      </c>
      <c r="C264" s="1">
        <v>44722</v>
      </c>
      <c r="D264" s="2">
        <v>0.61319444444444449</v>
      </c>
      <c r="E264" s="2">
        <v>9.8379629629629642E-4</v>
      </c>
      <c r="K264" t="s">
        <v>30</v>
      </c>
      <c r="L264" t="s">
        <v>41</v>
      </c>
      <c r="M264" t="s">
        <v>42</v>
      </c>
      <c r="N264">
        <v>53</v>
      </c>
      <c r="O264" t="s">
        <v>33</v>
      </c>
      <c r="P264" t="s">
        <v>34</v>
      </c>
      <c r="Q264">
        <v>7</v>
      </c>
      <c r="R264">
        <v>5</v>
      </c>
      <c r="S264">
        <v>9</v>
      </c>
      <c r="T264">
        <v>9</v>
      </c>
      <c r="U264">
        <v>9</v>
      </c>
      <c r="V264">
        <v>8</v>
      </c>
      <c r="W264" t="s">
        <v>66</v>
      </c>
      <c r="X264" t="s">
        <v>36</v>
      </c>
      <c r="Y264" t="s">
        <v>37</v>
      </c>
      <c r="Z264">
        <v>29</v>
      </c>
      <c r="AA264" t="s">
        <v>50</v>
      </c>
      <c r="AB264" t="s">
        <v>126</v>
      </c>
      <c r="AC264" t="s">
        <v>46</v>
      </c>
    </row>
    <row r="265" spans="1:29" x14ac:dyDescent="0.35">
      <c r="A265" t="s">
        <v>346</v>
      </c>
      <c r="B265" t="s">
        <v>29</v>
      </c>
      <c r="C265" s="1">
        <v>44722</v>
      </c>
      <c r="D265" s="2">
        <v>0.61597222222222225</v>
      </c>
      <c r="E265" s="2">
        <v>9.0277777777777784E-4</v>
      </c>
      <c r="K265" t="s">
        <v>30</v>
      </c>
      <c r="L265" t="s">
        <v>41</v>
      </c>
      <c r="M265" t="s">
        <v>68</v>
      </c>
      <c r="N265">
        <v>96</v>
      </c>
      <c r="O265" t="s">
        <v>76</v>
      </c>
      <c r="P265" t="s">
        <v>34</v>
      </c>
      <c r="Q265">
        <v>9</v>
      </c>
      <c r="R265">
        <v>10</v>
      </c>
      <c r="S265">
        <v>8</v>
      </c>
      <c r="T265">
        <v>8</v>
      </c>
      <c r="U265">
        <v>7</v>
      </c>
      <c r="V265">
        <v>7</v>
      </c>
      <c r="W265" t="s">
        <v>66</v>
      </c>
      <c r="X265" t="s">
        <v>50</v>
      </c>
      <c r="Y265" t="s">
        <v>57</v>
      </c>
      <c r="Z265">
        <v>23</v>
      </c>
      <c r="AA265" t="s">
        <v>38</v>
      </c>
      <c r="AB265" t="s">
        <v>124</v>
      </c>
      <c r="AC265" t="s">
        <v>46</v>
      </c>
    </row>
    <row r="266" spans="1:29" x14ac:dyDescent="0.35">
      <c r="A266" t="s">
        <v>347</v>
      </c>
      <c r="B266" t="s">
        <v>29</v>
      </c>
      <c r="C266" s="1">
        <v>44722</v>
      </c>
      <c r="D266" s="2">
        <v>0.6166666666666667</v>
      </c>
      <c r="E266" s="2">
        <v>2.1527777777777778E-3</v>
      </c>
      <c r="K266" t="s">
        <v>50</v>
      </c>
      <c r="L266" t="s">
        <v>41</v>
      </c>
      <c r="M266" t="s">
        <v>42</v>
      </c>
      <c r="N266">
        <v>53</v>
      </c>
      <c r="O266" t="s">
        <v>43</v>
      </c>
      <c r="P266" t="s">
        <v>34</v>
      </c>
      <c r="Q266">
        <v>3</v>
      </c>
      <c r="R266">
        <v>3</v>
      </c>
      <c r="S266">
        <v>3</v>
      </c>
      <c r="T266">
        <v>0</v>
      </c>
      <c r="U266">
        <v>0</v>
      </c>
      <c r="V266">
        <v>1</v>
      </c>
      <c r="W266" t="s">
        <v>59</v>
      </c>
      <c r="X266" t="s">
        <v>52</v>
      </c>
      <c r="Y266" t="s">
        <v>37</v>
      </c>
      <c r="Z266">
        <v>25</v>
      </c>
      <c r="AA266" t="s">
        <v>95</v>
      </c>
      <c r="AB266" t="s">
        <v>124</v>
      </c>
      <c r="AC266" t="s">
        <v>46</v>
      </c>
    </row>
    <row r="267" spans="1:29" x14ac:dyDescent="0.35">
      <c r="A267" t="s">
        <v>348</v>
      </c>
      <c r="B267" t="s">
        <v>29</v>
      </c>
      <c r="C267" s="1">
        <v>44722</v>
      </c>
      <c r="D267" s="2">
        <v>0.61875000000000002</v>
      </c>
      <c r="E267" s="2">
        <v>1.1111111111111111E-3</v>
      </c>
      <c r="K267" t="s">
        <v>48</v>
      </c>
      <c r="L267" t="s">
        <v>31</v>
      </c>
      <c r="M267" t="s">
        <v>68</v>
      </c>
      <c r="N267">
        <v>96</v>
      </c>
      <c r="O267" t="s">
        <v>50</v>
      </c>
      <c r="P267" t="s">
        <v>34</v>
      </c>
      <c r="Q267">
        <v>8</v>
      </c>
      <c r="R267">
        <v>7</v>
      </c>
      <c r="S267">
        <v>10</v>
      </c>
      <c r="T267">
        <v>9</v>
      </c>
      <c r="U267">
        <v>10</v>
      </c>
      <c r="V267">
        <v>10</v>
      </c>
      <c r="W267" t="s">
        <v>51</v>
      </c>
      <c r="X267" t="s">
        <v>60</v>
      </c>
      <c r="Y267" t="s">
        <v>37</v>
      </c>
      <c r="Z267">
        <v>27</v>
      </c>
      <c r="AA267" t="s">
        <v>38</v>
      </c>
      <c r="AB267" t="s">
        <v>126</v>
      </c>
      <c r="AC267" t="s">
        <v>39</v>
      </c>
    </row>
    <row r="268" spans="1:29" x14ac:dyDescent="0.35">
      <c r="A268" t="s">
        <v>349</v>
      </c>
      <c r="B268" t="s">
        <v>29</v>
      </c>
      <c r="C268" s="1">
        <v>44722</v>
      </c>
      <c r="D268" s="2">
        <v>0.62013888888888891</v>
      </c>
      <c r="E268" s="2">
        <v>1.3194444444444443E-3</v>
      </c>
      <c r="K268" t="s">
        <v>30</v>
      </c>
      <c r="L268" t="s">
        <v>41</v>
      </c>
      <c r="M268" t="s">
        <v>49</v>
      </c>
      <c r="N268">
        <v>20</v>
      </c>
      <c r="O268" t="s">
        <v>76</v>
      </c>
      <c r="P268" t="s">
        <v>34</v>
      </c>
      <c r="Q268">
        <v>3</v>
      </c>
      <c r="R268">
        <v>8</v>
      </c>
      <c r="S268">
        <v>7</v>
      </c>
      <c r="T268">
        <v>5</v>
      </c>
      <c r="U268">
        <v>8</v>
      </c>
      <c r="V268">
        <v>7</v>
      </c>
      <c r="W268" t="s">
        <v>66</v>
      </c>
      <c r="X268" t="s">
        <v>60</v>
      </c>
      <c r="Y268" t="s">
        <v>37</v>
      </c>
      <c r="Z268">
        <v>22</v>
      </c>
      <c r="AA268" t="s">
        <v>95</v>
      </c>
      <c r="AB268" t="s">
        <v>124</v>
      </c>
      <c r="AC268" t="s">
        <v>50</v>
      </c>
    </row>
    <row r="269" spans="1:29" x14ac:dyDescent="0.35">
      <c r="A269" t="s">
        <v>350</v>
      </c>
      <c r="B269" t="s">
        <v>29</v>
      </c>
      <c r="C269" s="1">
        <v>44722</v>
      </c>
      <c r="D269" s="2">
        <v>0.62361111111111112</v>
      </c>
      <c r="E269" s="2">
        <v>1.4120370370370369E-3</v>
      </c>
      <c r="K269" t="s">
        <v>30</v>
      </c>
      <c r="L269" t="s">
        <v>31</v>
      </c>
      <c r="M269" t="s">
        <v>49</v>
      </c>
      <c r="N269">
        <v>20</v>
      </c>
      <c r="O269" t="s">
        <v>50</v>
      </c>
      <c r="P269" t="s">
        <v>34</v>
      </c>
      <c r="Q269">
        <v>6</v>
      </c>
      <c r="R269">
        <v>3</v>
      </c>
      <c r="S269">
        <v>5</v>
      </c>
      <c r="T269">
        <v>7</v>
      </c>
      <c r="U269">
        <v>5</v>
      </c>
      <c r="V269">
        <v>7</v>
      </c>
      <c r="W269" t="s">
        <v>66</v>
      </c>
      <c r="X269" t="s">
        <v>52</v>
      </c>
      <c r="Y269" t="s">
        <v>37</v>
      </c>
      <c r="Z269">
        <v>22</v>
      </c>
      <c r="AA269" t="s">
        <v>95</v>
      </c>
      <c r="AB269" t="s">
        <v>124</v>
      </c>
      <c r="AC269" t="s">
        <v>46</v>
      </c>
    </row>
    <row r="270" spans="1:29" x14ac:dyDescent="0.35">
      <c r="A270" t="s">
        <v>351</v>
      </c>
      <c r="B270" t="s">
        <v>29</v>
      </c>
      <c r="C270" s="1">
        <v>44722</v>
      </c>
      <c r="D270" s="2">
        <v>0.62569444444444444</v>
      </c>
      <c r="E270" s="2">
        <v>1.1689814814814816E-3</v>
      </c>
      <c r="K270" t="s">
        <v>50</v>
      </c>
      <c r="L270" t="s">
        <v>41</v>
      </c>
      <c r="M270" t="s">
        <v>32</v>
      </c>
      <c r="N270">
        <v>116</v>
      </c>
      <c r="O270" t="s">
        <v>50</v>
      </c>
      <c r="P270" t="s">
        <v>352</v>
      </c>
      <c r="Q270">
        <v>7</v>
      </c>
      <c r="R270">
        <v>7</v>
      </c>
      <c r="S270">
        <v>4</v>
      </c>
      <c r="T270">
        <v>5</v>
      </c>
      <c r="U270">
        <v>5</v>
      </c>
      <c r="V270">
        <v>4</v>
      </c>
      <c r="W270" t="s">
        <v>66</v>
      </c>
      <c r="X270" t="s">
        <v>60</v>
      </c>
      <c r="Y270" t="s">
        <v>37</v>
      </c>
      <c r="Z270">
        <v>43</v>
      </c>
      <c r="AA270" t="s">
        <v>38</v>
      </c>
      <c r="AB270" t="s">
        <v>126</v>
      </c>
      <c r="AC270" t="s">
        <v>46</v>
      </c>
    </row>
    <row r="271" spans="1:29" x14ac:dyDescent="0.35">
      <c r="A271" t="s">
        <v>353</v>
      </c>
      <c r="B271" t="s">
        <v>29</v>
      </c>
      <c r="C271" s="1">
        <v>44722</v>
      </c>
      <c r="D271" s="2">
        <v>0.62708333333333333</v>
      </c>
      <c r="E271" s="2">
        <v>3.6226851851851854E-3</v>
      </c>
      <c r="K271" t="s">
        <v>50</v>
      </c>
      <c r="L271" t="s">
        <v>31</v>
      </c>
      <c r="M271" t="s">
        <v>49</v>
      </c>
      <c r="N271">
        <v>20</v>
      </c>
      <c r="O271" t="s">
        <v>76</v>
      </c>
      <c r="P271" t="s">
        <v>34</v>
      </c>
      <c r="Q271">
        <v>3</v>
      </c>
      <c r="R271">
        <v>5</v>
      </c>
      <c r="S271">
        <v>8</v>
      </c>
      <c r="T271">
        <v>4</v>
      </c>
      <c r="U271">
        <v>5</v>
      </c>
      <c r="V271">
        <v>5</v>
      </c>
      <c r="W271" t="s">
        <v>59</v>
      </c>
      <c r="X271" t="s">
        <v>60</v>
      </c>
      <c r="Y271" t="s">
        <v>57</v>
      </c>
      <c r="Z271">
        <v>32</v>
      </c>
      <c r="AA271" t="s">
        <v>38</v>
      </c>
      <c r="AB271" t="s">
        <v>124</v>
      </c>
      <c r="AC271" t="s">
        <v>46</v>
      </c>
    </row>
    <row r="272" spans="1:29" x14ac:dyDescent="0.35">
      <c r="A272" t="s">
        <v>354</v>
      </c>
      <c r="B272" t="s">
        <v>29</v>
      </c>
      <c r="C272" s="1">
        <v>44722</v>
      </c>
      <c r="D272" s="2">
        <v>0.63194444444444442</v>
      </c>
      <c r="E272" s="2">
        <v>7.6388888888888893E-4</v>
      </c>
      <c r="K272" t="s">
        <v>86</v>
      </c>
      <c r="L272" t="s">
        <v>31</v>
      </c>
      <c r="M272" t="s">
        <v>73</v>
      </c>
      <c r="N272">
        <v>76</v>
      </c>
      <c r="O272" t="s">
        <v>33</v>
      </c>
      <c r="P272" t="s">
        <v>50</v>
      </c>
      <c r="Q272" t="s">
        <v>128</v>
      </c>
      <c r="V272">
        <v>0</v>
      </c>
      <c r="W272" t="s">
        <v>59</v>
      </c>
      <c r="X272" t="s">
        <v>52</v>
      </c>
      <c r="Y272" t="s">
        <v>57</v>
      </c>
      <c r="Z272">
        <v>42</v>
      </c>
      <c r="AA272" t="s">
        <v>38</v>
      </c>
      <c r="AB272" t="s">
        <v>126</v>
      </c>
      <c r="AC272" t="s">
        <v>46</v>
      </c>
    </row>
    <row r="273" spans="1:29" x14ac:dyDescent="0.35">
      <c r="A273" t="s">
        <v>355</v>
      </c>
      <c r="B273" t="s">
        <v>29</v>
      </c>
      <c r="C273" s="1">
        <v>44722</v>
      </c>
      <c r="D273" s="2">
        <v>0.63263888888888886</v>
      </c>
      <c r="E273" s="2">
        <v>1.1574074074074073E-3</v>
      </c>
      <c r="K273" t="s">
        <v>50</v>
      </c>
      <c r="L273" t="s">
        <v>41</v>
      </c>
      <c r="M273" t="s">
        <v>73</v>
      </c>
      <c r="N273">
        <v>76</v>
      </c>
      <c r="O273" t="s">
        <v>50</v>
      </c>
      <c r="P273" t="s">
        <v>34</v>
      </c>
      <c r="Q273">
        <v>4</v>
      </c>
      <c r="R273">
        <v>6</v>
      </c>
      <c r="S273">
        <v>2</v>
      </c>
      <c r="T273">
        <v>3</v>
      </c>
      <c r="U273">
        <v>3</v>
      </c>
      <c r="V273">
        <v>2</v>
      </c>
      <c r="W273" t="s">
        <v>35</v>
      </c>
      <c r="X273" t="s">
        <v>36</v>
      </c>
      <c r="Y273" t="s">
        <v>37</v>
      </c>
      <c r="Z273">
        <v>31</v>
      </c>
      <c r="AA273" t="s">
        <v>38</v>
      </c>
      <c r="AB273" t="s">
        <v>124</v>
      </c>
      <c r="AC273" t="s">
        <v>71</v>
      </c>
    </row>
    <row r="274" spans="1:29" x14ac:dyDescent="0.35">
      <c r="A274" t="s">
        <v>356</v>
      </c>
      <c r="B274" t="s">
        <v>29</v>
      </c>
      <c r="C274" s="1">
        <v>44722</v>
      </c>
      <c r="D274" s="2">
        <v>0.63472222222222219</v>
      </c>
      <c r="E274" s="2">
        <v>9.2592592592592585E-4</v>
      </c>
      <c r="K274" t="s">
        <v>48</v>
      </c>
      <c r="L274" t="s">
        <v>41</v>
      </c>
      <c r="M274" t="s">
        <v>49</v>
      </c>
      <c r="N274">
        <v>20</v>
      </c>
      <c r="O274" t="s">
        <v>50</v>
      </c>
      <c r="P274" t="s">
        <v>34</v>
      </c>
      <c r="Q274">
        <v>0</v>
      </c>
      <c r="R274">
        <v>10</v>
      </c>
      <c r="S274">
        <v>10</v>
      </c>
      <c r="T274">
        <v>5</v>
      </c>
      <c r="U274">
        <v>0</v>
      </c>
      <c r="V274">
        <v>3</v>
      </c>
      <c r="W274" t="s">
        <v>66</v>
      </c>
      <c r="X274" t="s">
        <v>60</v>
      </c>
      <c r="Y274" t="s">
        <v>37</v>
      </c>
      <c r="Z274">
        <v>25</v>
      </c>
      <c r="AA274" t="s">
        <v>79</v>
      </c>
      <c r="AB274" t="s">
        <v>124</v>
      </c>
      <c r="AC274" t="s">
        <v>39</v>
      </c>
    </row>
    <row r="275" spans="1:29" x14ac:dyDescent="0.35">
      <c r="A275" t="s">
        <v>357</v>
      </c>
      <c r="B275" t="s">
        <v>29</v>
      </c>
      <c r="C275" s="1">
        <v>44722</v>
      </c>
      <c r="D275" s="2">
        <v>0.63472222222222219</v>
      </c>
      <c r="E275" s="2">
        <v>1.261574074074074E-3</v>
      </c>
      <c r="K275" t="s">
        <v>30</v>
      </c>
      <c r="L275" t="s">
        <v>41</v>
      </c>
      <c r="M275" t="s">
        <v>42</v>
      </c>
      <c r="N275">
        <v>53</v>
      </c>
      <c r="O275" t="s">
        <v>327</v>
      </c>
      <c r="P275" t="s">
        <v>50</v>
      </c>
      <c r="Q275">
        <v>3</v>
      </c>
      <c r="R275">
        <v>5</v>
      </c>
      <c r="S275">
        <v>5</v>
      </c>
      <c r="T275">
        <v>5</v>
      </c>
      <c r="U275">
        <v>3</v>
      </c>
      <c r="V275">
        <v>2</v>
      </c>
      <c r="W275" t="s">
        <v>66</v>
      </c>
      <c r="X275" t="s">
        <v>60</v>
      </c>
      <c r="Y275" t="s">
        <v>57</v>
      </c>
      <c r="Z275">
        <v>25</v>
      </c>
      <c r="AA275" t="s">
        <v>38</v>
      </c>
      <c r="AB275" t="s">
        <v>126</v>
      </c>
      <c r="AC275" t="s">
        <v>46</v>
      </c>
    </row>
    <row r="276" spans="1:29" x14ac:dyDescent="0.35">
      <c r="A276" t="s">
        <v>358</v>
      </c>
      <c r="B276" t="s">
        <v>29</v>
      </c>
      <c r="C276" s="1">
        <v>44722</v>
      </c>
      <c r="D276" s="2">
        <v>0.63472222222222219</v>
      </c>
      <c r="E276" s="2">
        <v>1.0069444444444444E-3</v>
      </c>
      <c r="K276" t="s">
        <v>30</v>
      </c>
      <c r="L276" t="s">
        <v>31</v>
      </c>
      <c r="M276" t="s">
        <v>32</v>
      </c>
      <c r="N276">
        <v>116</v>
      </c>
      <c r="O276" t="s">
        <v>50</v>
      </c>
      <c r="P276" t="s">
        <v>50</v>
      </c>
      <c r="Q276">
        <v>9</v>
      </c>
      <c r="R276">
        <v>9</v>
      </c>
      <c r="S276">
        <v>9</v>
      </c>
      <c r="T276">
        <v>6</v>
      </c>
      <c r="U276">
        <v>9</v>
      </c>
      <c r="V276">
        <v>8</v>
      </c>
      <c r="W276" t="s">
        <v>59</v>
      </c>
      <c r="X276" t="s">
        <v>52</v>
      </c>
      <c r="Y276" t="s">
        <v>37</v>
      </c>
      <c r="Z276">
        <v>31</v>
      </c>
      <c r="AA276" t="s">
        <v>38</v>
      </c>
      <c r="AB276" t="s">
        <v>126</v>
      </c>
      <c r="AC276" t="s">
        <v>46</v>
      </c>
    </row>
    <row r="277" spans="1:29" x14ac:dyDescent="0.35">
      <c r="A277" t="s">
        <v>359</v>
      </c>
      <c r="B277" t="s">
        <v>29</v>
      </c>
      <c r="C277" s="1">
        <v>44722</v>
      </c>
      <c r="D277" s="2">
        <v>0.64097222222222217</v>
      </c>
      <c r="E277" s="2">
        <v>9.6064814814814808E-4</v>
      </c>
      <c r="K277" t="s">
        <v>63</v>
      </c>
      <c r="L277" t="s">
        <v>31</v>
      </c>
      <c r="M277" t="s">
        <v>49</v>
      </c>
      <c r="N277">
        <v>20</v>
      </c>
      <c r="O277" t="s">
        <v>78</v>
      </c>
      <c r="P277" t="s">
        <v>34</v>
      </c>
      <c r="Q277">
        <v>3</v>
      </c>
      <c r="R277">
        <v>3</v>
      </c>
      <c r="S277">
        <v>1</v>
      </c>
      <c r="T277">
        <v>1</v>
      </c>
      <c r="U277">
        <v>1</v>
      </c>
      <c r="V277">
        <v>6</v>
      </c>
      <c r="W277" t="s">
        <v>59</v>
      </c>
      <c r="X277" t="s">
        <v>60</v>
      </c>
      <c r="Y277" t="s">
        <v>37</v>
      </c>
      <c r="Z277">
        <v>36</v>
      </c>
      <c r="AA277" t="s">
        <v>50</v>
      </c>
      <c r="AB277" t="s">
        <v>126</v>
      </c>
      <c r="AC277" t="s">
        <v>39</v>
      </c>
    </row>
    <row r="278" spans="1:29" x14ac:dyDescent="0.35">
      <c r="A278" t="s">
        <v>360</v>
      </c>
      <c r="B278" t="s">
        <v>29</v>
      </c>
      <c r="C278" s="1">
        <v>44722</v>
      </c>
      <c r="D278" s="2">
        <v>0.64236111111111105</v>
      </c>
      <c r="E278" s="2">
        <v>1.6666666666666668E-3</v>
      </c>
      <c r="K278" t="s">
        <v>50</v>
      </c>
      <c r="L278" t="s">
        <v>41</v>
      </c>
      <c r="M278" t="s">
        <v>42</v>
      </c>
      <c r="N278">
        <v>53</v>
      </c>
      <c r="O278" t="s">
        <v>33</v>
      </c>
      <c r="P278" t="s">
        <v>34</v>
      </c>
      <c r="Q278">
        <v>6</v>
      </c>
      <c r="R278">
        <v>8</v>
      </c>
      <c r="S278">
        <v>8</v>
      </c>
      <c r="T278">
        <v>8</v>
      </c>
      <c r="U278">
        <v>8</v>
      </c>
      <c r="V278">
        <v>10</v>
      </c>
      <c r="W278" t="s">
        <v>66</v>
      </c>
      <c r="X278" t="s">
        <v>52</v>
      </c>
      <c r="Y278" t="s">
        <v>57</v>
      </c>
      <c r="Z278">
        <v>35</v>
      </c>
      <c r="AA278" t="s">
        <v>50</v>
      </c>
      <c r="AB278" t="s">
        <v>126</v>
      </c>
      <c r="AC278" t="s">
        <v>39</v>
      </c>
    </row>
    <row r="279" spans="1:29" x14ac:dyDescent="0.35">
      <c r="A279" t="s">
        <v>361</v>
      </c>
      <c r="B279" t="s">
        <v>29</v>
      </c>
      <c r="C279" s="1">
        <v>44722</v>
      </c>
      <c r="D279" s="2">
        <v>0.64374999999999993</v>
      </c>
      <c r="E279" s="2">
        <v>1.1574074074074073E-3</v>
      </c>
      <c r="K279" t="s">
        <v>30</v>
      </c>
      <c r="L279" t="s">
        <v>31</v>
      </c>
      <c r="M279" t="s">
        <v>73</v>
      </c>
      <c r="N279">
        <v>76</v>
      </c>
      <c r="O279" t="s">
        <v>50</v>
      </c>
      <c r="P279" t="s">
        <v>44</v>
      </c>
      <c r="Q279">
        <v>6</v>
      </c>
      <c r="R279">
        <v>10</v>
      </c>
      <c r="S279">
        <v>10</v>
      </c>
      <c r="T279">
        <v>10</v>
      </c>
      <c r="U279">
        <v>9</v>
      </c>
      <c r="V279">
        <v>8</v>
      </c>
      <c r="W279" t="s">
        <v>51</v>
      </c>
      <c r="X279" t="s">
        <v>36</v>
      </c>
      <c r="Y279" t="s">
        <v>37</v>
      </c>
      <c r="Z279">
        <v>28</v>
      </c>
      <c r="AA279" t="s">
        <v>38</v>
      </c>
      <c r="AB279" t="s">
        <v>124</v>
      </c>
      <c r="AC279" t="s">
        <v>39</v>
      </c>
    </row>
    <row r="280" spans="1:29" x14ac:dyDescent="0.35">
      <c r="A280" t="s">
        <v>362</v>
      </c>
      <c r="B280" t="s">
        <v>29</v>
      </c>
      <c r="C280" s="1">
        <v>44722</v>
      </c>
      <c r="D280" s="2">
        <v>0.64444444444444449</v>
      </c>
      <c r="E280" s="2">
        <v>1.3310185185185185E-3</v>
      </c>
      <c r="K280" t="s">
        <v>30</v>
      </c>
      <c r="L280" t="s">
        <v>41</v>
      </c>
      <c r="M280" t="s">
        <v>49</v>
      </c>
      <c r="N280">
        <v>20</v>
      </c>
      <c r="O280" t="s">
        <v>50</v>
      </c>
      <c r="P280" t="s">
        <v>34</v>
      </c>
      <c r="Q280">
        <v>8</v>
      </c>
      <c r="R280">
        <v>8</v>
      </c>
      <c r="S280">
        <v>9</v>
      </c>
      <c r="T280">
        <v>9</v>
      </c>
      <c r="U280">
        <v>8</v>
      </c>
      <c r="V280">
        <v>7</v>
      </c>
      <c r="W280" t="s">
        <v>66</v>
      </c>
      <c r="X280" t="s">
        <v>60</v>
      </c>
      <c r="Y280" t="s">
        <v>37</v>
      </c>
      <c r="Z280">
        <v>27</v>
      </c>
      <c r="AA280" t="s">
        <v>50</v>
      </c>
      <c r="AB280" t="s">
        <v>124</v>
      </c>
      <c r="AC280" t="s">
        <v>71</v>
      </c>
    </row>
    <row r="281" spans="1:29" x14ac:dyDescent="0.35">
      <c r="A281" t="s">
        <v>363</v>
      </c>
      <c r="B281" t="s">
        <v>29</v>
      </c>
      <c r="C281" s="1">
        <v>44722</v>
      </c>
      <c r="D281" s="2">
        <v>0.64583333333333337</v>
      </c>
      <c r="E281" s="2">
        <v>9.6064814814814808E-4</v>
      </c>
      <c r="K281" t="s">
        <v>30</v>
      </c>
      <c r="L281" t="s">
        <v>31</v>
      </c>
      <c r="M281" t="s">
        <v>49</v>
      </c>
      <c r="N281">
        <v>20</v>
      </c>
      <c r="O281" t="s">
        <v>50</v>
      </c>
      <c r="P281" t="s">
        <v>34</v>
      </c>
      <c r="Q281">
        <v>7</v>
      </c>
      <c r="R281">
        <v>4</v>
      </c>
      <c r="S281">
        <v>7</v>
      </c>
      <c r="T281">
        <v>4</v>
      </c>
      <c r="U281">
        <v>8</v>
      </c>
      <c r="V281">
        <v>10</v>
      </c>
      <c r="W281" t="s">
        <v>51</v>
      </c>
      <c r="X281" t="s">
        <v>52</v>
      </c>
      <c r="Y281" t="s">
        <v>37</v>
      </c>
      <c r="Z281">
        <v>25</v>
      </c>
      <c r="AA281" t="s">
        <v>50</v>
      </c>
      <c r="AB281" t="s">
        <v>124</v>
      </c>
      <c r="AC281" t="s">
        <v>71</v>
      </c>
    </row>
    <row r="282" spans="1:29" x14ac:dyDescent="0.35">
      <c r="A282" t="s">
        <v>364</v>
      </c>
      <c r="B282" t="s">
        <v>29</v>
      </c>
      <c r="C282" s="1">
        <v>44722</v>
      </c>
      <c r="D282" s="2">
        <v>0.65208333333333335</v>
      </c>
      <c r="E282" s="2">
        <v>1.3773148148148147E-3</v>
      </c>
      <c r="K282" t="s">
        <v>30</v>
      </c>
      <c r="L282" t="s">
        <v>41</v>
      </c>
      <c r="M282" t="s">
        <v>49</v>
      </c>
      <c r="N282">
        <v>20</v>
      </c>
      <c r="O282" t="s">
        <v>50</v>
      </c>
      <c r="P282" t="s">
        <v>34</v>
      </c>
      <c r="Q282">
        <v>6</v>
      </c>
      <c r="R282">
        <v>6</v>
      </c>
      <c r="S282">
        <v>10</v>
      </c>
      <c r="T282">
        <v>8</v>
      </c>
      <c r="U282">
        <v>6</v>
      </c>
      <c r="V282">
        <v>8</v>
      </c>
      <c r="W282" t="s">
        <v>66</v>
      </c>
      <c r="X282" t="s">
        <v>60</v>
      </c>
      <c r="Y282" t="s">
        <v>37</v>
      </c>
      <c r="Z282">
        <v>25</v>
      </c>
      <c r="AA282" t="s">
        <v>50</v>
      </c>
      <c r="AB282" t="s">
        <v>124</v>
      </c>
      <c r="AC282" t="s">
        <v>39</v>
      </c>
    </row>
    <row r="283" spans="1:29" x14ac:dyDescent="0.35">
      <c r="A283" t="s">
        <v>365</v>
      </c>
      <c r="B283" t="s">
        <v>29</v>
      </c>
      <c r="C283" s="1">
        <v>44722</v>
      </c>
      <c r="D283" s="2">
        <v>0.65347222222222223</v>
      </c>
      <c r="E283" s="2">
        <v>8.1018518518518516E-4</v>
      </c>
      <c r="K283" t="s">
        <v>50</v>
      </c>
      <c r="L283" t="s">
        <v>41</v>
      </c>
      <c r="M283" t="s">
        <v>42</v>
      </c>
      <c r="N283">
        <v>53</v>
      </c>
      <c r="O283" t="s">
        <v>50</v>
      </c>
      <c r="P283" t="s">
        <v>44</v>
      </c>
      <c r="Q283">
        <v>5</v>
      </c>
      <c r="R283">
        <v>5</v>
      </c>
      <c r="S283">
        <v>5</v>
      </c>
      <c r="T283">
        <v>5</v>
      </c>
      <c r="U283">
        <v>5</v>
      </c>
      <c r="V283">
        <v>5</v>
      </c>
      <c r="W283" t="s">
        <v>59</v>
      </c>
      <c r="X283" t="s">
        <v>52</v>
      </c>
      <c r="Y283" t="s">
        <v>37</v>
      </c>
      <c r="Z283">
        <v>22</v>
      </c>
      <c r="AA283" t="s">
        <v>38</v>
      </c>
      <c r="AB283" t="s">
        <v>126</v>
      </c>
      <c r="AC283" t="s">
        <v>39</v>
      </c>
    </row>
    <row r="284" spans="1:29" x14ac:dyDescent="0.35">
      <c r="A284" t="s">
        <v>366</v>
      </c>
      <c r="B284" t="s">
        <v>29</v>
      </c>
      <c r="C284" s="1">
        <v>44722</v>
      </c>
      <c r="D284" s="2">
        <v>0.66041666666666665</v>
      </c>
      <c r="E284" s="2">
        <v>2.6504629629629625E-3</v>
      </c>
      <c r="K284" t="s">
        <v>30</v>
      </c>
      <c r="L284" t="s">
        <v>31</v>
      </c>
      <c r="M284" t="s">
        <v>42</v>
      </c>
      <c r="N284">
        <v>53</v>
      </c>
      <c r="O284" t="s">
        <v>33</v>
      </c>
      <c r="P284" t="s">
        <v>50</v>
      </c>
      <c r="Q284">
        <v>7</v>
      </c>
      <c r="R284">
        <v>8</v>
      </c>
      <c r="S284">
        <v>8</v>
      </c>
      <c r="T284">
        <v>4</v>
      </c>
      <c r="U284">
        <v>6</v>
      </c>
      <c r="V284">
        <v>8</v>
      </c>
      <c r="W284" t="s">
        <v>66</v>
      </c>
      <c r="X284" t="s">
        <v>82</v>
      </c>
      <c r="Y284" t="s">
        <v>37</v>
      </c>
      <c r="Z284">
        <v>38</v>
      </c>
      <c r="AA284" t="s">
        <v>50</v>
      </c>
      <c r="AB284" t="s">
        <v>120</v>
      </c>
      <c r="AC284" t="s">
        <v>39</v>
      </c>
    </row>
    <row r="285" spans="1:29" x14ac:dyDescent="0.35">
      <c r="A285" t="s">
        <v>367</v>
      </c>
      <c r="B285" t="s">
        <v>29</v>
      </c>
      <c r="C285" s="1">
        <v>44722</v>
      </c>
      <c r="D285" s="2">
        <v>0.66319444444444442</v>
      </c>
      <c r="E285" s="2">
        <v>1.2384259259259258E-3</v>
      </c>
      <c r="K285" t="s">
        <v>30</v>
      </c>
      <c r="L285" t="s">
        <v>31</v>
      </c>
      <c r="M285" t="s">
        <v>49</v>
      </c>
      <c r="N285">
        <v>20</v>
      </c>
      <c r="O285" t="s">
        <v>78</v>
      </c>
      <c r="P285" t="s">
        <v>34</v>
      </c>
      <c r="Q285">
        <v>0</v>
      </c>
      <c r="R285">
        <v>0</v>
      </c>
      <c r="S285">
        <v>5</v>
      </c>
      <c r="T285">
        <v>0</v>
      </c>
      <c r="U285">
        <v>0</v>
      </c>
      <c r="V285">
        <v>0</v>
      </c>
      <c r="W285" t="s">
        <v>59</v>
      </c>
      <c r="X285" t="s">
        <v>82</v>
      </c>
      <c r="Y285" t="s">
        <v>37</v>
      </c>
      <c r="Z285">
        <v>27</v>
      </c>
      <c r="AA285" t="s">
        <v>50</v>
      </c>
      <c r="AB285" t="s">
        <v>124</v>
      </c>
      <c r="AC285" t="s">
        <v>53</v>
      </c>
    </row>
    <row r="286" spans="1:29" x14ac:dyDescent="0.35">
      <c r="A286" t="s">
        <v>368</v>
      </c>
      <c r="B286" t="s">
        <v>29</v>
      </c>
      <c r="C286" s="1">
        <v>44722</v>
      </c>
      <c r="D286" s="2">
        <v>0.6645833333333333</v>
      </c>
      <c r="E286" s="2">
        <v>2.0254629629629629E-3</v>
      </c>
      <c r="K286" t="s">
        <v>30</v>
      </c>
      <c r="L286" t="s">
        <v>31</v>
      </c>
      <c r="M286" t="s">
        <v>68</v>
      </c>
      <c r="N286">
        <v>96</v>
      </c>
      <c r="O286" t="s">
        <v>50</v>
      </c>
      <c r="P286" t="s">
        <v>50</v>
      </c>
      <c r="Q286">
        <v>4</v>
      </c>
      <c r="R286">
        <v>4</v>
      </c>
      <c r="S286">
        <v>2</v>
      </c>
      <c r="T286">
        <v>2</v>
      </c>
      <c r="U286">
        <v>2</v>
      </c>
      <c r="V286">
        <v>2</v>
      </c>
      <c r="W286" t="s">
        <v>51</v>
      </c>
      <c r="X286" t="s">
        <v>36</v>
      </c>
      <c r="Y286" t="s">
        <v>57</v>
      </c>
      <c r="Z286">
        <v>34</v>
      </c>
      <c r="AA286" t="s">
        <v>45</v>
      </c>
      <c r="AB286" t="s">
        <v>124</v>
      </c>
      <c r="AC286" t="s">
        <v>53</v>
      </c>
    </row>
    <row r="287" spans="1:29" x14ac:dyDescent="0.35">
      <c r="A287" t="s">
        <v>369</v>
      </c>
      <c r="B287" t="s">
        <v>29</v>
      </c>
      <c r="C287" s="1">
        <v>44722</v>
      </c>
      <c r="D287" s="2">
        <v>0.66875000000000007</v>
      </c>
      <c r="E287" s="2">
        <v>1.2152777777777778E-3</v>
      </c>
      <c r="K287" t="s">
        <v>30</v>
      </c>
      <c r="L287" t="s">
        <v>31</v>
      </c>
      <c r="M287" t="s">
        <v>73</v>
      </c>
      <c r="N287">
        <v>76</v>
      </c>
      <c r="O287" t="s">
        <v>50</v>
      </c>
      <c r="P287" t="s">
        <v>34</v>
      </c>
      <c r="Q287">
        <v>9</v>
      </c>
      <c r="R287">
        <v>10</v>
      </c>
      <c r="S287">
        <v>10</v>
      </c>
      <c r="T287">
        <v>9</v>
      </c>
      <c r="U287">
        <v>8</v>
      </c>
      <c r="V287">
        <v>10</v>
      </c>
      <c r="W287" t="s">
        <v>59</v>
      </c>
      <c r="X287" t="s">
        <v>60</v>
      </c>
      <c r="Y287" t="s">
        <v>57</v>
      </c>
      <c r="Z287">
        <v>31</v>
      </c>
      <c r="AA287" t="s">
        <v>38</v>
      </c>
      <c r="AB287" t="s">
        <v>124</v>
      </c>
      <c r="AC287" t="s">
        <v>39</v>
      </c>
    </row>
    <row r="288" spans="1:29" x14ac:dyDescent="0.35">
      <c r="A288" t="s">
        <v>370</v>
      </c>
      <c r="B288" t="s">
        <v>29</v>
      </c>
      <c r="C288" s="1">
        <v>44722</v>
      </c>
      <c r="D288" s="2">
        <v>0.67291666666666661</v>
      </c>
      <c r="E288" s="2">
        <v>2.685185185185185E-3</v>
      </c>
      <c r="K288" t="s">
        <v>30</v>
      </c>
      <c r="L288" t="s">
        <v>31</v>
      </c>
      <c r="M288" t="s">
        <v>42</v>
      </c>
      <c r="N288">
        <v>53</v>
      </c>
      <c r="O288" t="s">
        <v>76</v>
      </c>
      <c r="P288" t="s">
        <v>34</v>
      </c>
      <c r="Q288">
        <v>4</v>
      </c>
      <c r="R288">
        <v>9</v>
      </c>
      <c r="S288">
        <v>8</v>
      </c>
      <c r="T288">
        <v>8</v>
      </c>
      <c r="U288">
        <v>6</v>
      </c>
      <c r="V288">
        <v>10</v>
      </c>
      <c r="W288" t="s">
        <v>66</v>
      </c>
      <c r="X288" t="s">
        <v>60</v>
      </c>
      <c r="Y288" t="s">
        <v>57</v>
      </c>
      <c r="Z288">
        <v>33</v>
      </c>
      <c r="AA288" t="s">
        <v>45</v>
      </c>
      <c r="AB288" t="s">
        <v>126</v>
      </c>
      <c r="AC288" t="s">
        <v>53</v>
      </c>
    </row>
    <row r="289" spans="1:29" x14ac:dyDescent="0.35">
      <c r="A289" t="s">
        <v>371</v>
      </c>
      <c r="B289" t="s">
        <v>29</v>
      </c>
      <c r="C289" s="1">
        <v>44722</v>
      </c>
      <c r="D289" s="2">
        <v>0.68194444444444446</v>
      </c>
      <c r="E289" s="2">
        <v>6.8287037037037025E-4</v>
      </c>
      <c r="K289" t="s">
        <v>86</v>
      </c>
      <c r="L289" t="s">
        <v>31</v>
      </c>
      <c r="M289" t="s">
        <v>49</v>
      </c>
      <c r="N289">
        <v>20</v>
      </c>
      <c r="O289" t="s">
        <v>76</v>
      </c>
      <c r="P289" t="s">
        <v>34</v>
      </c>
      <c r="Q289">
        <v>2</v>
      </c>
      <c r="R289">
        <v>5</v>
      </c>
      <c r="S289">
        <v>5</v>
      </c>
      <c r="T289">
        <v>5</v>
      </c>
      <c r="U289">
        <v>5</v>
      </c>
      <c r="V289">
        <v>5</v>
      </c>
      <c r="W289" t="s">
        <v>35</v>
      </c>
      <c r="X289" t="s">
        <v>36</v>
      </c>
      <c r="Y289" t="s">
        <v>37</v>
      </c>
      <c r="Z289">
        <v>23</v>
      </c>
      <c r="AA289" t="s">
        <v>38</v>
      </c>
      <c r="AB289" t="s">
        <v>124</v>
      </c>
      <c r="AC289" t="s">
        <v>46</v>
      </c>
    </row>
    <row r="290" spans="1:29" x14ac:dyDescent="0.35">
      <c r="A290" t="s">
        <v>372</v>
      </c>
      <c r="B290" t="s">
        <v>29</v>
      </c>
      <c r="C290" s="1">
        <v>44722</v>
      </c>
      <c r="D290" s="2">
        <v>0.68472222222222223</v>
      </c>
      <c r="E290" s="2">
        <v>9.9537037037037042E-4</v>
      </c>
      <c r="K290" t="s">
        <v>30</v>
      </c>
      <c r="L290" t="s">
        <v>31</v>
      </c>
      <c r="M290" t="s">
        <v>42</v>
      </c>
      <c r="N290">
        <v>53</v>
      </c>
      <c r="O290" t="s">
        <v>33</v>
      </c>
      <c r="P290" t="s">
        <v>50</v>
      </c>
      <c r="Q290">
        <v>3</v>
      </c>
      <c r="R290">
        <v>10</v>
      </c>
      <c r="S290">
        <v>9</v>
      </c>
      <c r="T290">
        <v>10</v>
      </c>
      <c r="U290">
        <v>5</v>
      </c>
      <c r="V290">
        <v>0</v>
      </c>
      <c r="W290" t="s">
        <v>66</v>
      </c>
      <c r="X290" t="s">
        <v>60</v>
      </c>
      <c r="Y290" t="s">
        <v>57</v>
      </c>
      <c r="Z290">
        <v>25</v>
      </c>
      <c r="AA290" t="s">
        <v>38</v>
      </c>
      <c r="AB290" t="s">
        <v>124</v>
      </c>
      <c r="AC290" t="s">
        <v>46</v>
      </c>
    </row>
    <row r="291" spans="1:29" x14ac:dyDescent="0.35">
      <c r="A291" t="s">
        <v>373</v>
      </c>
      <c r="B291" t="s">
        <v>29</v>
      </c>
      <c r="C291" s="1">
        <v>44722</v>
      </c>
      <c r="D291" s="2">
        <v>0.6875</v>
      </c>
      <c r="E291" s="2">
        <v>1.3194444444444443E-3</v>
      </c>
      <c r="K291" t="s">
        <v>30</v>
      </c>
      <c r="L291" t="s">
        <v>31</v>
      </c>
      <c r="M291" t="s">
        <v>49</v>
      </c>
      <c r="N291">
        <v>20</v>
      </c>
      <c r="O291" t="s">
        <v>76</v>
      </c>
      <c r="P291" t="s">
        <v>34</v>
      </c>
      <c r="Q291">
        <v>4</v>
      </c>
      <c r="R291">
        <v>4</v>
      </c>
      <c r="S291">
        <v>4</v>
      </c>
      <c r="T291">
        <v>5</v>
      </c>
      <c r="U291">
        <v>2</v>
      </c>
      <c r="V291">
        <v>1</v>
      </c>
      <c r="W291" t="s">
        <v>59</v>
      </c>
      <c r="X291" t="s">
        <v>60</v>
      </c>
      <c r="Y291" t="s">
        <v>37</v>
      </c>
      <c r="Z291">
        <v>29</v>
      </c>
      <c r="AA291" t="s">
        <v>50</v>
      </c>
      <c r="AB291" t="s">
        <v>126</v>
      </c>
      <c r="AC291" t="s">
        <v>39</v>
      </c>
    </row>
    <row r="292" spans="1:29" x14ac:dyDescent="0.35">
      <c r="A292" t="s">
        <v>374</v>
      </c>
      <c r="B292" t="s">
        <v>29</v>
      </c>
      <c r="C292" s="1">
        <v>44722</v>
      </c>
      <c r="D292" s="2">
        <v>0.68958333333333333</v>
      </c>
      <c r="E292" s="2">
        <v>1.5740740740740741E-3</v>
      </c>
      <c r="K292" t="s">
        <v>50</v>
      </c>
      <c r="L292" t="s">
        <v>31</v>
      </c>
      <c r="M292" t="s">
        <v>42</v>
      </c>
      <c r="N292">
        <v>53</v>
      </c>
      <c r="O292" t="s">
        <v>33</v>
      </c>
      <c r="P292" t="s">
        <v>44</v>
      </c>
      <c r="Q292">
        <v>5</v>
      </c>
      <c r="R292">
        <v>7</v>
      </c>
      <c r="S292">
        <v>9</v>
      </c>
      <c r="T292">
        <v>8</v>
      </c>
      <c r="U292">
        <v>8</v>
      </c>
      <c r="V292">
        <v>8</v>
      </c>
      <c r="W292" t="s">
        <v>66</v>
      </c>
      <c r="X292" t="s">
        <v>60</v>
      </c>
      <c r="Y292" t="s">
        <v>57</v>
      </c>
      <c r="Z292">
        <v>29</v>
      </c>
      <c r="AA292" t="s">
        <v>38</v>
      </c>
      <c r="AB292" t="s">
        <v>126</v>
      </c>
      <c r="AC292" t="s">
        <v>53</v>
      </c>
    </row>
    <row r="293" spans="1:29" x14ac:dyDescent="0.35">
      <c r="A293" t="s">
        <v>375</v>
      </c>
      <c r="B293" t="s">
        <v>29</v>
      </c>
      <c r="C293" s="1">
        <v>44722</v>
      </c>
      <c r="D293" s="2">
        <v>0.69166666666666676</v>
      </c>
      <c r="E293" s="2">
        <v>1.2152777777777778E-3</v>
      </c>
      <c r="K293" t="s">
        <v>30</v>
      </c>
      <c r="L293" t="s">
        <v>31</v>
      </c>
      <c r="M293" t="s">
        <v>49</v>
      </c>
      <c r="N293">
        <v>20</v>
      </c>
      <c r="O293" t="s">
        <v>76</v>
      </c>
      <c r="P293" t="s">
        <v>44</v>
      </c>
      <c r="Q293">
        <v>3</v>
      </c>
      <c r="R293">
        <v>4</v>
      </c>
      <c r="S293">
        <v>4</v>
      </c>
      <c r="T293">
        <v>4</v>
      </c>
      <c r="U293">
        <v>4</v>
      </c>
      <c r="V293">
        <v>2</v>
      </c>
      <c r="W293" t="s">
        <v>51</v>
      </c>
      <c r="X293" t="s">
        <v>60</v>
      </c>
      <c r="Y293" t="s">
        <v>37</v>
      </c>
      <c r="Z293">
        <v>31</v>
      </c>
      <c r="AA293" t="s">
        <v>95</v>
      </c>
      <c r="AB293" t="s">
        <v>126</v>
      </c>
      <c r="AC293" t="s">
        <v>46</v>
      </c>
    </row>
    <row r="294" spans="1:29" x14ac:dyDescent="0.35">
      <c r="A294" t="s">
        <v>376</v>
      </c>
      <c r="B294" t="s">
        <v>29</v>
      </c>
      <c r="C294" s="1">
        <v>44722</v>
      </c>
      <c r="D294" s="2">
        <v>0.69305555555555554</v>
      </c>
      <c r="E294" s="2">
        <v>1.0763888888888889E-3</v>
      </c>
      <c r="K294" t="s">
        <v>86</v>
      </c>
      <c r="L294" t="s">
        <v>41</v>
      </c>
      <c r="M294" t="s">
        <v>49</v>
      </c>
      <c r="N294">
        <v>20</v>
      </c>
      <c r="O294" t="s">
        <v>294</v>
      </c>
      <c r="P294" t="s">
        <v>44</v>
      </c>
      <c r="Q294">
        <v>0</v>
      </c>
      <c r="R294">
        <v>5</v>
      </c>
      <c r="S294">
        <v>0</v>
      </c>
      <c r="T294">
        <v>0</v>
      </c>
      <c r="U294">
        <v>0</v>
      </c>
      <c r="V294">
        <v>0</v>
      </c>
      <c r="W294" t="s">
        <v>35</v>
      </c>
      <c r="X294" t="s">
        <v>36</v>
      </c>
      <c r="Y294" t="s">
        <v>37</v>
      </c>
      <c r="Z294">
        <v>34</v>
      </c>
      <c r="AA294" t="s">
        <v>50</v>
      </c>
      <c r="AB294" t="s">
        <v>120</v>
      </c>
      <c r="AC294" t="s">
        <v>53</v>
      </c>
    </row>
    <row r="295" spans="1:29" x14ac:dyDescent="0.35">
      <c r="A295" t="s">
        <v>377</v>
      </c>
      <c r="B295" t="s">
        <v>29</v>
      </c>
      <c r="C295" s="1">
        <v>44722</v>
      </c>
      <c r="D295" s="2">
        <v>0.69444444444444453</v>
      </c>
      <c r="E295" s="2">
        <v>1.4351851851851854E-3</v>
      </c>
      <c r="K295" t="s">
        <v>30</v>
      </c>
      <c r="L295" t="s">
        <v>31</v>
      </c>
      <c r="M295" t="s">
        <v>49</v>
      </c>
      <c r="N295">
        <v>20</v>
      </c>
      <c r="O295" t="s">
        <v>76</v>
      </c>
      <c r="P295" t="s">
        <v>34</v>
      </c>
      <c r="Q295">
        <v>3</v>
      </c>
      <c r="R295">
        <v>2</v>
      </c>
      <c r="S295">
        <v>4</v>
      </c>
      <c r="T295">
        <v>3</v>
      </c>
      <c r="U295">
        <v>7</v>
      </c>
      <c r="V295">
        <v>8</v>
      </c>
      <c r="W295" t="s">
        <v>51</v>
      </c>
      <c r="X295" t="s">
        <v>52</v>
      </c>
      <c r="Y295" t="s">
        <v>37</v>
      </c>
      <c r="Z295">
        <v>26</v>
      </c>
      <c r="AA295" t="s">
        <v>50</v>
      </c>
      <c r="AB295" t="s">
        <v>124</v>
      </c>
      <c r="AC295" t="s">
        <v>50</v>
      </c>
    </row>
    <row r="296" spans="1:29" x14ac:dyDescent="0.35">
      <c r="A296" t="s">
        <v>378</v>
      </c>
      <c r="B296" t="s">
        <v>29</v>
      </c>
      <c r="C296" s="1">
        <v>44722</v>
      </c>
      <c r="D296" s="2">
        <v>0.6972222222222223</v>
      </c>
      <c r="E296" s="2">
        <v>1.0879629629629629E-3</v>
      </c>
      <c r="K296" t="s">
        <v>50</v>
      </c>
      <c r="L296" t="s">
        <v>41</v>
      </c>
      <c r="M296" t="s">
        <v>68</v>
      </c>
      <c r="N296">
        <v>96</v>
      </c>
      <c r="O296" t="s">
        <v>33</v>
      </c>
      <c r="P296" t="s">
        <v>34</v>
      </c>
      <c r="Q296">
        <v>4</v>
      </c>
      <c r="R296">
        <v>6</v>
      </c>
      <c r="S296">
        <v>5</v>
      </c>
      <c r="T296">
        <v>6</v>
      </c>
      <c r="U296">
        <v>6</v>
      </c>
      <c r="V296">
        <v>4</v>
      </c>
      <c r="W296" t="s">
        <v>66</v>
      </c>
      <c r="X296" t="s">
        <v>36</v>
      </c>
      <c r="Y296" t="s">
        <v>57</v>
      </c>
      <c r="Z296">
        <v>26</v>
      </c>
      <c r="AA296" t="s">
        <v>38</v>
      </c>
      <c r="AB296" t="s">
        <v>124</v>
      </c>
      <c r="AC296" t="s">
        <v>39</v>
      </c>
    </row>
    <row r="297" spans="1:29" x14ac:dyDescent="0.35">
      <c r="A297" t="s">
        <v>379</v>
      </c>
      <c r="B297" t="s">
        <v>29</v>
      </c>
      <c r="C297" s="1">
        <v>44722</v>
      </c>
      <c r="D297" s="2">
        <v>0.7006944444444444</v>
      </c>
      <c r="E297" s="2">
        <v>2.0254629629629629E-3</v>
      </c>
      <c r="K297" t="s">
        <v>50</v>
      </c>
      <c r="L297" t="s">
        <v>31</v>
      </c>
      <c r="M297" t="s">
        <v>42</v>
      </c>
      <c r="N297">
        <v>53</v>
      </c>
      <c r="O297" t="s">
        <v>50</v>
      </c>
      <c r="P297" t="s">
        <v>50</v>
      </c>
      <c r="Q297">
        <v>3</v>
      </c>
      <c r="R297">
        <v>6</v>
      </c>
      <c r="S297">
        <v>9</v>
      </c>
      <c r="T297">
        <v>6</v>
      </c>
      <c r="U297">
        <v>5</v>
      </c>
      <c r="V297">
        <v>10</v>
      </c>
      <c r="W297" t="s">
        <v>59</v>
      </c>
      <c r="X297" t="s">
        <v>50</v>
      </c>
      <c r="Y297" t="s">
        <v>37</v>
      </c>
      <c r="Z297">
        <v>27</v>
      </c>
      <c r="AA297" t="s">
        <v>38</v>
      </c>
      <c r="AB297" t="s">
        <v>126</v>
      </c>
      <c r="AC297" t="s">
        <v>53</v>
      </c>
    </row>
    <row r="298" spans="1:29" x14ac:dyDescent="0.35">
      <c r="A298" t="s">
        <v>380</v>
      </c>
      <c r="B298" t="s">
        <v>29</v>
      </c>
      <c r="C298" s="1">
        <v>44722</v>
      </c>
      <c r="D298" s="2">
        <v>0.70277777777777783</v>
      </c>
      <c r="E298" s="2">
        <v>1.1805555555555556E-3</v>
      </c>
      <c r="K298" t="s">
        <v>30</v>
      </c>
      <c r="L298" t="s">
        <v>31</v>
      </c>
      <c r="M298" t="s">
        <v>73</v>
      </c>
      <c r="N298">
        <v>76</v>
      </c>
      <c r="O298" t="s">
        <v>50</v>
      </c>
      <c r="P298" t="s">
        <v>34</v>
      </c>
      <c r="Q298">
        <v>8</v>
      </c>
      <c r="R298">
        <v>5</v>
      </c>
      <c r="S298">
        <v>9</v>
      </c>
      <c r="T298">
        <v>6</v>
      </c>
      <c r="U298">
        <v>6</v>
      </c>
      <c r="V298">
        <v>10</v>
      </c>
      <c r="W298" t="s">
        <v>66</v>
      </c>
      <c r="X298" t="s">
        <v>36</v>
      </c>
      <c r="Y298" t="s">
        <v>37</v>
      </c>
      <c r="Z298">
        <v>26</v>
      </c>
      <c r="AA298" t="s">
        <v>38</v>
      </c>
      <c r="AB298" t="s">
        <v>124</v>
      </c>
      <c r="AC298" t="s">
        <v>39</v>
      </c>
    </row>
    <row r="299" spans="1:29" x14ac:dyDescent="0.35">
      <c r="A299" t="s">
        <v>381</v>
      </c>
      <c r="B299" t="s">
        <v>29</v>
      </c>
      <c r="C299" s="1">
        <v>44722</v>
      </c>
      <c r="D299" s="2">
        <v>0.70347222222222217</v>
      </c>
      <c r="E299" s="2">
        <v>2.0949074074074073E-3</v>
      </c>
      <c r="K299" t="s">
        <v>86</v>
      </c>
      <c r="L299" t="s">
        <v>31</v>
      </c>
      <c r="M299" t="s">
        <v>49</v>
      </c>
      <c r="N299">
        <v>20</v>
      </c>
      <c r="O299" t="s">
        <v>76</v>
      </c>
      <c r="P299" t="s">
        <v>34</v>
      </c>
      <c r="Q299">
        <v>4</v>
      </c>
      <c r="R299">
        <v>5</v>
      </c>
      <c r="S299">
        <v>4</v>
      </c>
      <c r="T299">
        <v>4</v>
      </c>
      <c r="U299">
        <v>3</v>
      </c>
      <c r="V299">
        <v>4</v>
      </c>
      <c r="W299" t="s">
        <v>35</v>
      </c>
      <c r="X299" t="s">
        <v>60</v>
      </c>
      <c r="Y299" t="s">
        <v>57</v>
      </c>
      <c r="Z299">
        <v>26</v>
      </c>
      <c r="AA299" t="s">
        <v>38</v>
      </c>
      <c r="AB299" t="s">
        <v>126</v>
      </c>
      <c r="AC299" t="s">
        <v>46</v>
      </c>
    </row>
    <row r="300" spans="1:29" x14ac:dyDescent="0.35">
      <c r="A300" t="s">
        <v>382</v>
      </c>
      <c r="B300" t="s">
        <v>29</v>
      </c>
      <c r="C300" s="1">
        <v>44722</v>
      </c>
      <c r="D300" s="2">
        <v>0.7090277777777777</v>
      </c>
      <c r="E300" s="2">
        <v>9.0277777777777784E-4</v>
      </c>
      <c r="K300" t="s">
        <v>30</v>
      </c>
      <c r="L300" t="s">
        <v>31</v>
      </c>
      <c r="M300" t="s">
        <v>42</v>
      </c>
      <c r="N300">
        <v>53</v>
      </c>
      <c r="O300" t="s">
        <v>43</v>
      </c>
      <c r="P300" t="s">
        <v>44</v>
      </c>
      <c r="Q300">
        <v>2</v>
      </c>
      <c r="R300">
        <v>5</v>
      </c>
      <c r="S300">
        <v>5</v>
      </c>
      <c r="T300">
        <v>5</v>
      </c>
      <c r="U300">
        <v>4</v>
      </c>
      <c r="V300">
        <v>5</v>
      </c>
      <c r="W300" t="s">
        <v>51</v>
      </c>
      <c r="X300" t="s">
        <v>60</v>
      </c>
      <c r="Y300" t="s">
        <v>37</v>
      </c>
      <c r="Z300">
        <v>24</v>
      </c>
      <c r="AA300" t="s">
        <v>38</v>
      </c>
      <c r="AB300" t="s">
        <v>124</v>
      </c>
      <c r="AC300" t="s">
        <v>39</v>
      </c>
    </row>
    <row r="301" spans="1:29" x14ac:dyDescent="0.35">
      <c r="A301" t="s">
        <v>383</v>
      </c>
      <c r="B301" t="s">
        <v>29</v>
      </c>
      <c r="C301" s="1">
        <v>44722</v>
      </c>
      <c r="D301" s="2">
        <v>0.71250000000000002</v>
      </c>
      <c r="E301" s="2">
        <v>1.5972222222222221E-3</v>
      </c>
      <c r="K301" t="s">
        <v>30</v>
      </c>
      <c r="L301" t="s">
        <v>31</v>
      </c>
      <c r="M301" t="s">
        <v>68</v>
      </c>
      <c r="N301">
        <v>96</v>
      </c>
      <c r="O301" t="s">
        <v>50</v>
      </c>
      <c r="P301" t="s">
        <v>34</v>
      </c>
      <c r="Q301">
        <v>4</v>
      </c>
      <c r="R301">
        <v>6</v>
      </c>
      <c r="S301">
        <v>3</v>
      </c>
      <c r="T301">
        <v>4</v>
      </c>
      <c r="U301">
        <v>4</v>
      </c>
      <c r="V301">
        <v>2</v>
      </c>
      <c r="W301" t="s">
        <v>51</v>
      </c>
      <c r="X301" t="s">
        <v>60</v>
      </c>
      <c r="Y301" t="s">
        <v>57</v>
      </c>
      <c r="Z301">
        <v>28</v>
      </c>
      <c r="AA301" t="s">
        <v>50</v>
      </c>
      <c r="AB301" t="s">
        <v>126</v>
      </c>
      <c r="AC301" t="s">
        <v>50</v>
      </c>
    </row>
    <row r="302" spans="1:29" x14ac:dyDescent="0.35">
      <c r="A302" t="s">
        <v>384</v>
      </c>
      <c r="B302" t="s">
        <v>29</v>
      </c>
      <c r="C302" s="1">
        <v>44722</v>
      </c>
      <c r="D302" s="2">
        <v>0.71458333333333324</v>
      </c>
      <c r="E302" s="2">
        <v>9.0277777777777784E-4</v>
      </c>
      <c r="K302" t="s">
        <v>30</v>
      </c>
      <c r="L302" t="s">
        <v>31</v>
      </c>
      <c r="M302" t="s">
        <v>32</v>
      </c>
      <c r="N302">
        <v>116</v>
      </c>
      <c r="O302" t="s">
        <v>50</v>
      </c>
      <c r="P302" t="s">
        <v>44</v>
      </c>
      <c r="Q302">
        <v>8</v>
      </c>
      <c r="R302">
        <v>8</v>
      </c>
      <c r="S302">
        <v>10</v>
      </c>
      <c r="T302">
        <v>9</v>
      </c>
      <c r="U302">
        <v>7</v>
      </c>
      <c r="V302">
        <v>5</v>
      </c>
      <c r="W302" t="s">
        <v>51</v>
      </c>
      <c r="X302" t="s">
        <v>60</v>
      </c>
      <c r="Y302" t="s">
        <v>37</v>
      </c>
      <c r="Z302">
        <v>29</v>
      </c>
      <c r="AA302" t="s">
        <v>38</v>
      </c>
      <c r="AB302" t="s">
        <v>124</v>
      </c>
      <c r="AC302" t="s">
        <v>39</v>
      </c>
    </row>
    <row r="303" spans="1:29" x14ac:dyDescent="0.35">
      <c r="A303" t="s">
        <v>385</v>
      </c>
      <c r="B303" t="s">
        <v>29</v>
      </c>
      <c r="C303" s="1">
        <v>44722</v>
      </c>
      <c r="D303" s="2">
        <v>0.71736111111111101</v>
      </c>
      <c r="E303" s="2">
        <v>7.175925925925927E-4</v>
      </c>
      <c r="K303" t="s">
        <v>30</v>
      </c>
      <c r="L303" t="s">
        <v>31</v>
      </c>
      <c r="M303" t="s">
        <v>73</v>
      </c>
      <c r="N303">
        <v>76</v>
      </c>
      <c r="O303" t="s">
        <v>43</v>
      </c>
      <c r="P303" t="s">
        <v>34</v>
      </c>
      <c r="Q303">
        <v>3</v>
      </c>
      <c r="R303">
        <v>2</v>
      </c>
      <c r="S303">
        <v>1</v>
      </c>
      <c r="T303">
        <v>1</v>
      </c>
      <c r="U303">
        <v>0</v>
      </c>
      <c r="V303">
        <v>2</v>
      </c>
      <c r="W303" t="s">
        <v>35</v>
      </c>
      <c r="X303" t="s">
        <v>60</v>
      </c>
      <c r="Y303" t="s">
        <v>57</v>
      </c>
      <c r="Z303">
        <v>26</v>
      </c>
      <c r="AA303" t="s">
        <v>38</v>
      </c>
      <c r="AB303" t="s">
        <v>126</v>
      </c>
      <c r="AC303" t="s">
        <v>46</v>
      </c>
    </row>
    <row r="304" spans="1:29" x14ac:dyDescent="0.35">
      <c r="A304" t="s">
        <v>386</v>
      </c>
      <c r="B304" t="s">
        <v>29</v>
      </c>
      <c r="C304" s="1">
        <v>44722</v>
      </c>
      <c r="D304" s="2">
        <v>0.73611111111111116</v>
      </c>
      <c r="E304" s="2">
        <v>9.1435185185185185E-4</v>
      </c>
      <c r="K304" t="s">
        <v>30</v>
      </c>
      <c r="L304" t="s">
        <v>31</v>
      </c>
      <c r="M304" t="s">
        <v>42</v>
      </c>
      <c r="N304">
        <v>53</v>
      </c>
      <c r="O304" t="s">
        <v>50</v>
      </c>
      <c r="P304" t="s">
        <v>34</v>
      </c>
      <c r="Q304">
        <v>3</v>
      </c>
      <c r="R304">
        <v>5</v>
      </c>
      <c r="S304">
        <v>3</v>
      </c>
      <c r="T304">
        <v>3</v>
      </c>
      <c r="U304">
        <v>1</v>
      </c>
      <c r="V304">
        <v>1</v>
      </c>
      <c r="W304" t="s">
        <v>66</v>
      </c>
      <c r="X304" t="s">
        <v>60</v>
      </c>
      <c r="Y304" t="s">
        <v>37</v>
      </c>
      <c r="Z304">
        <v>28</v>
      </c>
      <c r="AA304" t="s">
        <v>79</v>
      </c>
      <c r="AB304" t="s">
        <v>124</v>
      </c>
      <c r="AC304" t="s">
        <v>39</v>
      </c>
    </row>
    <row r="305" spans="1:29" x14ac:dyDescent="0.35">
      <c r="A305" t="s">
        <v>387</v>
      </c>
      <c r="B305" t="s">
        <v>29</v>
      </c>
      <c r="C305" s="1">
        <v>44722</v>
      </c>
      <c r="D305" s="2">
        <v>0.7368055555555556</v>
      </c>
      <c r="E305" s="2">
        <v>2.9976851851851848E-3</v>
      </c>
      <c r="K305" t="s">
        <v>30</v>
      </c>
      <c r="L305" t="s">
        <v>41</v>
      </c>
      <c r="M305" t="s">
        <v>49</v>
      </c>
      <c r="N305">
        <v>20</v>
      </c>
      <c r="O305" t="s">
        <v>43</v>
      </c>
      <c r="P305" t="s">
        <v>34</v>
      </c>
      <c r="Q305">
        <v>6</v>
      </c>
      <c r="R305">
        <v>8</v>
      </c>
      <c r="S305">
        <v>7</v>
      </c>
      <c r="T305">
        <v>6</v>
      </c>
      <c r="U305">
        <v>2</v>
      </c>
      <c r="V305">
        <v>4</v>
      </c>
      <c r="W305" t="s">
        <v>51</v>
      </c>
      <c r="X305" t="s">
        <v>50</v>
      </c>
      <c r="Y305" t="s">
        <v>37</v>
      </c>
      <c r="Z305">
        <v>25</v>
      </c>
      <c r="AA305" t="s">
        <v>50</v>
      </c>
      <c r="AB305" t="s">
        <v>126</v>
      </c>
      <c r="AC305" t="s">
        <v>39</v>
      </c>
    </row>
    <row r="306" spans="1:29" x14ac:dyDescent="0.35">
      <c r="A306" t="s">
        <v>388</v>
      </c>
      <c r="B306" t="s">
        <v>29</v>
      </c>
      <c r="C306" s="1">
        <v>44722</v>
      </c>
      <c r="D306" s="2">
        <v>0.74097222222222225</v>
      </c>
      <c r="E306" s="2">
        <v>1.0416666666666667E-3</v>
      </c>
      <c r="K306" t="s">
        <v>30</v>
      </c>
      <c r="L306" t="s">
        <v>31</v>
      </c>
      <c r="M306" t="s">
        <v>73</v>
      </c>
      <c r="N306">
        <v>76</v>
      </c>
      <c r="O306" t="s">
        <v>43</v>
      </c>
      <c r="P306" t="s">
        <v>44</v>
      </c>
      <c r="Q306">
        <v>5</v>
      </c>
      <c r="R306">
        <v>7</v>
      </c>
      <c r="S306">
        <v>7</v>
      </c>
      <c r="T306">
        <v>3</v>
      </c>
      <c r="U306">
        <v>7</v>
      </c>
      <c r="V306">
        <v>9</v>
      </c>
      <c r="W306" t="s">
        <v>59</v>
      </c>
      <c r="X306" t="s">
        <v>60</v>
      </c>
      <c r="Y306" t="s">
        <v>57</v>
      </c>
      <c r="Z306">
        <v>26</v>
      </c>
      <c r="AA306" t="s">
        <v>38</v>
      </c>
      <c r="AB306" t="s">
        <v>124</v>
      </c>
      <c r="AC306" t="s">
        <v>46</v>
      </c>
    </row>
    <row r="307" spans="1:29" x14ac:dyDescent="0.35">
      <c r="A307" t="s">
        <v>389</v>
      </c>
      <c r="B307" t="s">
        <v>29</v>
      </c>
      <c r="C307" s="1">
        <v>44722</v>
      </c>
      <c r="D307" s="2">
        <v>0.75</v>
      </c>
      <c r="E307" s="2">
        <v>3.8888888888888883E-3</v>
      </c>
      <c r="K307" t="s">
        <v>48</v>
      </c>
      <c r="L307" t="s">
        <v>31</v>
      </c>
      <c r="M307" t="s">
        <v>65</v>
      </c>
      <c r="N307">
        <v>138</v>
      </c>
      <c r="O307" t="s">
        <v>33</v>
      </c>
      <c r="P307" t="s">
        <v>34</v>
      </c>
      <c r="Q307">
        <v>6</v>
      </c>
      <c r="R307">
        <v>3</v>
      </c>
      <c r="S307">
        <v>9</v>
      </c>
      <c r="T307">
        <v>5</v>
      </c>
      <c r="U307">
        <v>8</v>
      </c>
      <c r="V307">
        <v>8</v>
      </c>
      <c r="W307" t="s">
        <v>66</v>
      </c>
      <c r="X307" t="s">
        <v>36</v>
      </c>
      <c r="Y307" t="s">
        <v>57</v>
      </c>
      <c r="Z307">
        <v>38</v>
      </c>
      <c r="AA307" t="s">
        <v>38</v>
      </c>
      <c r="AB307" t="s">
        <v>126</v>
      </c>
      <c r="AC307" t="s">
        <v>39</v>
      </c>
    </row>
    <row r="308" spans="1:29" x14ac:dyDescent="0.35">
      <c r="A308" t="s">
        <v>390</v>
      </c>
      <c r="B308" t="s">
        <v>29</v>
      </c>
      <c r="C308" s="1">
        <v>44722</v>
      </c>
      <c r="D308" s="2">
        <v>0.75347222222222221</v>
      </c>
      <c r="E308" s="2">
        <v>1.3888888888888889E-3</v>
      </c>
      <c r="K308" t="s">
        <v>50</v>
      </c>
      <c r="L308" t="s">
        <v>31</v>
      </c>
      <c r="M308" t="s">
        <v>49</v>
      </c>
      <c r="N308">
        <v>20</v>
      </c>
      <c r="O308" t="s">
        <v>50</v>
      </c>
      <c r="P308" t="s">
        <v>50</v>
      </c>
      <c r="Q308">
        <v>0</v>
      </c>
      <c r="R308">
        <v>3</v>
      </c>
      <c r="S308">
        <v>3</v>
      </c>
      <c r="T308">
        <v>3</v>
      </c>
      <c r="U308">
        <v>4</v>
      </c>
      <c r="V308">
        <v>4</v>
      </c>
      <c r="W308" t="s">
        <v>66</v>
      </c>
      <c r="X308" t="s">
        <v>60</v>
      </c>
      <c r="Y308" t="s">
        <v>57</v>
      </c>
      <c r="Z308">
        <v>20</v>
      </c>
      <c r="AA308" t="s">
        <v>50</v>
      </c>
      <c r="AB308" t="s">
        <v>120</v>
      </c>
      <c r="AC308" t="s">
        <v>53</v>
      </c>
    </row>
    <row r="309" spans="1:29" x14ac:dyDescent="0.35">
      <c r="A309" t="s">
        <v>391</v>
      </c>
      <c r="B309" t="s">
        <v>29</v>
      </c>
      <c r="C309" s="1">
        <v>44722</v>
      </c>
      <c r="D309" s="2">
        <v>0.7583333333333333</v>
      </c>
      <c r="E309" s="2">
        <v>1.4351851851851854E-3</v>
      </c>
      <c r="K309" t="s">
        <v>30</v>
      </c>
      <c r="L309" t="s">
        <v>41</v>
      </c>
      <c r="M309" t="s">
        <v>73</v>
      </c>
      <c r="N309">
        <v>76</v>
      </c>
      <c r="O309" t="s">
        <v>78</v>
      </c>
      <c r="P309" t="s">
        <v>50</v>
      </c>
      <c r="Q309">
        <v>4</v>
      </c>
      <c r="R309">
        <v>6</v>
      </c>
      <c r="S309">
        <v>7</v>
      </c>
      <c r="T309">
        <v>7</v>
      </c>
      <c r="U309">
        <v>2</v>
      </c>
      <c r="V309">
        <v>2</v>
      </c>
      <c r="W309" t="s">
        <v>66</v>
      </c>
      <c r="X309" t="s">
        <v>36</v>
      </c>
      <c r="Y309" t="s">
        <v>57</v>
      </c>
      <c r="Z309">
        <v>45</v>
      </c>
      <c r="AA309" t="s">
        <v>38</v>
      </c>
      <c r="AB309" t="s">
        <v>126</v>
      </c>
      <c r="AC309" t="s">
        <v>53</v>
      </c>
    </row>
    <row r="310" spans="1:29" x14ac:dyDescent="0.35">
      <c r="A310" t="s">
        <v>392</v>
      </c>
      <c r="B310" t="s">
        <v>29</v>
      </c>
      <c r="C310" s="1">
        <v>44722</v>
      </c>
      <c r="D310" s="2">
        <v>0.76180555555555562</v>
      </c>
      <c r="E310" s="2">
        <v>9.0277777777777784E-4</v>
      </c>
      <c r="K310" t="s">
        <v>30</v>
      </c>
      <c r="L310" t="s">
        <v>41</v>
      </c>
      <c r="M310" t="s">
        <v>68</v>
      </c>
      <c r="N310">
        <v>96</v>
      </c>
      <c r="O310" t="s">
        <v>50</v>
      </c>
      <c r="P310" t="s">
        <v>34</v>
      </c>
      <c r="Q310">
        <v>5</v>
      </c>
      <c r="R310">
        <v>3</v>
      </c>
      <c r="S310">
        <v>5</v>
      </c>
      <c r="T310">
        <v>6</v>
      </c>
      <c r="U310">
        <v>6</v>
      </c>
      <c r="V310">
        <v>4</v>
      </c>
      <c r="W310" t="s">
        <v>59</v>
      </c>
      <c r="X310" t="s">
        <v>52</v>
      </c>
      <c r="Y310" t="s">
        <v>37</v>
      </c>
      <c r="Z310">
        <v>27</v>
      </c>
      <c r="AA310" t="s">
        <v>45</v>
      </c>
      <c r="AB310" t="s">
        <v>126</v>
      </c>
      <c r="AC310" t="s">
        <v>50</v>
      </c>
    </row>
    <row r="311" spans="1:29" x14ac:dyDescent="0.35">
      <c r="A311" t="s">
        <v>393</v>
      </c>
      <c r="B311" t="s">
        <v>29</v>
      </c>
      <c r="C311" s="1">
        <v>44722</v>
      </c>
      <c r="D311" s="2">
        <v>0.76597222222222217</v>
      </c>
      <c r="E311" s="2">
        <v>2.0601851851851853E-3</v>
      </c>
      <c r="K311" t="s">
        <v>30</v>
      </c>
      <c r="L311" t="s">
        <v>31</v>
      </c>
      <c r="M311" t="s">
        <v>42</v>
      </c>
      <c r="N311">
        <v>53</v>
      </c>
      <c r="O311" t="s">
        <v>50</v>
      </c>
      <c r="P311" t="s">
        <v>34</v>
      </c>
      <c r="Q311">
        <v>3</v>
      </c>
      <c r="R311">
        <v>7</v>
      </c>
      <c r="S311">
        <v>7</v>
      </c>
      <c r="T311">
        <v>7</v>
      </c>
      <c r="U311">
        <v>7</v>
      </c>
      <c r="V311">
        <v>6</v>
      </c>
      <c r="W311" t="s">
        <v>59</v>
      </c>
      <c r="X311" t="s">
        <v>82</v>
      </c>
      <c r="Y311" t="s">
        <v>37</v>
      </c>
      <c r="Z311">
        <v>28</v>
      </c>
      <c r="AA311" t="s">
        <v>45</v>
      </c>
      <c r="AB311" t="s">
        <v>126</v>
      </c>
      <c r="AC311" t="s">
        <v>46</v>
      </c>
    </row>
    <row r="312" spans="1:29" x14ac:dyDescent="0.35">
      <c r="A312" t="s">
        <v>394</v>
      </c>
      <c r="B312" t="s">
        <v>29</v>
      </c>
      <c r="C312" s="1">
        <v>44722</v>
      </c>
      <c r="D312" s="2">
        <v>0.77083333333333337</v>
      </c>
      <c r="E312" s="2">
        <v>3.1249999999999997E-3</v>
      </c>
      <c r="K312" t="s">
        <v>86</v>
      </c>
      <c r="L312" t="s">
        <v>31</v>
      </c>
      <c r="M312" t="s">
        <v>49</v>
      </c>
      <c r="N312">
        <v>20</v>
      </c>
      <c r="O312" t="s">
        <v>50</v>
      </c>
      <c r="P312" t="s">
        <v>44</v>
      </c>
      <c r="Q312">
        <v>2</v>
      </c>
      <c r="R312">
        <v>10</v>
      </c>
      <c r="S312">
        <v>10</v>
      </c>
      <c r="T312">
        <v>10</v>
      </c>
      <c r="U312">
        <v>10</v>
      </c>
      <c r="V312">
        <v>3</v>
      </c>
      <c r="W312" t="s">
        <v>66</v>
      </c>
      <c r="X312" t="s">
        <v>36</v>
      </c>
      <c r="Y312" t="s">
        <v>57</v>
      </c>
      <c r="Z312">
        <v>29</v>
      </c>
      <c r="AA312" t="s">
        <v>50</v>
      </c>
      <c r="AB312" t="s">
        <v>124</v>
      </c>
      <c r="AC312" t="s">
        <v>50</v>
      </c>
    </row>
    <row r="313" spans="1:29" x14ac:dyDescent="0.35">
      <c r="A313" t="s">
        <v>395</v>
      </c>
      <c r="B313" t="s">
        <v>29</v>
      </c>
      <c r="C313" s="1">
        <v>44722</v>
      </c>
      <c r="D313" s="2">
        <v>0.77638888888888891</v>
      </c>
      <c r="E313" s="2">
        <v>1.3541666666666667E-3</v>
      </c>
      <c r="K313" t="s">
        <v>50</v>
      </c>
      <c r="L313" t="s">
        <v>41</v>
      </c>
      <c r="M313" t="s">
        <v>42</v>
      </c>
      <c r="N313">
        <v>53</v>
      </c>
      <c r="O313" t="s">
        <v>76</v>
      </c>
      <c r="P313" t="s">
        <v>131</v>
      </c>
      <c r="Q313">
        <v>7</v>
      </c>
      <c r="R313">
        <v>7</v>
      </c>
      <c r="S313">
        <v>7</v>
      </c>
      <c r="T313">
        <v>7</v>
      </c>
      <c r="U313">
        <v>7</v>
      </c>
      <c r="V313">
        <v>7</v>
      </c>
      <c r="W313" t="s">
        <v>66</v>
      </c>
      <c r="X313" t="s">
        <v>60</v>
      </c>
      <c r="Y313" t="s">
        <v>57</v>
      </c>
      <c r="Z313">
        <v>43</v>
      </c>
      <c r="AA313" t="s">
        <v>50</v>
      </c>
      <c r="AB313" t="s">
        <v>120</v>
      </c>
      <c r="AC313" t="s">
        <v>46</v>
      </c>
    </row>
    <row r="314" spans="1:29" x14ac:dyDescent="0.35">
      <c r="A314" t="s">
        <v>396</v>
      </c>
      <c r="B314" t="s">
        <v>29</v>
      </c>
      <c r="C314" s="1">
        <v>44722</v>
      </c>
      <c r="D314" s="2">
        <v>0.77777777777777779</v>
      </c>
      <c r="E314" s="2">
        <v>1.7013888888888892E-3</v>
      </c>
      <c r="K314" t="s">
        <v>30</v>
      </c>
      <c r="L314" t="s">
        <v>31</v>
      </c>
      <c r="M314" t="s">
        <v>49</v>
      </c>
      <c r="N314">
        <v>20</v>
      </c>
      <c r="O314" t="s">
        <v>43</v>
      </c>
      <c r="P314" t="s">
        <v>34</v>
      </c>
      <c r="Q314">
        <v>0</v>
      </c>
      <c r="R314">
        <v>5</v>
      </c>
      <c r="S314">
        <v>9</v>
      </c>
      <c r="T314">
        <v>9</v>
      </c>
      <c r="U314">
        <v>0</v>
      </c>
      <c r="V314">
        <v>10</v>
      </c>
      <c r="W314" t="s">
        <v>66</v>
      </c>
      <c r="X314" t="s">
        <v>36</v>
      </c>
      <c r="Y314" t="s">
        <v>37</v>
      </c>
      <c r="Z314">
        <v>26</v>
      </c>
      <c r="AA314" t="s">
        <v>50</v>
      </c>
      <c r="AB314" t="s">
        <v>124</v>
      </c>
      <c r="AC314" t="s">
        <v>53</v>
      </c>
    </row>
    <row r="315" spans="1:29" x14ac:dyDescent="0.35">
      <c r="A315" t="s">
        <v>397</v>
      </c>
      <c r="B315" t="s">
        <v>29</v>
      </c>
      <c r="C315" s="1">
        <v>44722</v>
      </c>
      <c r="D315" s="2">
        <v>0.78333333333333333</v>
      </c>
      <c r="E315" s="2">
        <v>2.9745370370370373E-3</v>
      </c>
      <c r="K315" t="s">
        <v>86</v>
      </c>
      <c r="L315" t="s">
        <v>41</v>
      </c>
      <c r="M315" t="s">
        <v>42</v>
      </c>
      <c r="N315">
        <v>53</v>
      </c>
      <c r="O315" t="s">
        <v>76</v>
      </c>
      <c r="P315" t="s">
        <v>50</v>
      </c>
      <c r="Q315">
        <v>7</v>
      </c>
      <c r="R315">
        <v>8</v>
      </c>
      <c r="S315">
        <v>7</v>
      </c>
      <c r="T315">
        <v>7</v>
      </c>
      <c r="U315">
        <v>8</v>
      </c>
      <c r="V315">
        <v>7</v>
      </c>
      <c r="W315" t="s">
        <v>66</v>
      </c>
      <c r="X315" t="s">
        <v>50</v>
      </c>
      <c r="Y315" t="s">
        <v>57</v>
      </c>
      <c r="Z315">
        <v>47</v>
      </c>
      <c r="AA315" t="s">
        <v>38</v>
      </c>
      <c r="AB315" t="s">
        <v>124</v>
      </c>
      <c r="AC315" t="s">
        <v>53</v>
      </c>
    </row>
    <row r="316" spans="1:29" x14ac:dyDescent="0.35">
      <c r="A316" t="s">
        <v>398</v>
      </c>
      <c r="B316" t="s">
        <v>29</v>
      </c>
      <c r="C316" s="1">
        <v>44722</v>
      </c>
      <c r="D316" s="2">
        <v>0.78541666666666676</v>
      </c>
      <c r="E316" s="2">
        <v>1.1805555555555556E-3</v>
      </c>
      <c r="K316" t="s">
        <v>86</v>
      </c>
      <c r="L316" t="s">
        <v>31</v>
      </c>
      <c r="M316" t="s">
        <v>49</v>
      </c>
      <c r="N316">
        <v>20</v>
      </c>
      <c r="O316" t="s">
        <v>43</v>
      </c>
      <c r="P316" t="s">
        <v>34</v>
      </c>
      <c r="Q316" t="s">
        <v>128</v>
      </c>
      <c r="T316">
        <v>8</v>
      </c>
      <c r="U316">
        <v>10</v>
      </c>
      <c r="V316">
        <v>10</v>
      </c>
      <c r="W316" t="s">
        <v>51</v>
      </c>
      <c r="X316" t="s">
        <v>36</v>
      </c>
      <c r="Y316" t="s">
        <v>37</v>
      </c>
      <c r="Z316">
        <v>23</v>
      </c>
      <c r="AA316" t="s">
        <v>50</v>
      </c>
      <c r="AB316" t="s">
        <v>124</v>
      </c>
      <c r="AC316" t="s">
        <v>53</v>
      </c>
    </row>
    <row r="317" spans="1:29" x14ac:dyDescent="0.35">
      <c r="A317" t="s">
        <v>399</v>
      </c>
      <c r="B317" t="s">
        <v>29</v>
      </c>
      <c r="C317" s="1">
        <v>44722</v>
      </c>
      <c r="D317" s="2">
        <v>0.78819444444444453</v>
      </c>
      <c r="E317" s="2">
        <v>9.2592592592592585E-4</v>
      </c>
      <c r="K317" t="s">
        <v>30</v>
      </c>
      <c r="L317" t="s">
        <v>31</v>
      </c>
      <c r="M317" t="s">
        <v>49</v>
      </c>
      <c r="N317">
        <v>20</v>
      </c>
      <c r="O317" t="s">
        <v>76</v>
      </c>
      <c r="P317" t="s">
        <v>34</v>
      </c>
      <c r="Q317">
        <v>0</v>
      </c>
      <c r="R317">
        <v>1</v>
      </c>
      <c r="S317">
        <v>1</v>
      </c>
      <c r="T317">
        <v>1</v>
      </c>
      <c r="U317">
        <v>1</v>
      </c>
      <c r="V317">
        <v>2</v>
      </c>
      <c r="W317" t="s">
        <v>35</v>
      </c>
      <c r="X317" t="s">
        <v>60</v>
      </c>
      <c r="Y317" t="s">
        <v>37</v>
      </c>
      <c r="Z317">
        <v>25</v>
      </c>
      <c r="AA317" t="s">
        <v>50</v>
      </c>
      <c r="AB317" t="s">
        <v>124</v>
      </c>
      <c r="AC317" t="s">
        <v>50</v>
      </c>
    </row>
    <row r="318" spans="1:29" x14ac:dyDescent="0.35">
      <c r="A318" t="s">
        <v>400</v>
      </c>
      <c r="B318" t="s">
        <v>29</v>
      </c>
      <c r="C318" s="1">
        <v>44722</v>
      </c>
      <c r="D318" s="2">
        <v>0.7944444444444444</v>
      </c>
      <c r="E318" s="2">
        <v>1.4120370370370369E-3</v>
      </c>
      <c r="K318" t="s">
        <v>50</v>
      </c>
      <c r="L318" t="s">
        <v>41</v>
      </c>
      <c r="M318" t="s">
        <v>49</v>
      </c>
      <c r="N318">
        <v>20</v>
      </c>
      <c r="O318" t="s">
        <v>43</v>
      </c>
      <c r="P318" t="s">
        <v>34</v>
      </c>
      <c r="Q318">
        <v>6</v>
      </c>
      <c r="R318">
        <v>6</v>
      </c>
      <c r="S318">
        <v>3</v>
      </c>
      <c r="T318">
        <v>7</v>
      </c>
      <c r="U318">
        <v>2</v>
      </c>
      <c r="V318">
        <v>4</v>
      </c>
      <c r="W318" t="s">
        <v>35</v>
      </c>
      <c r="X318" t="s">
        <v>50</v>
      </c>
      <c r="Y318" t="s">
        <v>37</v>
      </c>
      <c r="Z318">
        <v>32</v>
      </c>
      <c r="AA318" t="s">
        <v>50</v>
      </c>
      <c r="AB318" t="s">
        <v>126</v>
      </c>
      <c r="AC318" t="s">
        <v>39</v>
      </c>
    </row>
    <row r="319" spans="1:29" x14ac:dyDescent="0.35">
      <c r="A319" t="s">
        <v>401</v>
      </c>
      <c r="B319" t="s">
        <v>29</v>
      </c>
      <c r="C319" s="1">
        <v>44722</v>
      </c>
      <c r="D319" s="2">
        <v>0.79999999999999993</v>
      </c>
      <c r="E319" s="2">
        <v>7.9861111111111105E-4</v>
      </c>
      <c r="K319" t="s">
        <v>30</v>
      </c>
      <c r="L319" t="s">
        <v>31</v>
      </c>
      <c r="M319" t="s">
        <v>49</v>
      </c>
      <c r="N319">
        <v>20</v>
      </c>
      <c r="O319" t="s">
        <v>43</v>
      </c>
      <c r="P319" t="s">
        <v>34</v>
      </c>
      <c r="Q319">
        <v>1</v>
      </c>
      <c r="R319">
        <v>10</v>
      </c>
      <c r="S319">
        <v>10</v>
      </c>
      <c r="T319">
        <v>5</v>
      </c>
      <c r="U319">
        <v>3</v>
      </c>
      <c r="V319">
        <v>1</v>
      </c>
      <c r="W319" t="s">
        <v>66</v>
      </c>
      <c r="X319" t="s">
        <v>60</v>
      </c>
      <c r="Y319" t="s">
        <v>57</v>
      </c>
      <c r="Z319">
        <v>25</v>
      </c>
      <c r="AA319" t="s">
        <v>38</v>
      </c>
      <c r="AB319" t="s">
        <v>124</v>
      </c>
      <c r="AC319" t="s">
        <v>39</v>
      </c>
    </row>
    <row r="320" spans="1:29" x14ac:dyDescent="0.35">
      <c r="A320" t="s">
        <v>402</v>
      </c>
      <c r="B320" t="s">
        <v>29</v>
      </c>
      <c r="C320" s="1">
        <v>44722</v>
      </c>
      <c r="D320" s="2">
        <v>0.80694444444444446</v>
      </c>
      <c r="E320" s="2">
        <v>1.8518518518518517E-3</v>
      </c>
      <c r="K320" t="s">
        <v>30</v>
      </c>
      <c r="L320" t="s">
        <v>41</v>
      </c>
      <c r="M320" t="s">
        <v>49</v>
      </c>
      <c r="N320">
        <v>20</v>
      </c>
      <c r="O320" t="s">
        <v>43</v>
      </c>
      <c r="P320" t="s">
        <v>34</v>
      </c>
      <c r="Q320">
        <v>1</v>
      </c>
      <c r="R320">
        <v>2</v>
      </c>
      <c r="S320">
        <v>10</v>
      </c>
      <c r="T320">
        <v>1</v>
      </c>
      <c r="U320">
        <v>2</v>
      </c>
      <c r="V320">
        <v>8</v>
      </c>
      <c r="W320" t="s">
        <v>59</v>
      </c>
      <c r="X320" t="s">
        <v>36</v>
      </c>
      <c r="Y320" t="s">
        <v>57</v>
      </c>
      <c r="Z320">
        <v>29</v>
      </c>
      <c r="AA320" t="s">
        <v>50</v>
      </c>
      <c r="AB320" t="s">
        <v>124</v>
      </c>
      <c r="AC320" t="s">
        <v>71</v>
      </c>
    </row>
    <row r="321" spans="1:29" x14ac:dyDescent="0.35">
      <c r="A321" t="s">
        <v>403</v>
      </c>
      <c r="B321" t="s">
        <v>29</v>
      </c>
      <c r="C321" s="1">
        <v>44722</v>
      </c>
      <c r="D321" s="2">
        <v>0.81041666666666667</v>
      </c>
      <c r="E321" s="2">
        <v>8.2175925925925917E-4</v>
      </c>
      <c r="K321" t="s">
        <v>30</v>
      </c>
      <c r="L321" t="s">
        <v>41</v>
      </c>
      <c r="M321" t="s">
        <v>42</v>
      </c>
      <c r="N321">
        <v>53</v>
      </c>
      <c r="O321" t="s">
        <v>33</v>
      </c>
      <c r="P321" t="s">
        <v>50</v>
      </c>
      <c r="Q321">
        <v>3</v>
      </c>
      <c r="R321">
        <v>7</v>
      </c>
      <c r="S321">
        <v>5</v>
      </c>
      <c r="T321">
        <v>5</v>
      </c>
      <c r="U321">
        <v>3</v>
      </c>
      <c r="V321">
        <v>3</v>
      </c>
      <c r="W321" t="s">
        <v>66</v>
      </c>
      <c r="X321" t="s">
        <v>60</v>
      </c>
      <c r="Y321" t="s">
        <v>57</v>
      </c>
      <c r="Z321">
        <v>33</v>
      </c>
      <c r="AA321" t="s">
        <v>38</v>
      </c>
      <c r="AB321" t="s">
        <v>124</v>
      </c>
      <c r="AC321" t="s">
        <v>46</v>
      </c>
    </row>
    <row r="322" spans="1:29" x14ac:dyDescent="0.35">
      <c r="A322" t="s">
        <v>404</v>
      </c>
      <c r="B322" t="s">
        <v>29</v>
      </c>
      <c r="C322" s="1">
        <v>44722</v>
      </c>
      <c r="D322" s="2">
        <v>0.82638888888888884</v>
      </c>
      <c r="E322" s="2">
        <v>3.3680555555555551E-3</v>
      </c>
      <c r="K322" t="s">
        <v>30</v>
      </c>
      <c r="L322" t="s">
        <v>41</v>
      </c>
      <c r="M322" t="s">
        <v>32</v>
      </c>
      <c r="N322">
        <v>116</v>
      </c>
      <c r="O322" t="s">
        <v>78</v>
      </c>
      <c r="P322" t="s">
        <v>34</v>
      </c>
      <c r="Q322">
        <v>6</v>
      </c>
      <c r="R322">
        <v>10</v>
      </c>
      <c r="S322">
        <v>10</v>
      </c>
      <c r="T322">
        <v>10</v>
      </c>
      <c r="U322">
        <v>7</v>
      </c>
      <c r="V322">
        <v>6</v>
      </c>
      <c r="W322" t="s">
        <v>51</v>
      </c>
      <c r="X322" t="s">
        <v>50</v>
      </c>
      <c r="Y322" t="s">
        <v>37</v>
      </c>
      <c r="Z322">
        <v>36</v>
      </c>
      <c r="AA322" t="s">
        <v>38</v>
      </c>
      <c r="AB322" t="s">
        <v>126</v>
      </c>
      <c r="AC322" t="s">
        <v>46</v>
      </c>
    </row>
    <row r="323" spans="1:29" x14ac:dyDescent="0.35">
      <c r="A323" t="s">
        <v>405</v>
      </c>
      <c r="B323" t="s">
        <v>29</v>
      </c>
      <c r="C323" s="1">
        <v>44722</v>
      </c>
      <c r="D323" s="2">
        <v>0.82847222222222217</v>
      </c>
      <c r="E323" s="2">
        <v>1.0648148148148147E-3</v>
      </c>
      <c r="K323" t="s">
        <v>30</v>
      </c>
      <c r="L323" t="s">
        <v>31</v>
      </c>
      <c r="M323" t="s">
        <v>42</v>
      </c>
      <c r="N323">
        <v>53</v>
      </c>
      <c r="O323" t="s">
        <v>33</v>
      </c>
      <c r="P323" t="s">
        <v>34</v>
      </c>
      <c r="Q323">
        <v>4</v>
      </c>
      <c r="R323">
        <v>10</v>
      </c>
      <c r="S323">
        <v>9</v>
      </c>
      <c r="T323">
        <v>3</v>
      </c>
      <c r="U323">
        <v>0</v>
      </c>
      <c r="V323">
        <v>10</v>
      </c>
      <c r="W323" t="s">
        <v>59</v>
      </c>
      <c r="X323" t="s">
        <v>52</v>
      </c>
      <c r="Y323" t="s">
        <v>37</v>
      </c>
      <c r="Z323">
        <v>25</v>
      </c>
      <c r="AA323" t="s">
        <v>38</v>
      </c>
      <c r="AB323" t="s">
        <v>124</v>
      </c>
      <c r="AC323" t="s">
        <v>39</v>
      </c>
    </row>
    <row r="324" spans="1:29" x14ac:dyDescent="0.35">
      <c r="A324" t="s">
        <v>406</v>
      </c>
      <c r="B324" t="s">
        <v>29</v>
      </c>
      <c r="C324" s="1">
        <v>44722</v>
      </c>
      <c r="D324" s="2">
        <v>0.83263888888888893</v>
      </c>
      <c r="E324" s="2">
        <v>2.3032407407407407E-3</v>
      </c>
      <c r="K324" t="s">
        <v>63</v>
      </c>
      <c r="L324" t="s">
        <v>41</v>
      </c>
      <c r="M324" t="s">
        <v>55</v>
      </c>
      <c r="N324">
        <v>188</v>
      </c>
      <c r="O324" t="s">
        <v>50</v>
      </c>
      <c r="P324" t="s">
        <v>34</v>
      </c>
      <c r="Q324">
        <v>8</v>
      </c>
      <c r="R324">
        <v>7</v>
      </c>
      <c r="S324">
        <v>8</v>
      </c>
      <c r="T324">
        <v>7</v>
      </c>
      <c r="U324">
        <v>7</v>
      </c>
      <c r="V324">
        <v>8</v>
      </c>
      <c r="W324" t="s">
        <v>66</v>
      </c>
      <c r="X324" t="s">
        <v>52</v>
      </c>
      <c r="Y324" t="s">
        <v>37</v>
      </c>
      <c r="Z324">
        <v>38</v>
      </c>
      <c r="AA324" t="s">
        <v>38</v>
      </c>
      <c r="AB324" t="s">
        <v>126</v>
      </c>
      <c r="AC324" t="s">
        <v>39</v>
      </c>
    </row>
    <row r="325" spans="1:29" x14ac:dyDescent="0.35">
      <c r="A325" t="s">
        <v>407</v>
      </c>
      <c r="B325" t="s">
        <v>29</v>
      </c>
      <c r="C325" s="1">
        <v>44722</v>
      </c>
      <c r="D325" s="2">
        <v>0.83680555555555547</v>
      </c>
      <c r="E325" s="2">
        <v>2.5694444444444445E-3</v>
      </c>
      <c r="K325" t="s">
        <v>30</v>
      </c>
      <c r="L325" t="s">
        <v>31</v>
      </c>
      <c r="M325" t="s">
        <v>73</v>
      </c>
      <c r="N325">
        <v>76</v>
      </c>
      <c r="O325" t="s">
        <v>50</v>
      </c>
      <c r="P325" t="s">
        <v>44</v>
      </c>
      <c r="Q325">
        <v>3</v>
      </c>
      <c r="R325">
        <v>2</v>
      </c>
      <c r="S325">
        <v>6</v>
      </c>
      <c r="T325">
        <v>6</v>
      </c>
      <c r="U325">
        <v>5</v>
      </c>
      <c r="V325">
        <v>4</v>
      </c>
      <c r="W325" t="s">
        <v>59</v>
      </c>
      <c r="X325" t="s">
        <v>52</v>
      </c>
      <c r="Y325" t="s">
        <v>37</v>
      </c>
      <c r="Z325">
        <v>30</v>
      </c>
      <c r="AA325" t="s">
        <v>38</v>
      </c>
      <c r="AB325" t="s">
        <v>126</v>
      </c>
      <c r="AC325" t="s">
        <v>50</v>
      </c>
    </row>
    <row r="326" spans="1:29" x14ac:dyDescent="0.35">
      <c r="A326" t="s">
        <v>408</v>
      </c>
      <c r="B326" t="s">
        <v>29</v>
      </c>
      <c r="C326" s="1">
        <v>44722</v>
      </c>
      <c r="D326" s="2">
        <v>0.85555555555555562</v>
      </c>
      <c r="E326" s="2">
        <v>1.25E-3</v>
      </c>
      <c r="K326" t="s">
        <v>30</v>
      </c>
      <c r="L326" t="s">
        <v>31</v>
      </c>
      <c r="M326" t="s">
        <v>42</v>
      </c>
      <c r="N326">
        <v>53</v>
      </c>
      <c r="O326" t="s">
        <v>76</v>
      </c>
      <c r="P326" t="s">
        <v>34</v>
      </c>
      <c r="Q326">
        <v>3</v>
      </c>
      <c r="R326">
        <v>5</v>
      </c>
      <c r="S326">
        <v>6</v>
      </c>
      <c r="T326">
        <v>6</v>
      </c>
      <c r="U326">
        <v>6</v>
      </c>
      <c r="V326">
        <v>7</v>
      </c>
      <c r="W326" t="s">
        <v>59</v>
      </c>
      <c r="X326" t="s">
        <v>82</v>
      </c>
      <c r="Y326" t="s">
        <v>37</v>
      </c>
      <c r="Z326">
        <v>35</v>
      </c>
      <c r="AA326" t="s">
        <v>38</v>
      </c>
      <c r="AB326" t="s">
        <v>126</v>
      </c>
      <c r="AC326" t="s">
        <v>53</v>
      </c>
    </row>
    <row r="327" spans="1:29" x14ac:dyDescent="0.35">
      <c r="A327" t="s">
        <v>409</v>
      </c>
      <c r="B327" t="s">
        <v>29</v>
      </c>
      <c r="C327" s="1">
        <v>44722</v>
      </c>
      <c r="D327" s="2">
        <v>0.8569444444444444</v>
      </c>
      <c r="E327" s="2">
        <v>1.2037037037037038E-3</v>
      </c>
      <c r="K327" t="s">
        <v>50</v>
      </c>
      <c r="L327" t="s">
        <v>41</v>
      </c>
      <c r="M327" t="s">
        <v>42</v>
      </c>
      <c r="N327">
        <v>53</v>
      </c>
      <c r="O327" t="s">
        <v>78</v>
      </c>
      <c r="P327" t="s">
        <v>50</v>
      </c>
      <c r="Q327">
        <v>0</v>
      </c>
      <c r="R327">
        <v>1</v>
      </c>
      <c r="S327">
        <v>10</v>
      </c>
      <c r="T327">
        <v>5</v>
      </c>
      <c r="U327">
        <v>0</v>
      </c>
      <c r="V327">
        <v>0</v>
      </c>
      <c r="W327" t="s">
        <v>59</v>
      </c>
      <c r="X327" t="s">
        <v>60</v>
      </c>
      <c r="Y327" t="s">
        <v>57</v>
      </c>
      <c r="Z327">
        <v>42</v>
      </c>
      <c r="AA327" t="s">
        <v>38</v>
      </c>
      <c r="AB327" t="s">
        <v>124</v>
      </c>
      <c r="AC327" t="s">
        <v>39</v>
      </c>
    </row>
    <row r="328" spans="1:29" x14ac:dyDescent="0.35">
      <c r="A328" t="s">
        <v>410</v>
      </c>
      <c r="B328" t="s">
        <v>29</v>
      </c>
      <c r="C328" s="1">
        <v>44722</v>
      </c>
      <c r="D328" s="2">
        <v>0.88611111111111107</v>
      </c>
      <c r="E328" s="2">
        <v>1.1574074074074073E-3</v>
      </c>
      <c r="K328" t="s">
        <v>30</v>
      </c>
      <c r="L328" t="s">
        <v>31</v>
      </c>
      <c r="M328" t="s">
        <v>73</v>
      </c>
      <c r="N328">
        <v>76</v>
      </c>
      <c r="O328" t="s">
        <v>33</v>
      </c>
      <c r="P328" t="s">
        <v>34</v>
      </c>
      <c r="Q328">
        <v>3</v>
      </c>
      <c r="R328">
        <v>5</v>
      </c>
      <c r="S328">
        <v>4</v>
      </c>
      <c r="T328">
        <v>6</v>
      </c>
      <c r="U328">
        <v>4</v>
      </c>
      <c r="V328">
        <v>6</v>
      </c>
      <c r="W328" t="s">
        <v>51</v>
      </c>
      <c r="X328" t="s">
        <v>36</v>
      </c>
      <c r="Y328" t="s">
        <v>37</v>
      </c>
      <c r="Z328">
        <v>30</v>
      </c>
      <c r="AA328" t="s">
        <v>38</v>
      </c>
      <c r="AB328" t="s">
        <v>126</v>
      </c>
      <c r="AC328" t="s">
        <v>39</v>
      </c>
    </row>
    <row r="329" spans="1:29" x14ac:dyDescent="0.35">
      <c r="A329" t="s">
        <v>411</v>
      </c>
      <c r="B329" t="s">
        <v>29</v>
      </c>
      <c r="C329" s="1">
        <v>44722</v>
      </c>
      <c r="D329" s="2">
        <v>0.89097222222222217</v>
      </c>
      <c r="E329" s="2">
        <v>1.3541666666666667E-3</v>
      </c>
      <c r="K329" t="s">
        <v>86</v>
      </c>
      <c r="L329" t="s">
        <v>31</v>
      </c>
      <c r="M329" t="s">
        <v>49</v>
      </c>
      <c r="N329">
        <v>20</v>
      </c>
      <c r="O329" t="s">
        <v>50</v>
      </c>
      <c r="P329" t="s">
        <v>34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4</v>
      </c>
      <c r="W329" t="s">
        <v>35</v>
      </c>
      <c r="X329" t="s">
        <v>60</v>
      </c>
      <c r="Y329" t="s">
        <v>57</v>
      </c>
      <c r="Z329">
        <v>25</v>
      </c>
      <c r="AA329" t="s">
        <v>50</v>
      </c>
      <c r="AB329" t="s">
        <v>124</v>
      </c>
      <c r="AC329" t="s">
        <v>53</v>
      </c>
    </row>
    <row r="330" spans="1:29" x14ac:dyDescent="0.35">
      <c r="A330" t="s">
        <v>412</v>
      </c>
      <c r="B330" t="s">
        <v>29</v>
      </c>
      <c r="C330" s="1">
        <v>44722</v>
      </c>
      <c r="D330" s="2">
        <v>0.90625</v>
      </c>
      <c r="E330" s="2">
        <v>4.8437500000000001E-2</v>
      </c>
      <c r="K330" t="s">
        <v>30</v>
      </c>
      <c r="L330" t="s">
        <v>41</v>
      </c>
      <c r="M330" t="s">
        <v>68</v>
      </c>
      <c r="N330">
        <v>96</v>
      </c>
      <c r="O330" t="s">
        <v>33</v>
      </c>
      <c r="P330" t="s">
        <v>34</v>
      </c>
      <c r="Q330">
        <v>5</v>
      </c>
      <c r="R330">
        <v>9</v>
      </c>
      <c r="S330">
        <v>5</v>
      </c>
      <c r="T330">
        <v>2</v>
      </c>
      <c r="U330">
        <v>5</v>
      </c>
      <c r="V330">
        <v>1</v>
      </c>
      <c r="W330" t="s">
        <v>59</v>
      </c>
      <c r="X330" t="s">
        <v>82</v>
      </c>
      <c r="Y330" t="s">
        <v>57</v>
      </c>
      <c r="Z330">
        <v>28</v>
      </c>
      <c r="AA330" t="s">
        <v>38</v>
      </c>
      <c r="AB330" t="s">
        <v>124</v>
      </c>
      <c r="AC330" t="s">
        <v>46</v>
      </c>
    </row>
    <row r="331" spans="1:29" x14ac:dyDescent="0.35">
      <c r="A331" t="s">
        <v>413</v>
      </c>
      <c r="B331" t="s">
        <v>29</v>
      </c>
      <c r="C331" s="1">
        <v>44722</v>
      </c>
      <c r="D331" s="2">
        <v>0.9145833333333333</v>
      </c>
      <c r="E331" s="2">
        <v>3.4027777777777784E-3</v>
      </c>
      <c r="K331" t="s">
        <v>30</v>
      </c>
      <c r="L331" t="s">
        <v>31</v>
      </c>
      <c r="M331" t="s">
        <v>49</v>
      </c>
      <c r="N331">
        <v>20</v>
      </c>
      <c r="O331" t="s">
        <v>50</v>
      </c>
      <c r="P331" t="s">
        <v>34</v>
      </c>
      <c r="Q331">
        <v>5</v>
      </c>
      <c r="R331">
        <v>10</v>
      </c>
      <c r="S331">
        <v>8</v>
      </c>
      <c r="T331">
        <v>5</v>
      </c>
      <c r="U331">
        <v>7</v>
      </c>
      <c r="V331">
        <v>10</v>
      </c>
      <c r="W331" t="s">
        <v>35</v>
      </c>
      <c r="X331" t="s">
        <v>50</v>
      </c>
      <c r="Y331" t="s">
        <v>37</v>
      </c>
      <c r="Z331">
        <v>28</v>
      </c>
      <c r="AA331" t="s">
        <v>45</v>
      </c>
      <c r="AB331" t="s">
        <v>124</v>
      </c>
      <c r="AC331" t="s">
        <v>46</v>
      </c>
    </row>
    <row r="332" spans="1:29" x14ac:dyDescent="0.35">
      <c r="A332" t="s">
        <v>414</v>
      </c>
      <c r="B332" t="s">
        <v>29</v>
      </c>
      <c r="C332" s="1">
        <v>44722</v>
      </c>
      <c r="D332" s="2">
        <v>0.91527777777777775</v>
      </c>
      <c r="E332" s="2">
        <v>6.8287037037037025E-4</v>
      </c>
      <c r="K332" t="s">
        <v>86</v>
      </c>
      <c r="L332" t="s">
        <v>41</v>
      </c>
      <c r="M332" t="s">
        <v>49</v>
      </c>
      <c r="N332">
        <v>20</v>
      </c>
      <c r="O332" t="s">
        <v>50</v>
      </c>
      <c r="P332" t="s">
        <v>50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 t="s">
        <v>66</v>
      </c>
      <c r="X332" t="s">
        <v>60</v>
      </c>
      <c r="Y332" t="s">
        <v>37</v>
      </c>
      <c r="Z332">
        <v>20</v>
      </c>
      <c r="AA332" t="s">
        <v>50</v>
      </c>
      <c r="AB332" t="s">
        <v>120</v>
      </c>
      <c r="AC332" t="s">
        <v>46</v>
      </c>
    </row>
    <row r="333" spans="1:29" x14ac:dyDescent="0.35">
      <c r="A333" t="s">
        <v>415</v>
      </c>
      <c r="B333" t="s">
        <v>29</v>
      </c>
      <c r="C333" s="1">
        <v>44722</v>
      </c>
      <c r="D333" s="2">
        <v>0.93194444444444446</v>
      </c>
      <c r="E333" s="2">
        <v>1.689814814814815E-3</v>
      </c>
      <c r="K333" t="s">
        <v>30</v>
      </c>
      <c r="L333" t="s">
        <v>31</v>
      </c>
      <c r="M333" t="s">
        <v>32</v>
      </c>
      <c r="N333">
        <v>116</v>
      </c>
      <c r="O333" t="s">
        <v>81</v>
      </c>
      <c r="P333" t="s">
        <v>50</v>
      </c>
      <c r="Q333">
        <v>7</v>
      </c>
      <c r="R333">
        <v>8</v>
      </c>
      <c r="S333">
        <v>7</v>
      </c>
      <c r="T333">
        <v>7</v>
      </c>
      <c r="U333">
        <v>10</v>
      </c>
      <c r="V333">
        <v>10</v>
      </c>
      <c r="W333" t="s">
        <v>51</v>
      </c>
      <c r="X333" t="s">
        <v>82</v>
      </c>
      <c r="Y333" t="s">
        <v>37</v>
      </c>
      <c r="Z333">
        <v>33</v>
      </c>
      <c r="AA333" t="s">
        <v>38</v>
      </c>
      <c r="AB333" t="s">
        <v>126</v>
      </c>
      <c r="AC333" t="s">
        <v>71</v>
      </c>
    </row>
    <row r="334" spans="1:29" x14ac:dyDescent="0.35">
      <c r="A334" t="s">
        <v>416</v>
      </c>
      <c r="B334" t="s">
        <v>29</v>
      </c>
      <c r="C334" s="1">
        <v>44722</v>
      </c>
      <c r="D334" s="2">
        <v>0.93680555555555556</v>
      </c>
      <c r="E334" s="2">
        <v>8.4375000000000006E-3</v>
      </c>
      <c r="K334" t="s">
        <v>30</v>
      </c>
      <c r="L334" t="s">
        <v>41</v>
      </c>
      <c r="M334" t="s">
        <v>73</v>
      </c>
      <c r="N334">
        <v>76</v>
      </c>
      <c r="O334" t="s">
        <v>76</v>
      </c>
      <c r="P334" t="s">
        <v>34</v>
      </c>
      <c r="Q334">
        <v>8</v>
      </c>
      <c r="R334">
        <v>6</v>
      </c>
      <c r="S334">
        <v>7</v>
      </c>
      <c r="T334">
        <v>7</v>
      </c>
      <c r="U334">
        <v>8</v>
      </c>
      <c r="V334">
        <v>8</v>
      </c>
      <c r="W334" t="s">
        <v>51</v>
      </c>
      <c r="X334" t="s">
        <v>60</v>
      </c>
      <c r="Y334" t="s">
        <v>37</v>
      </c>
      <c r="Z334">
        <v>23</v>
      </c>
      <c r="AA334" t="s">
        <v>38</v>
      </c>
      <c r="AB334" t="s">
        <v>133</v>
      </c>
      <c r="AC334" t="s">
        <v>39</v>
      </c>
    </row>
    <row r="335" spans="1:29" x14ac:dyDescent="0.35">
      <c r="A335" t="s">
        <v>417</v>
      </c>
      <c r="B335" t="s">
        <v>29</v>
      </c>
      <c r="C335" s="1">
        <v>44722</v>
      </c>
      <c r="D335" s="2">
        <v>0.93888888888888899</v>
      </c>
      <c r="E335" s="2">
        <v>4.9768518518518521E-4</v>
      </c>
      <c r="K335" t="s">
        <v>30</v>
      </c>
      <c r="L335" t="s">
        <v>31</v>
      </c>
      <c r="M335" t="s">
        <v>49</v>
      </c>
      <c r="N335">
        <v>20</v>
      </c>
      <c r="O335" t="s">
        <v>33</v>
      </c>
      <c r="P335" t="s">
        <v>44</v>
      </c>
      <c r="Q335">
        <v>4</v>
      </c>
      <c r="R335">
        <v>5</v>
      </c>
      <c r="S335">
        <v>7</v>
      </c>
      <c r="T335">
        <v>7</v>
      </c>
      <c r="U335">
        <v>5</v>
      </c>
      <c r="V335">
        <v>7</v>
      </c>
      <c r="W335" t="s">
        <v>66</v>
      </c>
      <c r="X335" t="s">
        <v>60</v>
      </c>
      <c r="Y335" t="s">
        <v>57</v>
      </c>
      <c r="Z335">
        <v>35</v>
      </c>
      <c r="AA335" t="s">
        <v>50</v>
      </c>
      <c r="AB335" t="s">
        <v>124</v>
      </c>
      <c r="AC335" t="s">
        <v>71</v>
      </c>
    </row>
    <row r="336" spans="1:29" x14ac:dyDescent="0.35">
      <c r="A336" t="s">
        <v>418</v>
      </c>
      <c r="B336" t="s">
        <v>29</v>
      </c>
      <c r="C336" s="1">
        <v>44722</v>
      </c>
      <c r="D336" s="2">
        <v>0.95000000000000007</v>
      </c>
      <c r="E336" s="2">
        <v>2.7893518518518519E-3</v>
      </c>
      <c r="K336" t="s">
        <v>86</v>
      </c>
      <c r="L336" t="s">
        <v>31</v>
      </c>
      <c r="M336" t="s">
        <v>49</v>
      </c>
      <c r="N336">
        <v>20</v>
      </c>
      <c r="O336" t="s">
        <v>50</v>
      </c>
      <c r="P336" t="s">
        <v>34</v>
      </c>
      <c r="Q336">
        <v>2</v>
      </c>
      <c r="R336">
        <v>2</v>
      </c>
      <c r="S336">
        <v>3</v>
      </c>
      <c r="T336">
        <v>3</v>
      </c>
      <c r="U336">
        <v>2</v>
      </c>
      <c r="V336">
        <v>3</v>
      </c>
      <c r="W336" t="s">
        <v>59</v>
      </c>
      <c r="X336" t="s">
        <v>52</v>
      </c>
      <c r="Y336" t="s">
        <v>37</v>
      </c>
      <c r="Z336">
        <v>22</v>
      </c>
      <c r="AA336" t="s">
        <v>95</v>
      </c>
      <c r="AB336" t="s">
        <v>124</v>
      </c>
      <c r="AC336" t="s">
        <v>46</v>
      </c>
    </row>
    <row r="337" spans="1:29" x14ac:dyDescent="0.35">
      <c r="A337" t="s">
        <v>419</v>
      </c>
      <c r="B337" t="s">
        <v>29</v>
      </c>
      <c r="C337" s="1">
        <v>44722</v>
      </c>
      <c r="D337" s="2">
        <v>0.95347222222222217</v>
      </c>
      <c r="E337" s="2">
        <v>1.8518518518518517E-3</v>
      </c>
      <c r="K337" t="s">
        <v>30</v>
      </c>
      <c r="L337" t="s">
        <v>31</v>
      </c>
      <c r="M337" t="s">
        <v>49</v>
      </c>
      <c r="N337">
        <v>20</v>
      </c>
      <c r="O337" t="s">
        <v>76</v>
      </c>
      <c r="P337" t="s">
        <v>34</v>
      </c>
      <c r="Q337">
        <v>5</v>
      </c>
      <c r="R337">
        <v>10</v>
      </c>
      <c r="S337">
        <v>5</v>
      </c>
      <c r="T337">
        <v>6</v>
      </c>
      <c r="U337">
        <v>6</v>
      </c>
      <c r="V337">
        <v>8</v>
      </c>
      <c r="W337" t="s">
        <v>35</v>
      </c>
      <c r="X337" t="s">
        <v>60</v>
      </c>
      <c r="Y337" t="s">
        <v>37</v>
      </c>
      <c r="Z337">
        <v>33</v>
      </c>
      <c r="AA337" t="s">
        <v>95</v>
      </c>
      <c r="AB337" t="s">
        <v>124</v>
      </c>
      <c r="AC337" t="s">
        <v>46</v>
      </c>
    </row>
    <row r="338" spans="1:29" x14ac:dyDescent="0.35">
      <c r="A338" t="s">
        <v>420</v>
      </c>
      <c r="B338" t="s">
        <v>29</v>
      </c>
      <c r="C338" s="1">
        <v>44722</v>
      </c>
      <c r="D338" s="2">
        <v>0.95416666666666661</v>
      </c>
      <c r="E338" s="2">
        <v>6.8287037037037025E-4</v>
      </c>
      <c r="K338" t="s">
        <v>48</v>
      </c>
      <c r="L338" t="s">
        <v>41</v>
      </c>
      <c r="M338" t="s">
        <v>49</v>
      </c>
      <c r="N338">
        <v>20</v>
      </c>
      <c r="O338" t="s">
        <v>294</v>
      </c>
      <c r="P338" t="s">
        <v>34</v>
      </c>
      <c r="Q338">
        <v>1</v>
      </c>
      <c r="R338">
        <v>7</v>
      </c>
      <c r="S338">
        <v>7</v>
      </c>
      <c r="T338">
        <v>7</v>
      </c>
      <c r="U338">
        <v>1</v>
      </c>
      <c r="V338">
        <v>2</v>
      </c>
      <c r="W338" t="s">
        <v>56</v>
      </c>
      <c r="X338" t="s">
        <v>60</v>
      </c>
      <c r="Y338" t="s">
        <v>37</v>
      </c>
      <c r="Z338">
        <v>22</v>
      </c>
      <c r="AA338" t="s">
        <v>38</v>
      </c>
      <c r="AB338" t="s">
        <v>124</v>
      </c>
      <c r="AC338" t="s">
        <v>39</v>
      </c>
    </row>
    <row r="339" spans="1:29" x14ac:dyDescent="0.35">
      <c r="A339" t="s">
        <v>421</v>
      </c>
      <c r="B339" t="s">
        <v>29</v>
      </c>
      <c r="C339" s="1">
        <v>44722</v>
      </c>
      <c r="D339" s="2">
        <v>0.9555555555555556</v>
      </c>
      <c r="E339" s="2">
        <v>2.3958333333333336E-3</v>
      </c>
      <c r="K339" t="s">
        <v>30</v>
      </c>
      <c r="L339" t="s">
        <v>31</v>
      </c>
      <c r="M339" t="s">
        <v>68</v>
      </c>
      <c r="N339">
        <v>96</v>
      </c>
      <c r="O339" t="s">
        <v>50</v>
      </c>
      <c r="P339" t="s">
        <v>44</v>
      </c>
      <c r="Q339">
        <v>7</v>
      </c>
      <c r="R339">
        <v>8</v>
      </c>
      <c r="S339">
        <v>8</v>
      </c>
      <c r="T339">
        <v>7</v>
      </c>
      <c r="U339">
        <v>5</v>
      </c>
      <c r="V339">
        <v>9</v>
      </c>
      <c r="W339" t="s">
        <v>66</v>
      </c>
      <c r="X339" t="s">
        <v>36</v>
      </c>
      <c r="Y339" t="s">
        <v>37</v>
      </c>
      <c r="Z339">
        <v>35</v>
      </c>
      <c r="AA339" t="s">
        <v>38</v>
      </c>
      <c r="AB339" t="s">
        <v>124</v>
      </c>
      <c r="AC339" t="s">
        <v>39</v>
      </c>
    </row>
    <row r="340" spans="1:29" x14ac:dyDescent="0.35">
      <c r="A340" t="s">
        <v>422</v>
      </c>
      <c r="B340" t="s">
        <v>29</v>
      </c>
      <c r="C340" s="1">
        <v>44722</v>
      </c>
      <c r="D340" s="2">
        <v>0.9604166666666667</v>
      </c>
      <c r="E340" s="2">
        <v>2.0254629629629629E-3</v>
      </c>
      <c r="K340" t="s">
        <v>30</v>
      </c>
      <c r="L340" t="s">
        <v>31</v>
      </c>
      <c r="M340" t="s">
        <v>73</v>
      </c>
      <c r="N340">
        <v>76</v>
      </c>
      <c r="O340" t="s">
        <v>327</v>
      </c>
      <c r="P340" t="s">
        <v>50</v>
      </c>
      <c r="Q340">
        <v>8</v>
      </c>
      <c r="R340">
        <v>5</v>
      </c>
      <c r="S340">
        <v>6</v>
      </c>
      <c r="T340">
        <v>4</v>
      </c>
      <c r="U340">
        <v>4</v>
      </c>
      <c r="V340">
        <v>8</v>
      </c>
      <c r="W340" t="s">
        <v>51</v>
      </c>
      <c r="X340" t="s">
        <v>52</v>
      </c>
      <c r="Y340" t="s">
        <v>57</v>
      </c>
      <c r="Z340">
        <v>37</v>
      </c>
      <c r="AA340" t="s">
        <v>38</v>
      </c>
      <c r="AB340" t="s">
        <v>126</v>
      </c>
      <c r="AC340" t="s">
        <v>39</v>
      </c>
    </row>
    <row r="341" spans="1:29" x14ac:dyDescent="0.35">
      <c r="A341" t="s">
        <v>423</v>
      </c>
      <c r="B341" t="s">
        <v>29</v>
      </c>
      <c r="C341" s="1">
        <v>44722</v>
      </c>
      <c r="D341" s="2">
        <v>0.96388888888888891</v>
      </c>
      <c r="E341" s="2">
        <v>5.9027777777777778E-4</v>
      </c>
      <c r="K341" t="s">
        <v>86</v>
      </c>
      <c r="L341" t="s">
        <v>31</v>
      </c>
      <c r="M341" t="s">
        <v>49</v>
      </c>
      <c r="N341">
        <v>20</v>
      </c>
      <c r="O341" t="s">
        <v>43</v>
      </c>
      <c r="P341" t="s">
        <v>34</v>
      </c>
      <c r="Q341">
        <v>4</v>
      </c>
      <c r="W341" t="s">
        <v>56</v>
      </c>
      <c r="X341" t="s">
        <v>60</v>
      </c>
      <c r="Y341" t="s">
        <v>37</v>
      </c>
      <c r="Z341">
        <v>22</v>
      </c>
      <c r="AA341" t="s">
        <v>38</v>
      </c>
      <c r="AB341" t="s">
        <v>133</v>
      </c>
      <c r="AC341" t="s">
        <v>50</v>
      </c>
    </row>
    <row r="342" spans="1:29" x14ac:dyDescent="0.35">
      <c r="A342" t="s">
        <v>424</v>
      </c>
      <c r="B342" t="s">
        <v>29</v>
      </c>
      <c r="C342" s="1">
        <v>44722</v>
      </c>
      <c r="D342" s="2">
        <v>0.97083333333333333</v>
      </c>
      <c r="E342" s="2">
        <v>1.5277777777777779E-3</v>
      </c>
      <c r="K342" t="s">
        <v>30</v>
      </c>
      <c r="L342" t="s">
        <v>31</v>
      </c>
      <c r="M342" t="s">
        <v>73</v>
      </c>
      <c r="N342">
        <v>76</v>
      </c>
      <c r="O342" t="s">
        <v>33</v>
      </c>
      <c r="P342" t="s">
        <v>34</v>
      </c>
      <c r="Q342">
        <v>10</v>
      </c>
      <c r="R342">
        <v>10</v>
      </c>
      <c r="S342">
        <v>10</v>
      </c>
      <c r="T342">
        <v>7</v>
      </c>
      <c r="U342">
        <v>10</v>
      </c>
      <c r="V342">
        <v>10</v>
      </c>
      <c r="W342" t="s">
        <v>66</v>
      </c>
      <c r="X342" t="s">
        <v>60</v>
      </c>
      <c r="Y342" t="s">
        <v>37</v>
      </c>
      <c r="Z342">
        <v>36</v>
      </c>
      <c r="AA342" t="s">
        <v>38</v>
      </c>
      <c r="AB342" t="s">
        <v>126</v>
      </c>
      <c r="AC342" t="s">
        <v>39</v>
      </c>
    </row>
    <row r="343" spans="1:29" x14ac:dyDescent="0.35">
      <c r="A343" t="s">
        <v>425</v>
      </c>
      <c r="B343" t="s">
        <v>29</v>
      </c>
      <c r="C343" s="1">
        <v>44722</v>
      </c>
      <c r="D343" s="2">
        <v>0.97986111111111107</v>
      </c>
      <c r="E343" s="2">
        <v>1.7245370370370372E-3</v>
      </c>
      <c r="K343" t="s">
        <v>63</v>
      </c>
      <c r="L343" t="s">
        <v>31</v>
      </c>
      <c r="M343" t="s">
        <v>68</v>
      </c>
      <c r="N343">
        <v>96</v>
      </c>
      <c r="O343" t="s">
        <v>50</v>
      </c>
      <c r="P343" t="s">
        <v>34</v>
      </c>
      <c r="Q343">
        <v>6</v>
      </c>
      <c r="R343">
        <v>5</v>
      </c>
      <c r="S343">
        <v>8</v>
      </c>
      <c r="T343">
        <v>8</v>
      </c>
      <c r="U343">
        <v>7</v>
      </c>
      <c r="V343">
        <v>9</v>
      </c>
      <c r="W343" t="s">
        <v>51</v>
      </c>
      <c r="X343" t="s">
        <v>52</v>
      </c>
      <c r="Y343" t="s">
        <v>37</v>
      </c>
      <c r="Z343">
        <v>26</v>
      </c>
      <c r="AA343" t="s">
        <v>95</v>
      </c>
      <c r="AB343" t="s">
        <v>124</v>
      </c>
      <c r="AC343" t="s">
        <v>71</v>
      </c>
    </row>
    <row r="344" spans="1:29" x14ac:dyDescent="0.35">
      <c r="A344" t="s">
        <v>426</v>
      </c>
      <c r="B344" t="s">
        <v>29</v>
      </c>
      <c r="C344" s="1">
        <v>44722</v>
      </c>
      <c r="D344" s="2">
        <v>0.98263888888888884</v>
      </c>
      <c r="E344" s="2">
        <v>3.645833333333333E-3</v>
      </c>
      <c r="K344" t="s">
        <v>30</v>
      </c>
      <c r="L344" t="s">
        <v>31</v>
      </c>
      <c r="M344" t="s">
        <v>49</v>
      </c>
      <c r="N344">
        <v>20</v>
      </c>
      <c r="O344" t="s">
        <v>50</v>
      </c>
      <c r="P344" t="s">
        <v>44</v>
      </c>
      <c r="Q344">
        <v>3</v>
      </c>
      <c r="R344">
        <v>2</v>
      </c>
      <c r="S344">
        <v>6</v>
      </c>
      <c r="T344">
        <v>5</v>
      </c>
      <c r="U344">
        <v>5</v>
      </c>
      <c r="V344">
        <v>6</v>
      </c>
      <c r="W344" t="s">
        <v>66</v>
      </c>
      <c r="X344" t="s">
        <v>82</v>
      </c>
      <c r="Y344" t="s">
        <v>57</v>
      </c>
      <c r="Z344">
        <v>25</v>
      </c>
      <c r="AA344" t="s">
        <v>50</v>
      </c>
      <c r="AB344" t="s">
        <v>124</v>
      </c>
      <c r="AC344" t="s">
        <v>46</v>
      </c>
    </row>
    <row r="345" spans="1:29" x14ac:dyDescent="0.35">
      <c r="A345" t="s">
        <v>427</v>
      </c>
      <c r="B345" t="s">
        <v>29</v>
      </c>
      <c r="C345" s="1">
        <v>44722</v>
      </c>
      <c r="D345" s="2">
        <v>0.98333333333333339</v>
      </c>
      <c r="E345" s="2">
        <v>2.0254629629629629E-3</v>
      </c>
      <c r="K345" t="s">
        <v>30</v>
      </c>
      <c r="L345" t="s">
        <v>31</v>
      </c>
      <c r="M345" t="s">
        <v>42</v>
      </c>
      <c r="N345">
        <v>53</v>
      </c>
      <c r="O345" t="s">
        <v>50</v>
      </c>
      <c r="P345" t="s">
        <v>44</v>
      </c>
      <c r="Q345">
        <v>4</v>
      </c>
      <c r="R345">
        <v>6</v>
      </c>
      <c r="S345">
        <v>6</v>
      </c>
      <c r="T345">
        <v>5</v>
      </c>
      <c r="U345">
        <v>5</v>
      </c>
      <c r="V345">
        <v>6</v>
      </c>
      <c r="W345" t="s">
        <v>66</v>
      </c>
      <c r="X345" t="s">
        <v>36</v>
      </c>
      <c r="Y345" t="s">
        <v>57</v>
      </c>
      <c r="Z345">
        <v>34</v>
      </c>
      <c r="AA345" t="s">
        <v>38</v>
      </c>
      <c r="AB345" t="s">
        <v>120</v>
      </c>
      <c r="AC345" t="s">
        <v>39</v>
      </c>
    </row>
    <row r="346" spans="1:29" x14ac:dyDescent="0.35">
      <c r="A346" t="s">
        <v>428</v>
      </c>
      <c r="B346" t="s">
        <v>29</v>
      </c>
      <c r="C346" s="1">
        <v>44722</v>
      </c>
      <c r="D346" s="2">
        <v>0.98402777777777783</v>
      </c>
      <c r="E346" s="2">
        <v>2.0601851851851853E-3</v>
      </c>
      <c r="K346" t="s">
        <v>30</v>
      </c>
      <c r="L346" t="s">
        <v>31</v>
      </c>
      <c r="M346" t="s">
        <v>49</v>
      </c>
      <c r="N346">
        <v>20</v>
      </c>
      <c r="O346" t="s">
        <v>50</v>
      </c>
      <c r="P346" t="s">
        <v>34</v>
      </c>
      <c r="Q346">
        <v>4</v>
      </c>
      <c r="R346">
        <v>8</v>
      </c>
      <c r="S346">
        <v>8</v>
      </c>
      <c r="T346">
        <v>8</v>
      </c>
      <c r="U346">
        <v>7</v>
      </c>
      <c r="V346">
        <v>8</v>
      </c>
      <c r="W346" t="s">
        <v>59</v>
      </c>
      <c r="X346" t="s">
        <v>36</v>
      </c>
      <c r="Y346" t="s">
        <v>37</v>
      </c>
      <c r="Z346">
        <v>33</v>
      </c>
      <c r="AA346" t="s">
        <v>50</v>
      </c>
      <c r="AB346" t="s">
        <v>124</v>
      </c>
      <c r="AC346" t="s">
        <v>71</v>
      </c>
    </row>
    <row r="347" spans="1:29" x14ac:dyDescent="0.35">
      <c r="A347" t="s">
        <v>429</v>
      </c>
      <c r="B347" t="s">
        <v>29</v>
      </c>
      <c r="C347" s="1">
        <v>44722</v>
      </c>
      <c r="D347" s="2">
        <v>0.99236111111111114</v>
      </c>
      <c r="E347" s="2">
        <v>1.3888888888888889E-3</v>
      </c>
      <c r="K347" t="s">
        <v>86</v>
      </c>
      <c r="L347" t="s">
        <v>41</v>
      </c>
      <c r="M347" t="s">
        <v>42</v>
      </c>
      <c r="N347">
        <v>53</v>
      </c>
      <c r="O347" t="s">
        <v>50</v>
      </c>
      <c r="P347" t="s">
        <v>34</v>
      </c>
      <c r="Q347">
        <v>0</v>
      </c>
      <c r="R347">
        <v>4</v>
      </c>
      <c r="S347">
        <v>0</v>
      </c>
      <c r="T347">
        <v>1</v>
      </c>
      <c r="U347">
        <v>4</v>
      </c>
      <c r="V347">
        <v>2</v>
      </c>
      <c r="W347" t="s">
        <v>35</v>
      </c>
      <c r="X347" t="s">
        <v>52</v>
      </c>
      <c r="Y347" t="s">
        <v>37</v>
      </c>
      <c r="Z347">
        <v>37</v>
      </c>
      <c r="AA347" t="s">
        <v>38</v>
      </c>
      <c r="AB347" t="s">
        <v>124</v>
      </c>
      <c r="AC347" t="s">
        <v>39</v>
      </c>
    </row>
    <row r="348" spans="1:29" x14ac:dyDescent="0.35">
      <c r="A348" t="s">
        <v>430</v>
      </c>
      <c r="B348" t="s">
        <v>29</v>
      </c>
      <c r="C348" s="1">
        <v>44722</v>
      </c>
      <c r="D348" s="2">
        <v>0.99375000000000002</v>
      </c>
      <c r="E348" s="2">
        <v>1.0069444444444444E-3</v>
      </c>
      <c r="K348" t="s">
        <v>30</v>
      </c>
      <c r="L348" t="s">
        <v>41</v>
      </c>
      <c r="M348" t="s">
        <v>73</v>
      </c>
      <c r="N348">
        <v>76</v>
      </c>
      <c r="O348" t="s">
        <v>50</v>
      </c>
      <c r="P348" t="s">
        <v>34</v>
      </c>
      <c r="Q348">
        <v>5</v>
      </c>
      <c r="R348">
        <v>5</v>
      </c>
      <c r="S348">
        <v>7</v>
      </c>
      <c r="T348">
        <v>6</v>
      </c>
      <c r="U348">
        <v>4</v>
      </c>
      <c r="V348">
        <v>6</v>
      </c>
      <c r="W348" t="s">
        <v>56</v>
      </c>
      <c r="X348" t="s">
        <v>60</v>
      </c>
      <c r="Y348" t="s">
        <v>57</v>
      </c>
      <c r="Z348">
        <v>54</v>
      </c>
      <c r="AA348" t="s">
        <v>38</v>
      </c>
      <c r="AB348" t="s">
        <v>120</v>
      </c>
      <c r="AC348" t="s">
        <v>39</v>
      </c>
    </row>
    <row r="349" spans="1:29" x14ac:dyDescent="0.35">
      <c r="A349" t="s">
        <v>431</v>
      </c>
      <c r="B349" t="s">
        <v>29</v>
      </c>
      <c r="C349" s="1">
        <v>44723</v>
      </c>
      <c r="D349" s="2">
        <v>1.2499999999999999E-2</v>
      </c>
      <c r="E349" s="2">
        <v>6.8287037037037025E-4</v>
      </c>
      <c r="K349" t="s">
        <v>30</v>
      </c>
      <c r="L349" t="s">
        <v>31</v>
      </c>
      <c r="M349" t="s">
        <v>49</v>
      </c>
      <c r="N349">
        <v>20</v>
      </c>
      <c r="O349" t="s">
        <v>43</v>
      </c>
      <c r="P349" t="s">
        <v>34</v>
      </c>
      <c r="Q349">
        <v>2</v>
      </c>
      <c r="W349" t="s">
        <v>56</v>
      </c>
      <c r="X349" t="s">
        <v>60</v>
      </c>
      <c r="Y349" t="s">
        <v>37</v>
      </c>
      <c r="Z349">
        <v>26</v>
      </c>
      <c r="AA349" t="s">
        <v>95</v>
      </c>
      <c r="AB349" t="s">
        <v>124</v>
      </c>
      <c r="AC349" t="s">
        <v>46</v>
      </c>
    </row>
    <row r="350" spans="1:29" x14ac:dyDescent="0.35">
      <c r="A350" t="s">
        <v>432</v>
      </c>
      <c r="B350" t="s">
        <v>29</v>
      </c>
      <c r="C350" s="1">
        <v>44723</v>
      </c>
      <c r="D350" s="2">
        <v>1.8055555555555557E-2</v>
      </c>
      <c r="E350" s="2">
        <v>1.261574074074074E-3</v>
      </c>
      <c r="K350" t="s">
        <v>30</v>
      </c>
      <c r="L350" t="s">
        <v>41</v>
      </c>
      <c r="M350" t="s">
        <v>42</v>
      </c>
      <c r="N350">
        <v>53</v>
      </c>
      <c r="O350" t="s">
        <v>78</v>
      </c>
      <c r="P350" t="s">
        <v>44</v>
      </c>
      <c r="Q350">
        <v>4</v>
      </c>
      <c r="R350">
        <v>7</v>
      </c>
      <c r="S350">
        <v>7</v>
      </c>
      <c r="T350">
        <v>7</v>
      </c>
      <c r="U350">
        <v>2</v>
      </c>
      <c r="V350">
        <v>7</v>
      </c>
      <c r="W350" t="s">
        <v>66</v>
      </c>
      <c r="X350" t="s">
        <v>60</v>
      </c>
      <c r="Y350" t="s">
        <v>57</v>
      </c>
      <c r="Z350">
        <v>27</v>
      </c>
      <c r="AA350" t="s">
        <v>38</v>
      </c>
      <c r="AB350" t="s">
        <v>126</v>
      </c>
      <c r="AC350" t="s">
        <v>71</v>
      </c>
    </row>
    <row r="351" spans="1:29" x14ac:dyDescent="0.35">
      <c r="A351" t="s">
        <v>433</v>
      </c>
      <c r="B351" t="s">
        <v>29</v>
      </c>
      <c r="C351" s="1">
        <v>44723</v>
      </c>
      <c r="D351" s="2">
        <v>1.8055555555555557E-2</v>
      </c>
      <c r="E351" s="2">
        <v>1.6203703703703703E-3</v>
      </c>
      <c r="K351" t="s">
        <v>325</v>
      </c>
      <c r="L351" t="s">
        <v>31</v>
      </c>
      <c r="M351" t="s">
        <v>49</v>
      </c>
      <c r="N351">
        <v>20</v>
      </c>
      <c r="O351" t="s">
        <v>70</v>
      </c>
      <c r="P351" t="s">
        <v>50</v>
      </c>
      <c r="Q351">
        <v>2</v>
      </c>
      <c r="R351">
        <v>3</v>
      </c>
      <c r="S351">
        <v>6</v>
      </c>
      <c r="T351">
        <v>6</v>
      </c>
      <c r="U351">
        <v>3</v>
      </c>
      <c r="V351">
        <v>5</v>
      </c>
      <c r="W351" t="s">
        <v>59</v>
      </c>
      <c r="X351" t="s">
        <v>60</v>
      </c>
      <c r="Y351" t="s">
        <v>37</v>
      </c>
      <c r="Z351">
        <v>24</v>
      </c>
      <c r="AA351" t="s">
        <v>79</v>
      </c>
      <c r="AB351" t="s">
        <v>124</v>
      </c>
      <c r="AC351" t="s">
        <v>39</v>
      </c>
    </row>
    <row r="352" spans="1:29" x14ac:dyDescent="0.35">
      <c r="A352" t="s">
        <v>434</v>
      </c>
      <c r="B352" t="s">
        <v>29</v>
      </c>
      <c r="C352" s="1">
        <v>44723</v>
      </c>
      <c r="D352" s="2">
        <v>3.1944444444444449E-2</v>
      </c>
      <c r="E352" s="2">
        <v>1.1689814814814816E-3</v>
      </c>
      <c r="K352" t="s">
        <v>30</v>
      </c>
      <c r="L352" t="s">
        <v>31</v>
      </c>
      <c r="M352" t="s">
        <v>49</v>
      </c>
      <c r="N352">
        <v>20</v>
      </c>
      <c r="O352" t="s">
        <v>43</v>
      </c>
      <c r="P352" t="s">
        <v>34</v>
      </c>
      <c r="Q352">
        <v>5</v>
      </c>
      <c r="R352">
        <v>5</v>
      </c>
      <c r="S352">
        <v>5</v>
      </c>
      <c r="T352">
        <v>5</v>
      </c>
      <c r="U352">
        <v>5</v>
      </c>
      <c r="V352">
        <v>10</v>
      </c>
      <c r="W352" t="s">
        <v>66</v>
      </c>
      <c r="X352" t="s">
        <v>60</v>
      </c>
      <c r="Y352" t="s">
        <v>37</v>
      </c>
      <c r="Z352">
        <v>24</v>
      </c>
      <c r="AA352" t="s">
        <v>50</v>
      </c>
      <c r="AB352" t="s">
        <v>124</v>
      </c>
      <c r="AC352" t="s">
        <v>39</v>
      </c>
    </row>
    <row r="353" spans="1:29" x14ac:dyDescent="0.35">
      <c r="A353" t="s">
        <v>435</v>
      </c>
      <c r="B353" t="s">
        <v>29</v>
      </c>
      <c r="C353" s="1">
        <v>44723</v>
      </c>
      <c r="D353" s="2">
        <v>4.3055555555555562E-2</v>
      </c>
      <c r="E353" s="2">
        <v>1.0300925925925926E-3</v>
      </c>
      <c r="K353" t="s">
        <v>50</v>
      </c>
      <c r="L353" t="s">
        <v>31</v>
      </c>
      <c r="M353" t="s">
        <v>49</v>
      </c>
      <c r="N353">
        <v>20</v>
      </c>
      <c r="O353" t="s">
        <v>50</v>
      </c>
      <c r="P353" t="s">
        <v>34</v>
      </c>
      <c r="Q353">
        <v>3</v>
      </c>
      <c r="R353">
        <v>4</v>
      </c>
      <c r="S353">
        <v>5</v>
      </c>
      <c r="T353">
        <v>3</v>
      </c>
      <c r="U353">
        <v>2</v>
      </c>
      <c r="V353">
        <v>3</v>
      </c>
      <c r="W353" t="s">
        <v>66</v>
      </c>
      <c r="X353" t="s">
        <v>60</v>
      </c>
      <c r="Y353" t="s">
        <v>37</v>
      </c>
      <c r="Z353">
        <v>27</v>
      </c>
      <c r="AA353" t="s">
        <v>50</v>
      </c>
      <c r="AB353" t="s">
        <v>124</v>
      </c>
      <c r="AC353" t="s">
        <v>39</v>
      </c>
    </row>
    <row r="354" spans="1:29" x14ac:dyDescent="0.35">
      <c r="A354" t="s">
        <v>436</v>
      </c>
      <c r="B354" t="s">
        <v>29</v>
      </c>
      <c r="C354" s="1">
        <v>44723</v>
      </c>
      <c r="D354" s="2">
        <v>4.4444444444444446E-2</v>
      </c>
      <c r="E354" s="2">
        <v>1.1226851851851851E-3</v>
      </c>
      <c r="K354" t="s">
        <v>86</v>
      </c>
      <c r="L354" t="s">
        <v>41</v>
      </c>
      <c r="M354" t="s">
        <v>49</v>
      </c>
      <c r="N354">
        <v>20</v>
      </c>
      <c r="O354" t="s">
        <v>50</v>
      </c>
      <c r="P354" t="s">
        <v>34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 t="s">
        <v>35</v>
      </c>
      <c r="X354" t="s">
        <v>36</v>
      </c>
      <c r="Y354" t="s">
        <v>37</v>
      </c>
      <c r="Z354">
        <v>25</v>
      </c>
      <c r="AA354" t="s">
        <v>50</v>
      </c>
      <c r="AB354" t="s">
        <v>124</v>
      </c>
      <c r="AC354" t="s">
        <v>46</v>
      </c>
    </row>
    <row r="355" spans="1:29" x14ac:dyDescent="0.35">
      <c r="A355" t="s">
        <v>437</v>
      </c>
      <c r="B355" t="s">
        <v>29</v>
      </c>
      <c r="C355" s="1">
        <v>44723</v>
      </c>
      <c r="D355" s="2">
        <v>5.1388888888888894E-2</v>
      </c>
      <c r="E355" s="2">
        <v>1.9328703703703704E-3</v>
      </c>
      <c r="K355" t="s">
        <v>30</v>
      </c>
      <c r="L355" t="s">
        <v>31</v>
      </c>
      <c r="M355" t="s">
        <v>49</v>
      </c>
      <c r="N355">
        <v>20</v>
      </c>
      <c r="O355" t="s">
        <v>76</v>
      </c>
      <c r="P355" t="s">
        <v>34</v>
      </c>
      <c r="Q355">
        <v>1</v>
      </c>
      <c r="R355">
        <v>7</v>
      </c>
      <c r="S355">
        <v>7</v>
      </c>
      <c r="T355">
        <v>7</v>
      </c>
      <c r="U355">
        <v>7</v>
      </c>
      <c r="V355">
        <v>1</v>
      </c>
      <c r="W355" t="s">
        <v>59</v>
      </c>
      <c r="X355" t="s">
        <v>60</v>
      </c>
      <c r="Y355" t="s">
        <v>57</v>
      </c>
      <c r="Z355">
        <v>28</v>
      </c>
      <c r="AA355" t="s">
        <v>79</v>
      </c>
      <c r="AB355" t="s">
        <v>126</v>
      </c>
      <c r="AC355" t="s">
        <v>53</v>
      </c>
    </row>
    <row r="356" spans="1:29" x14ac:dyDescent="0.35">
      <c r="A356" t="s">
        <v>438</v>
      </c>
      <c r="B356" t="s">
        <v>29</v>
      </c>
      <c r="C356" s="1">
        <v>44723</v>
      </c>
      <c r="D356" s="2">
        <v>5.2777777777777778E-2</v>
      </c>
      <c r="E356" s="2">
        <v>9.6064814814814808E-4</v>
      </c>
      <c r="K356" t="s">
        <v>50</v>
      </c>
      <c r="L356" t="s">
        <v>41</v>
      </c>
      <c r="M356" t="s">
        <v>42</v>
      </c>
      <c r="N356">
        <v>53</v>
      </c>
      <c r="O356" t="s">
        <v>78</v>
      </c>
      <c r="P356" t="s">
        <v>34</v>
      </c>
      <c r="Q356">
        <v>3</v>
      </c>
      <c r="R356">
        <v>6</v>
      </c>
      <c r="S356">
        <v>5</v>
      </c>
      <c r="T356">
        <v>5</v>
      </c>
      <c r="U356">
        <v>3</v>
      </c>
      <c r="V356">
        <v>4</v>
      </c>
      <c r="W356" t="s">
        <v>51</v>
      </c>
      <c r="X356" t="s">
        <v>36</v>
      </c>
      <c r="Y356" t="s">
        <v>37</v>
      </c>
      <c r="Z356">
        <v>21</v>
      </c>
      <c r="AA356" t="s">
        <v>38</v>
      </c>
      <c r="AB356" t="s">
        <v>124</v>
      </c>
      <c r="AC356" t="s">
        <v>46</v>
      </c>
    </row>
    <row r="357" spans="1:29" x14ac:dyDescent="0.35">
      <c r="A357" t="s">
        <v>439</v>
      </c>
      <c r="B357" t="s">
        <v>29</v>
      </c>
      <c r="C357" s="1">
        <v>44723</v>
      </c>
      <c r="D357" s="2">
        <v>5.486111111111111E-2</v>
      </c>
      <c r="E357" s="2">
        <v>8.6805555555555551E-4</v>
      </c>
      <c r="K357" t="s">
        <v>30</v>
      </c>
      <c r="L357" t="s">
        <v>31</v>
      </c>
      <c r="M357" t="s">
        <v>68</v>
      </c>
      <c r="N357">
        <v>96</v>
      </c>
      <c r="O357" t="s">
        <v>33</v>
      </c>
      <c r="P357" t="s">
        <v>50</v>
      </c>
      <c r="Q357">
        <v>4</v>
      </c>
      <c r="R357">
        <v>4</v>
      </c>
      <c r="S357">
        <v>5</v>
      </c>
      <c r="T357">
        <v>5</v>
      </c>
      <c r="U357">
        <v>4</v>
      </c>
      <c r="V357">
        <v>6</v>
      </c>
      <c r="W357" t="s">
        <v>59</v>
      </c>
      <c r="X357" t="s">
        <v>52</v>
      </c>
      <c r="Y357" t="s">
        <v>57</v>
      </c>
      <c r="Z357">
        <v>28</v>
      </c>
      <c r="AA357" t="s">
        <v>38</v>
      </c>
      <c r="AB357" t="s">
        <v>124</v>
      </c>
      <c r="AC357" t="s">
        <v>39</v>
      </c>
    </row>
    <row r="358" spans="1:29" x14ac:dyDescent="0.35">
      <c r="A358" t="s">
        <v>440</v>
      </c>
      <c r="B358" t="s">
        <v>29</v>
      </c>
      <c r="C358" s="1">
        <v>44723</v>
      </c>
      <c r="D358" s="2">
        <v>5.8333333333333327E-2</v>
      </c>
      <c r="E358" s="2">
        <v>2.3148148148148151E-3</v>
      </c>
      <c r="K358" t="s">
        <v>30</v>
      </c>
      <c r="L358" t="s">
        <v>31</v>
      </c>
      <c r="M358" t="s">
        <v>49</v>
      </c>
      <c r="N358">
        <v>20</v>
      </c>
      <c r="O358" t="s">
        <v>76</v>
      </c>
      <c r="P358" t="s">
        <v>34</v>
      </c>
      <c r="Q358">
        <v>3</v>
      </c>
      <c r="R358">
        <v>5</v>
      </c>
      <c r="S358">
        <v>5</v>
      </c>
      <c r="T358">
        <v>5</v>
      </c>
      <c r="U358">
        <v>5</v>
      </c>
      <c r="V358">
        <v>2</v>
      </c>
      <c r="W358" t="s">
        <v>66</v>
      </c>
      <c r="X358" t="s">
        <v>36</v>
      </c>
      <c r="Y358" t="s">
        <v>37</v>
      </c>
      <c r="Z358">
        <v>30</v>
      </c>
      <c r="AA358" t="s">
        <v>50</v>
      </c>
      <c r="AB358" t="s">
        <v>126</v>
      </c>
      <c r="AC358" t="s">
        <v>53</v>
      </c>
    </row>
    <row r="359" spans="1:29" x14ac:dyDescent="0.35">
      <c r="A359" t="s">
        <v>441</v>
      </c>
      <c r="B359" t="s">
        <v>29</v>
      </c>
      <c r="C359" s="1">
        <v>44723</v>
      </c>
      <c r="D359" s="2">
        <v>6.6666666666666666E-2</v>
      </c>
      <c r="E359" s="2">
        <v>1.8402777777777777E-3</v>
      </c>
      <c r="K359" t="s">
        <v>30</v>
      </c>
      <c r="L359" t="s">
        <v>41</v>
      </c>
      <c r="M359" t="s">
        <v>49</v>
      </c>
      <c r="N359">
        <v>20</v>
      </c>
      <c r="O359" t="s">
        <v>78</v>
      </c>
      <c r="P359" t="s">
        <v>34</v>
      </c>
      <c r="Q359">
        <v>0</v>
      </c>
      <c r="R359">
        <v>10</v>
      </c>
      <c r="S359">
        <v>0</v>
      </c>
      <c r="T359">
        <v>9</v>
      </c>
      <c r="U359">
        <v>5</v>
      </c>
      <c r="V359">
        <v>10</v>
      </c>
      <c r="W359" t="s">
        <v>51</v>
      </c>
      <c r="X359" t="s">
        <v>36</v>
      </c>
      <c r="Y359" t="s">
        <v>37</v>
      </c>
      <c r="Z359">
        <v>24</v>
      </c>
      <c r="AA359" t="s">
        <v>50</v>
      </c>
      <c r="AB359" t="s">
        <v>133</v>
      </c>
      <c r="AC359" t="s">
        <v>53</v>
      </c>
    </row>
    <row r="360" spans="1:29" x14ac:dyDescent="0.35">
      <c r="A360" t="s">
        <v>442</v>
      </c>
      <c r="B360" t="s">
        <v>29</v>
      </c>
      <c r="C360" s="1">
        <v>44723</v>
      </c>
      <c r="D360" s="2">
        <v>7.7083333333333337E-2</v>
      </c>
      <c r="E360" s="2">
        <v>1.4004629629629629E-3</v>
      </c>
      <c r="K360" t="s">
        <v>30</v>
      </c>
      <c r="L360" t="s">
        <v>31</v>
      </c>
      <c r="M360" t="s">
        <v>49</v>
      </c>
      <c r="N360">
        <v>20</v>
      </c>
      <c r="O360" t="s">
        <v>33</v>
      </c>
      <c r="P360" t="s">
        <v>34</v>
      </c>
      <c r="Q360">
        <v>7</v>
      </c>
      <c r="R360">
        <v>4</v>
      </c>
      <c r="S360">
        <v>6</v>
      </c>
      <c r="T360">
        <v>5</v>
      </c>
      <c r="U360">
        <v>6</v>
      </c>
      <c r="V360">
        <v>6</v>
      </c>
      <c r="W360" t="s">
        <v>59</v>
      </c>
      <c r="X360" t="s">
        <v>36</v>
      </c>
      <c r="Y360" t="s">
        <v>37</v>
      </c>
      <c r="Z360">
        <v>26</v>
      </c>
      <c r="AA360" t="s">
        <v>95</v>
      </c>
      <c r="AB360" t="s">
        <v>124</v>
      </c>
      <c r="AC360" t="s">
        <v>50</v>
      </c>
    </row>
    <row r="361" spans="1:29" x14ac:dyDescent="0.35">
      <c r="A361" t="s">
        <v>443</v>
      </c>
      <c r="B361" t="s">
        <v>29</v>
      </c>
      <c r="C361" s="1">
        <v>44723</v>
      </c>
      <c r="D361" s="2">
        <v>0.10555555555555556</v>
      </c>
      <c r="E361" s="2">
        <v>2.3495370370370371E-3</v>
      </c>
      <c r="K361" t="s">
        <v>30</v>
      </c>
      <c r="L361" t="s">
        <v>31</v>
      </c>
      <c r="M361" t="s">
        <v>49</v>
      </c>
      <c r="N361">
        <v>20</v>
      </c>
      <c r="O361" t="s">
        <v>76</v>
      </c>
      <c r="P361" t="s">
        <v>34</v>
      </c>
      <c r="Q361" t="s">
        <v>128</v>
      </c>
      <c r="V361">
        <v>5</v>
      </c>
      <c r="W361" t="s">
        <v>66</v>
      </c>
      <c r="X361" t="s">
        <v>52</v>
      </c>
      <c r="Y361" t="s">
        <v>57</v>
      </c>
      <c r="Z361">
        <v>19</v>
      </c>
      <c r="AA361" t="s">
        <v>50</v>
      </c>
      <c r="AB361" t="s">
        <v>120</v>
      </c>
      <c r="AC361" t="s">
        <v>46</v>
      </c>
    </row>
    <row r="362" spans="1:29" x14ac:dyDescent="0.35">
      <c r="A362" t="s">
        <v>444</v>
      </c>
      <c r="B362" t="s">
        <v>29</v>
      </c>
      <c r="C362" s="1">
        <v>44723</v>
      </c>
      <c r="D362" s="2">
        <v>0.1277777777777778</v>
      </c>
      <c r="E362" s="2">
        <v>2.8124999999999995E-3</v>
      </c>
      <c r="K362" t="s">
        <v>86</v>
      </c>
      <c r="L362" t="s">
        <v>41</v>
      </c>
      <c r="M362" t="s">
        <v>49</v>
      </c>
      <c r="N362">
        <v>20</v>
      </c>
      <c r="O362" t="s">
        <v>50</v>
      </c>
      <c r="P362" t="s">
        <v>34</v>
      </c>
      <c r="Q362">
        <v>5</v>
      </c>
      <c r="R362">
        <v>6</v>
      </c>
      <c r="S362">
        <v>6</v>
      </c>
      <c r="T362">
        <v>5</v>
      </c>
      <c r="U362">
        <v>1</v>
      </c>
      <c r="V362">
        <v>3</v>
      </c>
      <c r="W362" t="s">
        <v>66</v>
      </c>
      <c r="X362" t="s">
        <v>52</v>
      </c>
      <c r="Y362" t="s">
        <v>57</v>
      </c>
      <c r="Z362">
        <v>92</v>
      </c>
      <c r="AA362" t="s">
        <v>95</v>
      </c>
      <c r="AB362" t="s">
        <v>126</v>
      </c>
      <c r="AC362" t="s">
        <v>46</v>
      </c>
    </row>
    <row r="363" spans="1:29" x14ac:dyDescent="0.35">
      <c r="A363" t="s">
        <v>445</v>
      </c>
      <c r="B363" t="s">
        <v>29</v>
      </c>
      <c r="C363" s="1">
        <v>44723</v>
      </c>
      <c r="D363" s="2">
        <v>0.12847222222222224</v>
      </c>
      <c r="E363" s="2">
        <v>1.7708333333333332E-3</v>
      </c>
      <c r="K363" t="s">
        <v>30</v>
      </c>
      <c r="L363" t="s">
        <v>31</v>
      </c>
      <c r="M363" t="s">
        <v>49</v>
      </c>
      <c r="N363">
        <v>20</v>
      </c>
      <c r="O363" t="s">
        <v>33</v>
      </c>
      <c r="P363" t="s">
        <v>34</v>
      </c>
      <c r="Q363">
        <v>1</v>
      </c>
      <c r="R363">
        <v>8</v>
      </c>
      <c r="S363">
        <v>5</v>
      </c>
      <c r="T363">
        <v>1</v>
      </c>
      <c r="U363">
        <v>7</v>
      </c>
      <c r="V363">
        <v>8</v>
      </c>
      <c r="W363" t="s">
        <v>66</v>
      </c>
      <c r="X363" t="s">
        <v>36</v>
      </c>
      <c r="Y363" t="s">
        <v>37</v>
      </c>
      <c r="Z363">
        <v>28</v>
      </c>
      <c r="AA363" t="s">
        <v>50</v>
      </c>
      <c r="AB363" t="s">
        <v>124</v>
      </c>
      <c r="AC363" t="s">
        <v>53</v>
      </c>
    </row>
    <row r="364" spans="1:29" x14ac:dyDescent="0.35">
      <c r="A364" t="s">
        <v>446</v>
      </c>
      <c r="B364" t="s">
        <v>29</v>
      </c>
      <c r="C364" s="1">
        <v>44723</v>
      </c>
      <c r="D364" s="2">
        <v>0.12986111111111112</v>
      </c>
      <c r="E364" s="2">
        <v>1.0879629629629629E-3</v>
      </c>
      <c r="K364" t="s">
        <v>86</v>
      </c>
      <c r="L364" t="s">
        <v>31</v>
      </c>
      <c r="M364" t="s">
        <v>49</v>
      </c>
      <c r="N364">
        <v>20</v>
      </c>
      <c r="O364" t="s">
        <v>78</v>
      </c>
      <c r="P364" t="s">
        <v>34</v>
      </c>
      <c r="Q364">
        <v>0</v>
      </c>
      <c r="R364">
        <v>1</v>
      </c>
      <c r="S364">
        <v>2</v>
      </c>
      <c r="T364">
        <v>2</v>
      </c>
      <c r="U364">
        <v>1</v>
      </c>
      <c r="V364">
        <v>1</v>
      </c>
      <c r="W364" t="s">
        <v>66</v>
      </c>
      <c r="X364" t="s">
        <v>60</v>
      </c>
      <c r="Y364" t="s">
        <v>57</v>
      </c>
      <c r="Z364">
        <v>24</v>
      </c>
      <c r="AA364" t="s">
        <v>95</v>
      </c>
      <c r="AB364" t="s">
        <v>126</v>
      </c>
      <c r="AC364" t="s">
        <v>46</v>
      </c>
    </row>
    <row r="365" spans="1:29" x14ac:dyDescent="0.35">
      <c r="A365" t="s">
        <v>447</v>
      </c>
      <c r="B365" t="s">
        <v>29</v>
      </c>
      <c r="C365" s="1">
        <v>44723</v>
      </c>
      <c r="D365" s="2">
        <v>0.13402777777777777</v>
      </c>
      <c r="E365" s="2">
        <v>2.5347222222222221E-3</v>
      </c>
      <c r="K365" t="s">
        <v>50</v>
      </c>
      <c r="L365" t="s">
        <v>41</v>
      </c>
      <c r="M365" t="s">
        <v>42</v>
      </c>
      <c r="N365">
        <v>53</v>
      </c>
      <c r="O365" t="s">
        <v>33</v>
      </c>
      <c r="P365" t="s">
        <v>34</v>
      </c>
      <c r="Q365">
        <v>7</v>
      </c>
      <c r="R365">
        <v>10</v>
      </c>
      <c r="S365">
        <v>10</v>
      </c>
      <c r="T365">
        <v>10</v>
      </c>
      <c r="U365">
        <v>5</v>
      </c>
      <c r="V365">
        <v>10</v>
      </c>
      <c r="W365" t="s">
        <v>51</v>
      </c>
      <c r="X365" t="s">
        <v>60</v>
      </c>
      <c r="Y365" t="s">
        <v>37</v>
      </c>
      <c r="Z365">
        <v>25</v>
      </c>
      <c r="AA365" t="s">
        <v>38</v>
      </c>
      <c r="AB365" t="s">
        <v>126</v>
      </c>
      <c r="AC365" t="s">
        <v>46</v>
      </c>
    </row>
    <row r="366" spans="1:29" x14ac:dyDescent="0.35">
      <c r="A366" t="s">
        <v>448</v>
      </c>
      <c r="B366" t="s">
        <v>29</v>
      </c>
      <c r="C366" s="1">
        <v>44723</v>
      </c>
      <c r="D366" s="2">
        <v>0.13749999999999998</v>
      </c>
      <c r="E366" s="2">
        <v>2.8240740740740739E-3</v>
      </c>
      <c r="K366" t="s">
        <v>30</v>
      </c>
      <c r="L366" t="s">
        <v>31</v>
      </c>
      <c r="M366" t="s">
        <v>42</v>
      </c>
      <c r="N366">
        <v>53</v>
      </c>
      <c r="O366" t="s">
        <v>43</v>
      </c>
      <c r="P366" t="s">
        <v>34</v>
      </c>
      <c r="Q366">
        <v>4</v>
      </c>
      <c r="R366">
        <v>5</v>
      </c>
      <c r="S366">
        <v>5</v>
      </c>
      <c r="T366">
        <v>5</v>
      </c>
      <c r="U366">
        <v>6</v>
      </c>
      <c r="V366">
        <v>6</v>
      </c>
      <c r="W366" t="s">
        <v>66</v>
      </c>
      <c r="X366" t="s">
        <v>52</v>
      </c>
      <c r="Y366" t="s">
        <v>37</v>
      </c>
      <c r="Z366">
        <v>42</v>
      </c>
      <c r="AA366" t="s">
        <v>79</v>
      </c>
      <c r="AB366" t="s">
        <v>126</v>
      </c>
      <c r="AC366" t="s">
        <v>53</v>
      </c>
    </row>
    <row r="367" spans="1:29" x14ac:dyDescent="0.35">
      <c r="A367" t="s">
        <v>449</v>
      </c>
      <c r="B367" t="s">
        <v>29</v>
      </c>
      <c r="C367" s="1">
        <v>44723</v>
      </c>
      <c r="D367" s="2">
        <v>0.15277777777777776</v>
      </c>
      <c r="E367" s="2">
        <v>7.5231481481481471E-4</v>
      </c>
      <c r="K367" t="s">
        <v>30</v>
      </c>
      <c r="L367" t="s">
        <v>31</v>
      </c>
      <c r="M367" t="s">
        <v>49</v>
      </c>
      <c r="N367">
        <v>20</v>
      </c>
      <c r="O367" t="s">
        <v>76</v>
      </c>
      <c r="P367" t="s">
        <v>34</v>
      </c>
      <c r="Q367">
        <v>2</v>
      </c>
      <c r="R367">
        <v>3</v>
      </c>
      <c r="S367">
        <v>3</v>
      </c>
      <c r="T367">
        <v>3</v>
      </c>
      <c r="U367">
        <v>3</v>
      </c>
      <c r="V367">
        <v>3</v>
      </c>
      <c r="W367" t="s">
        <v>59</v>
      </c>
      <c r="X367" t="s">
        <v>60</v>
      </c>
      <c r="Y367" t="s">
        <v>37</v>
      </c>
      <c r="Z367">
        <v>21</v>
      </c>
      <c r="AA367" t="s">
        <v>95</v>
      </c>
      <c r="AB367" t="s">
        <v>124</v>
      </c>
      <c r="AC367" t="s">
        <v>46</v>
      </c>
    </row>
    <row r="368" spans="1:29" x14ac:dyDescent="0.35">
      <c r="A368" t="s">
        <v>450</v>
      </c>
      <c r="B368" t="s">
        <v>29</v>
      </c>
      <c r="C368" s="1">
        <v>44723</v>
      </c>
      <c r="D368" s="2">
        <v>0.15763888888888888</v>
      </c>
      <c r="E368" s="2">
        <v>1.8055555555555557E-3</v>
      </c>
      <c r="K368" t="s">
        <v>30</v>
      </c>
      <c r="L368" t="s">
        <v>41</v>
      </c>
      <c r="M368" t="s">
        <v>73</v>
      </c>
      <c r="N368">
        <v>76</v>
      </c>
      <c r="O368" t="s">
        <v>33</v>
      </c>
      <c r="P368" t="s">
        <v>34</v>
      </c>
      <c r="Q368">
        <v>7</v>
      </c>
      <c r="R368">
        <v>8</v>
      </c>
      <c r="S368">
        <v>9</v>
      </c>
      <c r="T368">
        <v>7</v>
      </c>
      <c r="U368">
        <v>7</v>
      </c>
      <c r="V368">
        <v>6</v>
      </c>
      <c r="W368" t="s">
        <v>51</v>
      </c>
      <c r="X368" t="s">
        <v>60</v>
      </c>
      <c r="Y368" t="s">
        <v>37</v>
      </c>
      <c r="Z368">
        <v>24</v>
      </c>
      <c r="AA368" t="s">
        <v>38</v>
      </c>
      <c r="AB368" t="s">
        <v>124</v>
      </c>
      <c r="AC368" t="s">
        <v>39</v>
      </c>
    </row>
    <row r="369" spans="1:29" x14ac:dyDescent="0.35">
      <c r="A369" t="s">
        <v>451</v>
      </c>
      <c r="B369" t="s">
        <v>29</v>
      </c>
      <c r="C369" s="1">
        <v>44723</v>
      </c>
      <c r="D369" s="2">
        <v>0.16458333333333333</v>
      </c>
      <c r="E369" s="2">
        <v>1.7592592592592592E-3</v>
      </c>
      <c r="K369" t="s">
        <v>30</v>
      </c>
      <c r="L369" t="s">
        <v>31</v>
      </c>
      <c r="M369" t="s">
        <v>42</v>
      </c>
      <c r="N369">
        <v>53</v>
      </c>
      <c r="O369" t="s">
        <v>33</v>
      </c>
      <c r="P369" t="s">
        <v>34</v>
      </c>
      <c r="Q369">
        <v>4</v>
      </c>
      <c r="R369">
        <v>7</v>
      </c>
      <c r="S369">
        <v>6</v>
      </c>
      <c r="T369">
        <v>6</v>
      </c>
      <c r="U369">
        <v>6</v>
      </c>
      <c r="V369">
        <v>7</v>
      </c>
      <c r="W369" t="s">
        <v>66</v>
      </c>
      <c r="X369" t="s">
        <v>60</v>
      </c>
      <c r="Y369" t="s">
        <v>57</v>
      </c>
      <c r="Z369">
        <v>26</v>
      </c>
      <c r="AA369" t="s">
        <v>38</v>
      </c>
      <c r="AB369" t="s">
        <v>124</v>
      </c>
      <c r="AC369" t="s">
        <v>39</v>
      </c>
    </row>
    <row r="370" spans="1:29" x14ac:dyDescent="0.35">
      <c r="A370" t="s">
        <v>452</v>
      </c>
      <c r="B370" t="s">
        <v>29</v>
      </c>
      <c r="C370" s="1">
        <v>44723</v>
      </c>
      <c r="D370" s="2">
        <v>0.1673611111111111</v>
      </c>
      <c r="E370" s="2">
        <v>8.7962962962962962E-4</v>
      </c>
      <c r="K370" t="s">
        <v>30</v>
      </c>
      <c r="L370" t="s">
        <v>31</v>
      </c>
      <c r="M370" t="s">
        <v>49</v>
      </c>
      <c r="N370">
        <v>20</v>
      </c>
      <c r="O370" t="s">
        <v>50</v>
      </c>
      <c r="P370" t="s">
        <v>34</v>
      </c>
      <c r="Q370">
        <v>2</v>
      </c>
      <c r="R370">
        <v>8</v>
      </c>
      <c r="S370">
        <v>8</v>
      </c>
      <c r="T370">
        <v>9</v>
      </c>
      <c r="U370">
        <v>8</v>
      </c>
      <c r="V370">
        <v>10</v>
      </c>
      <c r="W370" t="s">
        <v>59</v>
      </c>
      <c r="X370" t="s">
        <v>60</v>
      </c>
      <c r="Y370" t="s">
        <v>37</v>
      </c>
      <c r="Z370">
        <v>30</v>
      </c>
      <c r="AA370" t="s">
        <v>79</v>
      </c>
      <c r="AB370" t="s">
        <v>124</v>
      </c>
      <c r="AC370" t="s">
        <v>39</v>
      </c>
    </row>
    <row r="371" spans="1:29" x14ac:dyDescent="0.35">
      <c r="A371" t="s">
        <v>453</v>
      </c>
      <c r="B371" t="s">
        <v>29</v>
      </c>
      <c r="C371" s="1">
        <v>44723</v>
      </c>
      <c r="D371" s="2">
        <v>0.17569444444444446</v>
      </c>
      <c r="E371" s="2">
        <v>4.0624999999999993E-3</v>
      </c>
      <c r="K371" t="s">
        <v>48</v>
      </c>
      <c r="L371" t="s">
        <v>31</v>
      </c>
      <c r="M371" t="s">
        <v>68</v>
      </c>
      <c r="N371">
        <v>96</v>
      </c>
      <c r="O371" t="s">
        <v>50</v>
      </c>
      <c r="P371" t="s">
        <v>50</v>
      </c>
      <c r="Q371">
        <v>6</v>
      </c>
      <c r="R371">
        <v>10</v>
      </c>
      <c r="S371">
        <v>10</v>
      </c>
      <c r="T371">
        <v>10</v>
      </c>
      <c r="U371">
        <v>10</v>
      </c>
      <c r="V371">
        <v>10</v>
      </c>
      <c r="W371" t="s">
        <v>66</v>
      </c>
      <c r="X371" t="s">
        <v>82</v>
      </c>
      <c r="Y371" t="s">
        <v>37</v>
      </c>
      <c r="Z371">
        <v>27</v>
      </c>
      <c r="AA371" t="s">
        <v>38</v>
      </c>
      <c r="AB371" t="s">
        <v>124</v>
      </c>
      <c r="AC371" t="s">
        <v>53</v>
      </c>
    </row>
    <row r="372" spans="1:29" x14ac:dyDescent="0.35">
      <c r="A372" t="s">
        <v>454</v>
      </c>
      <c r="B372" t="s">
        <v>29</v>
      </c>
      <c r="C372" s="1">
        <v>44723</v>
      </c>
      <c r="D372" s="2">
        <v>0.18333333333333335</v>
      </c>
      <c r="E372" s="2">
        <v>1.4004629629629629E-3</v>
      </c>
      <c r="K372" t="s">
        <v>48</v>
      </c>
      <c r="L372" t="s">
        <v>31</v>
      </c>
      <c r="M372" t="s">
        <v>49</v>
      </c>
      <c r="N372">
        <v>20</v>
      </c>
      <c r="O372" t="s">
        <v>76</v>
      </c>
      <c r="P372" t="s">
        <v>34</v>
      </c>
      <c r="Q372">
        <v>0</v>
      </c>
      <c r="R372">
        <v>4</v>
      </c>
      <c r="S372">
        <v>1</v>
      </c>
      <c r="T372">
        <v>0</v>
      </c>
      <c r="U372">
        <v>1</v>
      </c>
      <c r="V372">
        <v>3</v>
      </c>
      <c r="W372" t="s">
        <v>51</v>
      </c>
      <c r="X372" t="s">
        <v>60</v>
      </c>
      <c r="Y372" t="s">
        <v>37</v>
      </c>
      <c r="Z372">
        <v>28</v>
      </c>
      <c r="AA372" t="s">
        <v>95</v>
      </c>
      <c r="AB372" t="s">
        <v>124</v>
      </c>
      <c r="AC372" t="s">
        <v>46</v>
      </c>
    </row>
    <row r="373" spans="1:29" x14ac:dyDescent="0.35">
      <c r="A373" t="s">
        <v>455</v>
      </c>
      <c r="B373" t="s">
        <v>29</v>
      </c>
      <c r="C373" s="1">
        <v>44723</v>
      </c>
      <c r="D373" s="2">
        <v>0.20972222222222223</v>
      </c>
      <c r="E373" s="2">
        <v>1.7013888888888892E-3</v>
      </c>
      <c r="K373" t="s">
        <v>30</v>
      </c>
      <c r="L373" t="s">
        <v>41</v>
      </c>
      <c r="M373" t="s">
        <v>73</v>
      </c>
      <c r="N373">
        <v>76</v>
      </c>
      <c r="O373" t="s">
        <v>294</v>
      </c>
      <c r="P373" t="s">
        <v>50</v>
      </c>
      <c r="Q373">
        <v>6</v>
      </c>
      <c r="R373">
        <v>8</v>
      </c>
      <c r="S373">
        <v>7</v>
      </c>
      <c r="T373">
        <v>7</v>
      </c>
      <c r="U373">
        <v>5</v>
      </c>
      <c r="V373">
        <v>6</v>
      </c>
      <c r="W373" t="s">
        <v>51</v>
      </c>
      <c r="X373" t="s">
        <v>60</v>
      </c>
      <c r="Y373" t="s">
        <v>57</v>
      </c>
      <c r="Z373">
        <v>29</v>
      </c>
      <c r="AA373" t="s">
        <v>79</v>
      </c>
      <c r="AB373" t="s">
        <v>124</v>
      </c>
      <c r="AC373" t="s">
        <v>39</v>
      </c>
    </row>
    <row r="374" spans="1:29" x14ac:dyDescent="0.35">
      <c r="A374" t="s">
        <v>456</v>
      </c>
      <c r="B374" t="s">
        <v>29</v>
      </c>
      <c r="C374" s="1">
        <v>44723</v>
      </c>
      <c r="D374" s="2">
        <v>0.21666666666666667</v>
      </c>
      <c r="E374" s="2">
        <v>1.8865740740740742E-3</v>
      </c>
      <c r="K374" t="s">
        <v>30</v>
      </c>
      <c r="L374" t="s">
        <v>41</v>
      </c>
      <c r="M374" t="s">
        <v>49</v>
      </c>
      <c r="N374">
        <v>20</v>
      </c>
      <c r="O374" t="s">
        <v>50</v>
      </c>
      <c r="P374" t="s">
        <v>34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 t="s">
        <v>51</v>
      </c>
      <c r="X374" t="s">
        <v>52</v>
      </c>
      <c r="Y374" t="s">
        <v>57</v>
      </c>
      <c r="Z374">
        <v>26</v>
      </c>
      <c r="AA374" t="s">
        <v>95</v>
      </c>
      <c r="AB374" t="s">
        <v>124</v>
      </c>
      <c r="AC374" t="s">
        <v>46</v>
      </c>
    </row>
    <row r="375" spans="1:29" x14ac:dyDescent="0.35">
      <c r="A375" t="s">
        <v>457</v>
      </c>
      <c r="B375" t="s">
        <v>29</v>
      </c>
      <c r="C375" s="1">
        <v>44723</v>
      </c>
      <c r="D375" s="2">
        <v>0.22569444444444445</v>
      </c>
      <c r="E375" s="2">
        <v>1.9328703703703704E-3</v>
      </c>
      <c r="K375" t="s">
        <v>48</v>
      </c>
      <c r="L375" t="s">
        <v>31</v>
      </c>
      <c r="M375" t="s">
        <v>49</v>
      </c>
      <c r="N375">
        <v>20</v>
      </c>
      <c r="O375" t="s">
        <v>43</v>
      </c>
      <c r="P375" t="s">
        <v>34</v>
      </c>
      <c r="Q375">
        <v>3</v>
      </c>
      <c r="R375">
        <v>3</v>
      </c>
      <c r="S375">
        <v>3</v>
      </c>
      <c r="T375">
        <v>3</v>
      </c>
      <c r="U375">
        <v>3</v>
      </c>
      <c r="V375">
        <v>4</v>
      </c>
      <c r="W375" t="s">
        <v>66</v>
      </c>
      <c r="X375" t="s">
        <v>36</v>
      </c>
      <c r="Y375" t="s">
        <v>37</v>
      </c>
      <c r="Z375">
        <v>29</v>
      </c>
      <c r="AA375" t="s">
        <v>50</v>
      </c>
      <c r="AB375" t="s">
        <v>124</v>
      </c>
      <c r="AC375" t="s">
        <v>53</v>
      </c>
    </row>
    <row r="376" spans="1:29" x14ac:dyDescent="0.35">
      <c r="A376" t="s">
        <v>458</v>
      </c>
      <c r="B376" t="s">
        <v>29</v>
      </c>
      <c r="C376" s="1">
        <v>44723</v>
      </c>
      <c r="D376" s="2">
        <v>0.22777777777777777</v>
      </c>
      <c r="E376" s="2">
        <v>1.2847222222222223E-3</v>
      </c>
      <c r="K376" t="s">
        <v>50</v>
      </c>
      <c r="L376" t="s">
        <v>41</v>
      </c>
      <c r="M376" t="s">
        <v>73</v>
      </c>
      <c r="N376">
        <v>76</v>
      </c>
      <c r="O376" t="s">
        <v>43</v>
      </c>
      <c r="P376" t="s">
        <v>50</v>
      </c>
      <c r="Q376">
        <v>3</v>
      </c>
      <c r="R376">
        <v>5</v>
      </c>
      <c r="S376">
        <v>7</v>
      </c>
      <c r="T376">
        <v>2</v>
      </c>
      <c r="U376">
        <v>5</v>
      </c>
      <c r="V376">
        <v>7</v>
      </c>
      <c r="W376" t="s">
        <v>51</v>
      </c>
      <c r="X376" t="s">
        <v>36</v>
      </c>
      <c r="Y376" t="s">
        <v>37</v>
      </c>
      <c r="Z376">
        <v>60</v>
      </c>
      <c r="AA376" t="s">
        <v>79</v>
      </c>
      <c r="AB376" t="s">
        <v>126</v>
      </c>
      <c r="AC376" t="s">
        <v>39</v>
      </c>
    </row>
    <row r="377" spans="1:29" x14ac:dyDescent="0.35">
      <c r="A377" t="s">
        <v>459</v>
      </c>
      <c r="B377" t="s">
        <v>29</v>
      </c>
      <c r="C377" s="1">
        <v>44723</v>
      </c>
      <c r="D377" s="2">
        <v>0.25763888888888892</v>
      </c>
      <c r="E377" s="2">
        <v>1.3310185185185185E-3</v>
      </c>
      <c r="K377" t="s">
        <v>30</v>
      </c>
      <c r="L377" t="s">
        <v>31</v>
      </c>
      <c r="M377" t="s">
        <v>49</v>
      </c>
      <c r="N377">
        <v>20</v>
      </c>
      <c r="O377" t="s">
        <v>33</v>
      </c>
      <c r="P377" t="s">
        <v>34</v>
      </c>
      <c r="Q377">
        <v>5</v>
      </c>
      <c r="R377">
        <v>8</v>
      </c>
      <c r="S377">
        <v>8</v>
      </c>
      <c r="T377">
        <v>5</v>
      </c>
      <c r="U377">
        <v>5</v>
      </c>
      <c r="V377">
        <v>6</v>
      </c>
      <c r="W377" t="s">
        <v>66</v>
      </c>
      <c r="X377" t="s">
        <v>60</v>
      </c>
      <c r="Y377" t="s">
        <v>37</v>
      </c>
      <c r="Z377">
        <v>25</v>
      </c>
      <c r="AA377" t="s">
        <v>50</v>
      </c>
      <c r="AB377" t="s">
        <v>124</v>
      </c>
      <c r="AC377" t="s">
        <v>53</v>
      </c>
    </row>
    <row r="378" spans="1:29" x14ac:dyDescent="0.35">
      <c r="A378" t="s">
        <v>460</v>
      </c>
      <c r="B378" t="s">
        <v>29</v>
      </c>
      <c r="C378" s="1">
        <v>44723</v>
      </c>
      <c r="D378" s="2">
        <v>0.2590277777777778</v>
      </c>
      <c r="E378" s="2">
        <v>2.2337962962962967E-3</v>
      </c>
      <c r="K378" t="s">
        <v>50</v>
      </c>
      <c r="L378" t="s">
        <v>41</v>
      </c>
      <c r="M378" t="s">
        <v>49</v>
      </c>
      <c r="N378">
        <v>20</v>
      </c>
      <c r="O378" t="s">
        <v>81</v>
      </c>
      <c r="P378" t="s">
        <v>44</v>
      </c>
      <c r="Q378">
        <v>0</v>
      </c>
      <c r="R378">
        <v>0</v>
      </c>
      <c r="S378">
        <v>1</v>
      </c>
      <c r="T378">
        <v>3</v>
      </c>
      <c r="U378">
        <v>2</v>
      </c>
      <c r="V378">
        <v>1</v>
      </c>
      <c r="W378" t="s">
        <v>66</v>
      </c>
      <c r="X378" t="s">
        <v>52</v>
      </c>
      <c r="Y378" t="s">
        <v>57</v>
      </c>
      <c r="Z378">
        <v>37</v>
      </c>
      <c r="AA378" t="s">
        <v>50</v>
      </c>
      <c r="AB378" t="s">
        <v>126</v>
      </c>
      <c r="AC378" t="s">
        <v>50</v>
      </c>
    </row>
    <row r="379" spans="1:29" x14ac:dyDescent="0.35">
      <c r="A379" t="s">
        <v>461</v>
      </c>
      <c r="B379" t="s">
        <v>29</v>
      </c>
      <c r="C379" s="1">
        <v>44723</v>
      </c>
      <c r="D379" s="2">
        <v>0.26805555555555555</v>
      </c>
      <c r="E379" s="2">
        <v>1.0532407407407407E-3</v>
      </c>
      <c r="K379" t="s">
        <v>30</v>
      </c>
      <c r="L379" t="s">
        <v>31</v>
      </c>
      <c r="M379" t="s">
        <v>73</v>
      </c>
      <c r="N379">
        <v>76</v>
      </c>
      <c r="O379" t="s">
        <v>43</v>
      </c>
      <c r="P379" t="s">
        <v>34</v>
      </c>
      <c r="Q379">
        <v>6</v>
      </c>
      <c r="R379">
        <v>8</v>
      </c>
      <c r="S379">
        <v>3</v>
      </c>
      <c r="T379">
        <v>4</v>
      </c>
      <c r="U379">
        <v>5</v>
      </c>
      <c r="V379">
        <v>1</v>
      </c>
      <c r="W379" t="s">
        <v>66</v>
      </c>
      <c r="X379" t="s">
        <v>60</v>
      </c>
      <c r="Y379" t="s">
        <v>57</v>
      </c>
      <c r="Z379">
        <v>30</v>
      </c>
      <c r="AA379" t="s">
        <v>45</v>
      </c>
      <c r="AB379" t="s">
        <v>124</v>
      </c>
      <c r="AC379" t="s">
        <v>46</v>
      </c>
    </row>
    <row r="380" spans="1:29" x14ac:dyDescent="0.35">
      <c r="A380" t="s">
        <v>462</v>
      </c>
      <c r="B380" t="s">
        <v>29</v>
      </c>
      <c r="C380" s="1">
        <v>44723</v>
      </c>
      <c r="D380" s="2">
        <v>0.29166666666666669</v>
      </c>
      <c r="E380" s="2">
        <v>3.3333333333333335E-3</v>
      </c>
      <c r="K380" t="s">
        <v>30</v>
      </c>
      <c r="L380" t="s">
        <v>31</v>
      </c>
      <c r="M380" t="s">
        <v>49</v>
      </c>
      <c r="N380">
        <v>20</v>
      </c>
      <c r="O380" t="s">
        <v>33</v>
      </c>
      <c r="P380" t="s">
        <v>34</v>
      </c>
      <c r="Q380">
        <v>0</v>
      </c>
      <c r="R380">
        <v>1</v>
      </c>
      <c r="S380">
        <v>2</v>
      </c>
      <c r="T380">
        <v>1</v>
      </c>
      <c r="U380">
        <v>0</v>
      </c>
      <c r="V380">
        <v>3</v>
      </c>
      <c r="W380" t="s">
        <v>66</v>
      </c>
      <c r="X380" t="s">
        <v>60</v>
      </c>
      <c r="Y380" t="s">
        <v>57</v>
      </c>
      <c r="Z380">
        <v>27</v>
      </c>
      <c r="AA380" t="s">
        <v>50</v>
      </c>
      <c r="AB380" t="s">
        <v>126</v>
      </c>
      <c r="AC380" t="s">
        <v>53</v>
      </c>
    </row>
    <row r="381" spans="1:29" x14ac:dyDescent="0.35">
      <c r="A381" t="s">
        <v>463</v>
      </c>
      <c r="B381" t="s">
        <v>29</v>
      </c>
      <c r="C381" s="1">
        <v>44723</v>
      </c>
      <c r="D381" s="2">
        <v>0.29791666666666666</v>
      </c>
      <c r="E381" s="2">
        <v>7.407407407407407E-4</v>
      </c>
      <c r="K381" t="s">
        <v>63</v>
      </c>
      <c r="L381" t="s">
        <v>31</v>
      </c>
      <c r="M381" t="s">
        <v>464</v>
      </c>
      <c r="N381" t="s">
        <v>128</v>
      </c>
      <c r="O381" t="s">
        <v>76</v>
      </c>
      <c r="P381" t="s">
        <v>44</v>
      </c>
      <c r="Q381">
        <v>5</v>
      </c>
      <c r="R381">
        <v>6</v>
      </c>
      <c r="S381">
        <v>5</v>
      </c>
      <c r="T381">
        <v>5</v>
      </c>
      <c r="U381">
        <v>6</v>
      </c>
      <c r="V381">
        <v>6</v>
      </c>
      <c r="W381" t="s">
        <v>59</v>
      </c>
      <c r="X381" t="s">
        <v>50</v>
      </c>
      <c r="Y381" t="s">
        <v>37</v>
      </c>
      <c r="Z381">
        <v>31</v>
      </c>
      <c r="AA381" t="s">
        <v>38</v>
      </c>
      <c r="AB381" t="s">
        <v>153</v>
      </c>
      <c r="AC381" t="s">
        <v>39</v>
      </c>
    </row>
    <row r="382" spans="1:29" x14ac:dyDescent="0.35">
      <c r="A382" t="s">
        <v>465</v>
      </c>
      <c r="B382" t="s">
        <v>29</v>
      </c>
      <c r="C382" s="1">
        <v>44723</v>
      </c>
      <c r="D382" s="2">
        <v>0.30208333333333331</v>
      </c>
      <c r="E382" s="2">
        <v>1.5162037037037036E-3</v>
      </c>
      <c r="K382" t="s">
        <v>86</v>
      </c>
      <c r="L382" t="s">
        <v>41</v>
      </c>
      <c r="M382" t="s">
        <v>49</v>
      </c>
      <c r="N382">
        <v>20</v>
      </c>
      <c r="O382" t="s">
        <v>50</v>
      </c>
      <c r="P382" t="s">
        <v>44</v>
      </c>
      <c r="Q382">
        <v>10</v>
      </c>
      <c r="R382">
        <v>10</v>
      </c>
      <c r="S382">
        <v>10</v>
      </c>
      <c r="T382">
        <v>10</v>
      </c>
      <c r="U382">
        <v>10</v>
      </c>
      <c r="V382">
        <v>10</v>
      </c>
      <c r="W382" t="s">
        <v>66</v>
      </c>
      <c r="X382" t="s">
        <v>52</v>
      </c>
      <c r="Y382" t="s">
        <v>37</v>
      </c>
      <c r="Z382">
        <v>24</v>
      </c>
      <c r="AA382" t="s">
        <v>79</v>
      </c>
      <c r="AB382" t="s">
        <v>126</v>
      </c>
      <c r="AC382" t="s">
        <v>46</v>
      </c>
    </row>
    <row r="383" spans="1:29" x14ac:dyDescent="0.35">
      <c r="A383" t="s">
        <v>466</v>
      </c>
      <c r="B383" t="s">
        <v>29</v>
      </c>
      <c r="C383" s="1">
        <v>44723</v>
      </c>
      <c r="D383" s="2">
        <v>0.31111111111111112</v>
      </c>
      <c r="E383" s="2">
        <v>2.2106481481481478E-3</v>
      </c>
      <c r="K383" t="s">
        <v>30</v>
      </c>
      <c r="L383" t="s">
        <v>41</v>
      </c>
      <c r="M383" t="s">
        <v>49</v>
      </c>
      <c r="N383">
        <v>20</v>
      </c>
      <c r="O383" t="s">
        <v>43</v>
      </c>
      <c r="P383" t="s">
        <v>50</v>
      </c>
      <c r="Q383">
        <v>0</v>
      </c>
      <c r="R383">
        <v>6</v>
      </c>
      <c r="S383">
        <v>6</v>
      </c>
      <c r="T383">
        <v>6</v>
      </c>
      <c r="U383">
        <v>5</v>
      </c>
      <c r="V383">
        <v>6</v>
      </c>
      <c r="W383" t="s">
        <v>66</v>
      </c>
      <c r="X383" t="s">
        <v>60</v>
      </c>
      <c r="Y383" t="s">
        <v>57</v>
      </c>
      <c r="Z383">
        <v>20</v>
      </c>
      <c r="AA383" t="s">
        <v>38</v>
      </c>
      <c r="AB383" t="s">
        <v>124</v>
      </c>
      <c r="AC383" t="s">
        <v>53</v>
      </c>
    </row>
    <row r="384" spans="1:29" x14ac:dyDescent="0.35">
      <c r="A384" t="s">
        <v>467</v>
      </c>
      <c r="B384" t="s">
        <v>29</v>
      </c>
      <c r="C384" s="1">
        <v>44723</v>
      </c>
      <c r="D384" s="2">
        <v>0.31666666666666665</v>
      </c>
      <c r="E384" s="2">
        <v>1.736111111111111E-3</v>
      </c>
      <c r="K384" t="s">
        <v>50</v>
      </c>
      <c r="L384" t="s">
        <v>41</v>
      </c>
      <c r="M384" t="s">
        <v>49</v>
      </c>
      <c r="N384">
        <v>20</v>
      </c>
      <c r="O384" t="s">
        <v>76</v>
      </c>
      <c r="P384" t="s">
        <v>44</v>
      </c>
      <c r="Q384">
        <v>2</v>
      </c>
      <c r="R384">
        <v>1</v>
      </c>
      <c r="S384">
        <v>4</v>
      </c>
      <c r="T384">
        <v>1</v>
      </c>
      <c r="U384">
        <v>1</v>
      </c>
      <c r="V384">
        <v>1</v>
      </c>
      <c r="W384" t="s">
        <v>51</v>
      </c>
      <c r="X384" t="s">
        <v>52</v>
      </c>
      <c r="Y384" t="s">
        <v>37</v>
      </c>
      <c r="Z384">
        <v>24</v>
      </c>
      <c r="AA384" t="s">
        <v>95</v>
      </c>
      <c r="AB384" t="s">
        <v>124</v>
      </c>
      <c r="AC384" t="s">
        <v>46</v>
      </c>
    </row>
    <row r="385" spans="1:29" x14ac:dyDescent="0.35">
      <c r="A385" t="s">
        <v>468</v>
      </c>
      <c r="B385" t="s">
        <v>29</v>
      </c>
      <c r="C385" s="1">
        <v>44723</v>
      </c>
      <c r="D385" s="2">
        <v>0.31736111111111115</v>
      </c>
      <c r="E385" s="2">
        <v>1.0648148148148147E-3</v>
      </c>
      <c r="K385" t="s">
        <v>86</v>
      </c>
      <c r="L385" t="s">
        <v>31</v>
      </c>
      <c r="M385" t="s">
        <v>49</v>
      </c>
      <c r="N385">
        <v>20</v>
      </c>
      <c r="O385" t="s">
        <v>50</v>
      </c>
      <c r="P385" t="s">
        <v>44</v>
      </c>
      <c r="Q385">
        <v>3</v>
      </c>
      <c r="R385">
        <v>6</v>
      </c>
      <c r="S385">
        <v>7</v>
      </c>
      <c r="T385">
        <v>6</v>
      </c>
      <c r="U385">
        <v>4</v>
      </c>
      <c r="V385">
        <v>4</v>
      </c>
      <c r="W385" t="s">
        <v>66</v>
      </c>
      <c r="X385" t="s">
        <v>52</v>
      </c>
      <c r="Y385" t="s">
        <v>37</v>
      </c>
      <c r="Z385">
        <v>24</v>
      </c>
      <c r="AA385" t="s">
        <v>50</v>
      </c>
      <c r="AB385" t="s">
        <v>124</v>
      </c>
      <c r="AC385" t="s">
        <v>39</v>
      </c>
    </row>
    <row r="386" spans="1:29" x14ac:dyDescent="0.35">
      <c r="A386" t="s">
        <v>469</v>
      </c>
      <c r="B386" t="s">
        <v>29</v>
      </c>
      <c r="C386" s="1">
        <v>44723</v>
      </c>
      <c r="D386" s="2">
        <v>0.31805555555555554</v>
      </c>
      <c r="E386" s="2">
        <v>1.0416666666666667E-3</v>
      </c>
      <c r="K386" t="s">
        <v>86</v>
      </c>
      <c r="L386" t="s">
        <v>41</v>
      </c>
      <c r="M386" t="s">
        <v>49</v>
      </c>
      <c r="N386">
        <v>20</v>
      </c>
      <c r="O386" t="s">
        <v>50</v>
      </c>
      <c r="P386" t="s">
        <v>44</v>
      </c>
      <c r="Q386">
        <v>0</v>
      </c>
      <c r="R386">
        <v>1</v>
      </c>
      <c r="S386">
        <v>3</v>
      </c>
      <c r="T386">
        <v>0</v>
      </c>
      <c r="U386">
        <v>0</v>
      </c>
      <c r="V386">
        <v>0</v>
      </c>
      <c r="W386" t="s">
        <v>66</v>
      </c>
      <c r="X386" t="s">
        <v>52</v>
      </c>
      <c r="Y386" t="s">
        <v>37</v>
      </c>
      <c r="Z386">
        <v>41</v>
      </c>
      <c r="AA386" t="s">
        <v>50</v>
      </c>
      <c r="AB386" t="s">
        <v>124</v>
      </c>
      <c r="AC386" t="s">
        <v>71</v>
      </c>
    </row>
    <row r="387" spans="1:29" x14ac:dyDescent="0.35">
      <c r="A387" t="s">
        <v>470</v>
      </c>
      <c r="B387" t="s">
        <v>29</v>
      </c>
      <c r="C387" s="1">
        <v>44723</v>
      </c>
      <c r="D387" s="2">
        <v>0.31944444444444448</v>
      </c>
      <c r="E387" s="2">
        <v>1.5277777777777779E-3</v>
      </c>
      <c r="K387" t="s">
        <v>30</v>
      </c>
      <c r="L387" t="s">
        <v>31</v>
      </c>
      <c r="M387" t="s">
        <v>68</v>
      </c>
      <c r="N387">
        <v>96</v>
      </c>
      <c r="O387" t="s">
        <v>76</v>
      </c>
      <c r="P387" t="s">
        <v>44</v>
      </c>
      <c r="Q387">
        <v>8</v>
      </c>
      <c r="R387">
        <v>8</v>
      </c>
      <c r="S387">
        <v>8</v>
      </c>
      <c r="T387">
        <v>8</v>
      </c>
      <c r="U387">
        <v>8</v>
      </c>
      <c r="V387">
        <v>8</v>
      </c>
      <c r="W387" t="s">
        <v>59</v>
      </c>
      <c r="X387" t="s">
        <v>60</v>
      </c>
      <c r="Y387" t="s">
        <v>37</v>
      </c>
      <c r="Z387">
        <v>41</v>
      </c>
      <c r="AA387" t="s">
        <v>38</v>
      </c>
      <c r="AB387" t="s">
        <v>124</v>
      </c>
      <c r="AC387" t="s">
        <v>39</v>
      </c>
    </row>
    <row r="388" spans="1:29" x14ac:dyDescent="0.35">
      <c r="A388" t="s">
        <v>471</v>
      </c>
      <c r="B388" t="s">
        <v>29</v>
      </c>
      <c r="C388" s="1">
        <v>44723</v>
      </c>
      <c r="D388" s="2">
        <v>0.33819444444444446</v>
      </c>
      <c r="E388" s="2">
        <v>1.2962962962962963E-3</v>
      </c>
      <c r="K388" t="s">
        <v>50</v>
      </c>
      <c r="L388" t="s">
        <v>41</v>
      </c>
      <c r="M388" t="s">
        <v>55</v>
      </c>
      <c r="N388">
        <v>188</v>
      </c>
      <c r="O388" t="s">
        <v>50</v>
      </c>
      <c r="P388" t="s">
        <v>34</v>
      </c>
      <c r="Q388">
        <v>9</v>
      </c>
      <c r="R388">
        <v>8</v>
      </c>
      <c r="S388">
        <v>9</v>
      </c>
      <c r="T388">
        <v>10</v>
      </c>
      <c r="U388">
        <v>8</v>
      </c>
      <c r="V388">
        <v>10</v>
      </c>
      <c r="W388" t="s">
        <v>66</v>
      </c>
      <c r="X388" t="s">
        <v>82</v>
      </c>
      <c r="Y388" t="s">
        <v>37</v>
      </c>
      <c r="Z388">
        <v>43</v>
      </c>
      <c r="AA388" t="s">
        <v>38</v>
      </c>
      <c r="AB388" t="s">
        <v>124</v>
      </c>
      <c r="AC388" t="s">
        <v>39</v>
      </c>
    </row>
    <row r="389" spans="1:29" x14ac:dyDescent="0.35">
      <c r="A389" t="s">
        <v>472</v>
      </c>
      <c r="B389" t="s">
        <v>29</v>
      </c>
      <c r="C389" s="1">
        <v>44723</v>
      </c>
      <c r="D389" s="2">
        <v>0.33958333333333335</v>
      </c>
      <c r="E389" s="2">
        <v>1.3078703703703705E-3</v>
      </c>
      <c r="K389" t="s">
        <v>30</v>
      </c>
      <c r="L389" t="s">
        <v>41</v>
      </c>
      <c r="M389" t="s">
        <v>73</v>
      </c>
      <c r="N389">
        <v>76</v>
      </c>
      <c r="O389" t="s">
        <v>33</v>
      </c>
      <c r="P389" t="s">
        <v>34</v>
      </c>
      <c r="Q389">
        <v>7</v>
      </c>
      <c r="R389">
        <v>7</v>
      </c>
      <c r="S389">
        <v>8</v>
      </c>
      <c r="T389">
        <v>4</v>
      </c>
      <c r="U389">
        <v>6</v>
      </c>
      <c r="V389">
        <v>9</v>
      </c>
      <c r="W389" t="s">
        <v>51</v>
      </c>
      <c r="X389" t="s">
        <v>36</v>
      </c>
      <c r="Y389" t="s">
        <v>57</v>
      </c>
      <c r="Z389">
        <v>38</v>
      </c>
      <c r="AA389" t="s">
        <v>38</v>
      </c>
      <c r="AB389" t="s">
        <v>124</v>
      </c>
      <c r="AC389" t="s">
        <v>39</v>
      </c>
    </row>
    <row r="390" spans="1:29" x14ac:dyDescent="0.35">
      <c r="A390" t="s">
        <v>473</v>
      </c>
      <c r="B390" t="s">
        <v>29</v>
      </c>
      <c r="C390" s="1">
        <v>44723</v>
      </c>
      <c r="D390" s="2">
        <v>0.3430555555555555</v>
      </c>
      <c r="E390" s="2">
        <v>1.3078703703703705E-3</v>
      </c>
      <c r="K390" t="s">
        <v>30</v>
      </c>
      <c r="L390" t="s">
        <v>31</v>
      </c>
      <c r="M390" t="s">
        <v>49</v>
      </c>
      <c r="N390">
        <v>20</v>
      </c>
      <c r="O390" t="s">
        <v>50</v>
      </c>
      <c r="P390" t="s">
        <v>34</v>
      </c>
      <c r="Q390">
        <v>5</v>
      </c>
      <c r="R390">
        <v>5</v>
      </c>
      <c r="S390">
        <v>5</v>
      </c>
      <c r="T390">
        <v>5</v>
      </c>
      <c r="U390">
        <v>5</v>
      </c>
      <c r="V390">
        <v>6</v>
      </c>
      <c r="W390" t="s">
        <v>66</v>
      </c>
      <c r="X390" t="s">
        <v>60</v>
      </c>
      <c r="Y390" t="s">
        <v>57</v>
      </c>
      <c r="Z390">
        <v>28</v>
      </c>
      <c r="AA390" t="s">
        <v>50</v>
      </c>
      <c r="AB390" t="s">
        <v>124</v>
      </c>
      <c r="AC390" t="s">
        <v>46</v>
      </c>
    </row>
    <row r="391" spans="1:29" x14ac:dyDescent="0.35">
      <c r="A391" t="s">
        <v>474</v>
      </c>
      <c r="B391" t="s">
        <v>29</v>
      </c>
      <c r="C391" s="1">
        <v>44723</v>
      </c>
      <c r="D391" s="2">
        <v>0.34583333333333338</v>
      </c>
      <c r="E391" s="2">
        <v>1.0416666666666667E-3</v>
      </c>
      <c r="K391" t="s">
        <v>30</v>
      </c>
      <c r="L391" t="s">
        <v>31</v>
      </c>
      <c r="M391" t="s">
        <v>68</v>
      </c>
      <c r="N391">
        <v>96</v>
      </c>
      <c r="O391" t="s">
        <v>33</v>
      </c>
      <c r="P391" t="s">
        <v>34</v>
      </c>
      <c r="Q391">
        <v>10</v>
      </c>
      <c r="R391">
        <v>8</v>
      </c>
      <c r="S391">
        <v>6</v>
      </c>
      <c r="T391">
        <v>10</v>
      </c>
      <c r="U391">
        <v>7</v>
      </c>
      <c r="V391">
        <v>5</v>
      </c>
      <c r="W391" t="s">
        <v>66</v>
      </c>
      <c r="X391" t="s">
        <v>82</v>
      </c>
      <c r="Y391" t="s">
        <v>57</v>
      </c>
      <c r="Z391">
        <v>31</v>
      </c>
      <c r="AA391" t="s">
        <v>50</v>
      </c>
      <c r="AB391" t="s">
        <v>124</v>
      </c>
      <c r="AC391" t="s">
        <v>71</v>
      </c>
    </row>
    <row r="392" spans="1:29" x14ac:dyDescent="0.35">
      <c r="A392" t="s">
        <v>475</v>
      </c>
      <c r="B392" t="s">
        <v>29</v>
      </c>
      <c r="C392" s="1">
        <v>44723</v>
      </c>
      <c r="D392" s="2">
        <v>0.35833333333333334</v>
      </c>
      <c r="E392" s="2">
        <v>1.0532407407407407E-3</v>
      </c>
      <c r="K392" t="s">
        <v>30</v>
      </c>
      <c r="L392" t="s">
        <v>31</v>
      </c>
      <c r="M392" t="s">
        <v>68</v>
      </c>
      <c r="N392">
        <v>96</v>
      </c>
      <c r="O392" t="s">
        <v>50</v>
      </c>
      <c r="P392" t="s">
        <v>50</v>
      </c>
      <c r="Q392">
        <v>8</v>
      </c>
      <c r="R392">
        <v>7</v>
      </c>
      <c r="S392">
        <v>8</v>
      </c>
      <c r="T392">
        <v>6</v>
      </c>
      <c r="U392">
        <v>7</v>
      </c>
      <c r="V392">
        <v>8</v>
      </c>
      <c r="W392" t="s">
        <v>59</v>
      </c>
      <c r="X392" t="s">
        <v>52</v>
      </c>
      <c r="Y392" t="s">
        <v>57</v>
      </c>
      <c r="Z392">
        <v>28</v>
      </c>
      <c r="AA392" t="s">
        <v>38</v>
      </c>
      <c r="AB392" t="s">
        <v>126</v>
      </c>
      <c r="AC392" t="s">
        <v>39</v>
      </c>
    </row>
    <row r="393" spans="1:29" x14ac:dyDescent="0.35">
      <c r="A393" t="s">
        <v>476</v>
      </c>
      <c r="B393" t="s">
        <v>29</v>
      </c>
      <c r="C393" s="1">
        <v>44723</v>
      </c>
      <c r="D393" s="2">
        <v>0.35972222222222222</v>
      </c>
      <c r="E393" s="2">
        <v>6.3657407407407402E-4</v>
      </c>
      <c r="K393" t="s">
        <v>30</v>
      </c>
      <c r="L393" t="s">
        <v>41</v>
      </c>
      <c r="M393" t="s">
        <v>42</v>
      </c>
      <c r="N393">
        <v>53</v>
      </c>
      <c r="O393" t="s">
        <v>33</v>
      </c>
      <c r="P393" t="s">
        <v>131</v>
      </c>
      <c r="Q393">
        <v>7</v>
      </c>
      <c r="R393">
        <v>8</v>
      </c>
      <c r="S393">
        <v>9</v>
      </c>
      <c r="T393">
        <v>9</v>
      </c>
      <c r="U393">
        <v>4</v>
      </c>
      <c r="V393">
        <v>9</v>
      </c>
      <c r="W393" t="s">
        <v>51</v>
      </c>
      <c r="X393" t="s">
        <v>36</v>
      </c>
      <c r="Y393" t="s">
        <v>37</v>
      </c>
      <c r="Z393">
        <v>23</v>
      </c>
      <c r="AA393" t="s">
        <v>38</v>
      </c>
      <c r="AB393" t="s">
        <v>126</v>
      </c>
      <c r="AC393" t="s">
        <v>46</v>
      </c>
    </row>
    <row r="394" spans="1:29" x14ac:dyDescent="0.35">
      <c r="A394" t="s">
        <v>477</v>
      </c>
      <c r="B394" t="s">
        <v>29</v>
      </c>
      <c r="C394" s="1">
        <v>44723</v>
      </c>
      <c r="D394" s="2">
        <v>0.3611111111111111</v>
      </c>
      <c r="E394" s="2">
        <v>1.2384259259259258E-3</v>
      </c>
      <c r="K394" t="s">
        <v>30</v>
      </c>
      <c r="L394" t="s">
        <v>41</v>
      </c>
      <c r="M394" t="s">
        <v>42</v>
      </c>
      <c r="N394">
        <v>53</v>
      </c>
      <c r="O394" t="s">
        <v>50</v>
      </c>
      <c r="P394" t="s">
        <v>34</v>
      </c>
      <c r="Q394">
        <v>5</v>
      </c>
      <c r="R394">
        <v>5</v>
      </c>
      <c r="S394">
        <v>4</v>
      </c>
      <c r="T394">
        <v>5</v>
      </c>
      <c r="U394">
        <v>6</v>
      </c>
      <c r="V394">
        <v>6</v>
      </c>
      <c r="W394" t="s">
        <v>66</v>
      </c>
      <c r="X394" t="s">
        <v>60</v>
      </c>
      <c r="Y394" t="s">
        <v>37</v>
      </c>
      <c r="Z394">
        <v>25</v>
      </c>
      <c r="AA394" t="s">
        <v>79</v>
      </c>
      <c r="AB394" t="s">
        <v>124</v>
      </c>
      <c r="AC394" t="s">
        <v>53</v>
      </c>
    </row>
    <row r="395" spans="1:29" x14ac:dyDescent="0.35">
      <c r="A395" t="s">
        <v>478</v>
      </c>
      <c r="B395" t="s">
        <v>29</v>
      </c>
      <c r="C395" s="1">
        <v>44723</v>
      </c>
      <c r="D395" s="2">
        <v>0.3611111111111111</v>
      </c>
      <c r="E395" s="2">
        <v>9.4907407407407408E-4</v>
      </c>
      <c r="K395" t="s">
        <v>50</v>
      </c>
      <c r="L395" t="s">
        <v>41</v>
      </c>
      <c r="M395" t="s">
        <v>49</v>
      </c>
      <c r="N395">
        <v>20</v>
      </c>
      <c r="O395" t="s">
        <v>76</v>
      </c>
      <c r="P395" t="s">
        <v>44</v>
      </c>
      <c r="Q395">
        <v>2</v>
      </c>
      <c r="R395">
        <v>5</v>
      </c>
      <c r="S395">
        <v>2</v>
      </c>
      <c r="T395">
        <v>8</v>
      </c>
      <c r="U395">
        <v>9</v>
      </c>
      <c r="V395">
        <v>10</v>
      </c>
      <c r="W395" t="s">
        <v>59</v>
      </c>
      <c r="X395" t="s">
        <v>36</v>
      </c>
      <c r="Y395" t="s">
        <v>37</v>
      </c>
      <c r="Z395">
        <v>26</v>
      </c>
      <c r="AA395" t="s">
        <v>50</v>
      </c>
      <c r="AB395" t="s">
        <v>126</v>
      </c>
      <c r="AC395" t="s">
        <v>39</v>
      </c>
    </row>
    <row r="396" spans="1:29" x14ac:dyDescent="0.35">
      <c r="A396" t="s">
        <v>479</v>
      </c>
      <c r="B396" t="s">
        <v>29</v>
      </c>
      <c r="C396" s="1">
        <v>44723</v>
      </c>
      <c r="D396" s="2">
        <v>0.36249999999999999</v>
      </c>
      <c r="E396" s="2">
        <v>5.4398148148148144E-4</v>
      </c>
      <c r="K396" t="s">
        <v>63</v>
      </c>
      <c r="L396" t="s">
        <v>31</v>
      </c>
      <c r="M396" t="s">
        <v>65</v>
      </c>
      <c r="N396">
        <v>138</v>
      </c>
      <c r="O396" t="s">
        <v>43</v>
      </c>
      <c r="P396" t="s">
        <v>34</v>
      </c>
      <c r="Q396">
        <v>9</v>
      </c>
      <c r="R396">
        <v>4</v>
      </c>
      <c r="S396">
        <v>8</v>
      </c>
      <c r="T396">
        <v>7</v>
      </c>
      <c r="U396">
        <v>5</v>
      </c>
      <c r="V396">
        <v>6</v>
      </c>
      <c r="W396" t="s">
        <v>59</v>
      </c>
      <c r="X396" t="s">
        <v>52</v>
      </c>
      <c r="Y396" t="s">
        <v>37</v>
      </c>
      <c r="Z396">
        <v>35</v>
      </c>
      <c r="AA396" t="s">
        <v>38</v>
      </c>
      <c r="AB396" t="s">
        <v>124</v>
      </c>
      <c r="AC396" t="s">
        <v>39</v>
      </c>
    </row>
    <row r="397" spans="1:29" x14ac:dyDescent="0.35">
      <c r="A397" t="s">
        <v>480</v>
      </c>
      <c r="B397" t="s">
        <v>29</v>
      </c>
      <c r="C397" s="1">
        <v>44723</v>
      </c>
      <c r="D397" s="2">
        <v>0.36944444444444446</v>
      </c>
      <c r="E397" s="2">
        <v>1.1921296296296296E-3</v>
      </c>
      <c r="K397" t="s">
        <v>30</v>
      </c>
      <c r="L397" t="s">
        <v>31</v>
      </c>
      <c r="M397" t="s">
        <v>32</v>
      </c>
      <c r="N397">
        <v>116</v>
      </c>
      <c r="O397" t="s">
        <v>50</v>
      </c>
      <c r="P397" t="s">
        <v>44</v>
      </c>
      <c r="Q397">
        <v>8</v>
      </c>
      <c r="R397">
        <v>9</v>
      </c>
      <c r="S397">
        <v>9</v>
      </c>
      <c r="T397">
        <v>7</v>
      </c>
      <c r="U397">
        <v>8</v>
      </c>
      <c r="V397">
        <v>8</v>
      </c>
      <c r="W397" t="s">
        <v>66</v>
      </c>
      <c r="X397" t="s">
        <v>36</v>
      </c>
      <c r="Y397" t="s">
        <v>37</v>
      </c>
      <c r="Z397">
        <v>30</v>
      </c>
      <c r="AA397" t="s">
        <v>50</v>
      </c>
      <c r="AB397" t="s">
        <v>126</v>
      </c>
      <c r="AC397" t="s">
        <v>39</v>
      </c>
    </row>
    <row r="398" spans="1:29" x14ac:dyDescent="0.35">
      <c r="A398" t="s">
        <v>481</v>
      </c>
      <c r="B398" t="s">
        <v>29</v>
      </c>
      <c r="C398" s="1">
        <v>44723</v>
      </c>
      <c r="D398" s="2">
        <v>0.3743055555555555</v>
      </c>
      <c r="E398" s="2">
        <v>1.1342592592592591E-3</v>
      </c>
      <c r="K398" t="s">
        <v>30</v>
      </c>
      <c r="L398" t="s">
        <v>31</v>
      </c>
      <c r="M398" t="s">
        <v>68</v>
      </c>
      <c r="N398">
        <v>96</v>
      </c>
      <c r="O398" t="s">
        <v>76</v>
      </c>
      <c r="P398" t="s">
        <v>44</v>
      </c>
      <c r="Q398">
        <v>3</v>
      </c>
      <c r="W398" t="s">
        <v>66</v>
      </c>
      <c r="X398" t="s">
        <v>60</v>
      </c>
      <c r="Y398" t="s">
        <v>37</v>
      </c>
      <c r="Z398">
        <v>35</v>
      </c>
      <c r="AA398" t="s">
        <v>79</v>
      </c>
      <c r="AB398" t="s">
        <v>124</v>
      </c>
      <c r="AC398" t="s">
        <v>39</v>
      </c>
    </row>
    <row r="399" spans="1:29" x14ac:dyDescent="0.35">
      <c r="A399" t="s">
        <v>482</v>
      </c>
      <c r="B399" t="s">
        <v>29</v>
      </c>
      <c r="C399" s="1">
        <v>44723</v>
      </c>
      <c r="D399" s="2">
        <v>0.37638888888888888</v>
      </c>
      <c r="E399" s="2">
        <v>1.4583333333333334E-3</v>
      </c>
      <c r="K399" t="s">
        <v>30</v>
      </c>
      <c r="L399" t="s">
        <v>31</v>
      </c>
      <c r="M399" t="s">
        <v>49</v>
      </c>
      <c r="N399">
        <v>20</v>
      </c>
      <c r="O399" t="s">
        <v>70</v>
      </c>
      <c r="P399" t="s">
        <v>34</v>
      </c>
      <c r="Q399">
        <v>0</v>
      </c>
      <c r="R399">
        <v>8</v>
      </c>
      <c r="S399">
        <v>5</v>
      </c>
      <c r="T399">
        <v>5</v>
      </c>
      <c r="U399">
        <v>2</v>
      </c>
      <c r="V399">
        <v>2</v>
      </c>
      <c r="W399" t="s">
        <v>51</v>
      </c>
      <c r="X399" t="s">
        <v>60</v>
      </c>
      <c r="Y399" t="s">
        <v>37</v>
      </c>
      <c r="Z399">
        <v>28</v>
      </c>
      <c r="AA399" t="s">
        <v>50</v>
      </c>
      <c r="AB399" t="s">
        <v>124</v>
      </c>
      <c r="AC399" t="s">
        <v>71</v>
      </c>
    </row>
    <row r="400" spans="1:29" x14ac:dyDescent="0.35">
      <c r="A400" t="s">
        <v>483</v>
      </c>
      <c r="B400" t="s">
        <v>29</v>
      </c>
      <c r="C400" s="1">
        <v>44723</v>
      </c>
      <c r="D400" s="2">
        <v>0.38680555555555557</v>
      </c>
      <c r="E400" s="2">
        <v>1.4004629629629629E-3</v>
      </c>
      <c r="K400" t="s">
        <v>86</v>
      </c>
      <c r="L400" t="s">
        <v>41</v>
      </c>
      <c r="M400" t="s">
        <v>49</v>
      </c>
      <c r="N400">
        <v>20</v>
      </c>
      <c r="O400" t="s">
        <v>76</v>
      </c>
      <c r="P400" t="s">
        <v>34</v>
      </c>
      <c r="Q400">
        <v>0</v>
      </c>
      <c r="R400">
        <v>2</v>
      </c>
      <c r="S400">
        <v>3</v>
      </c>
      <c r="T400">
        <v>3</v>
      </c>
      <c r="U400">
        <v>2</v>
      </c>
      <c r="V400">
        <v>3</v>
      </c>
      <c r="W400" t="s">
        <v>51</v>
      </c>
      <c r="X400" t="s">
        <v>52</v>
      </c>
      <c r="Y400" t="s">
        <v>57</v>
      </c>
      <c r="Z400">
        <v>24</v>
      </c>
      <c r="AA400" t="s">
        <v>50</v>
      </c>
      <c r="AB400" t="s">
        <v>124</v>
      </c>
      <c r="AC400" t="s">
        <v>53</v>
      </c>
    </row>
    <row r="401" spans="1:29" x14ac:dyDescent="0.35">
      <c r="A401" t="s">
        <v>484</v>
      </c>
      <c r="B401" t="s">
        <v>29</v>
      </c>
      <c r="C401" s="1">
        <v>44723</v>
      </c>
      <c r="D401" s="2">
        <v>0.40277777777777773</v>
      </c>
      <c r="E401" s="2">
        <v>3.1481481481481482E-3</v>
      </c>
      <c r="K401" t="s">
        <v>30</v>
      </c>
      <c r="L401" t="s">
        <v>31</v>
      </c>
      <c r="M401" t="s">
        <v>42</v>
      </c>
      <c r="N401">
        <v>53</v>
      </c>
      <c r="O401" t="s">
        <v>76</v>
      </c>
      <c r="P401" t="s">
        <v>34</v>
      </c>
      <c r="Q401">
        <v>8</v>
      </c>
      <c r="R401">
        <v>10</v>
      </c>
      <c r="S401">
        <v>7</v>
      </c>
      <c r="T401">
        <v>5</v>
      </c>
      <c r="U401">
        <v>6</v>
      </c>
      <c r="V401">
        <v>5</v>
      </c>
      <c r="W401" t="s">
        <v>66</v>
      </c>
      <c r="X401" t="s">
        <v>82</v>
      </c>
      <c r="Y401" t="s">
        <v>57</v>
      </c>
      <c r="Z401">
        <v>34</v>
      </c>
      <c r="AA401" t="s">
        <v>38</v>
      </c>
      <c r="AB401" t="s">
        <v>124</v>
      </c>
      <c r="AC401" t="s">
        <v>39</v>
      </c>
    </row>
    <row r="402" spans="1:29" x14ac:dyDescent="0.35">
      <c r="A402" t="s">
        <v>485</v>
      </c>
      <c r="B402" t="s">
        <v>29</v>
      </c>
      <c r="C402" s="1">
        <v>44723</v>
      </c>
      <c r="D402" s="2">
        <v>0.41111111111111115</v>
      </c>
      <c r="E402" s="2">
        <v>1.2962962962962963E-3</v>
      </c>
      <c r="K402" t="s">
        <v>30</v>
      </c>
      <c r="L402" t="s">
        <v>31</v>
      </c>
      <c r="M402" t="s">
        <v>42</v>
      </c>
      <c r="N402">
        <v>53</v>
      </c>
      <c r="O402" t="s">
        <v>76</v>
      </c>
      <c r="P402" t="s">
        <v>34</v>
      </c>
      <c r="Q402">
        <v>3</v>
      </c>
      <c r="R402">
        <v>5</v>
      </c>
      <c r="S402">
        <v>4</v>
      </c>
      <c r="T402">
        <v>5</v>
      </c>
      <c r="U402">
        <v>3</v>
      </c>
      <c r="V402">
        <v>6</v>
      </c>
      <c r="W402" t="s">
        <v>66</v>
      </c>
      <c r="X402" t="s">
        <v>52</v>
      </c>
      <c r="Y402" t="s">
        <v>57</v>
      </c>
      <c r="Z402">
        <v>31</v>
      </c>
      <c r="AA402" t="s">
        <v>50</v>
      </c>
      <c r="AB402" t="s">
        <v>126</v>
      </c>
      <c r="AC402" t="s">
        <v>39</v>
      </c>
    </row>
    <row r="403" spans="1:29" x14ac:dyDescent="0.35">
      <c r="A403" t="s">
        <v>486</v>
      </c>
      <c r="B403" t="s">
        <v>29</v>
      </c>
      <c r="C403" s="1">
        <v>44723</v>
      </c>
      <c r="D403" s="2">
        <v>0.41180555555555554</v>
      </c>
      <c r="E403" s="2">
        <v>7.6388888888888893E-4</v>
      </c>
      <c r="K403" t="s">
        <v>30</v>
      </c>
      <c r="L403" t="s">
        <v>31</v>
      </c>
      <c r="M403" t="s">
        <v>49</v>
      </c>
      <c r="N403">
        <v>20</v>
      </c>
      <c r="O403" t="s">
        <v>76</v>
      </c>
      <c r="P403" t="s">
        <v>34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 t="s">
        <v>59</v>
      </c>
      <c r="X403" t="s">
        <v>52</v>
      </c>
      <c r="Y403" t="s">
        <v>37</v>
      </c>
      <c r="Z403">
        <v>30</v>
      </c>
      <c r="AA403" t="s">
        <v>79</v>
      </c>
      <c r="AB403" t="s">
        <v>126</v>
      </c>
      <c r="AC403" t="s">
        <v>46</v>
      </c>
    </row>
    <row r="404" spans="1:29" x14ac:dyDescent="0.35">
      <c r="A404" t="s">
        <v>487</v>
      </c>
      <c r="B404" t="s">
        <v>29</v>
      </c>
      <c r="C404" s="1">
        <v>44723</v>
      </c>
      <c r="D404" s="2">
        <v>0.41180555555555554</v>
      </c>
      <c r="E404" s="2">
        <v>1.0185185185185186E-3</v>
      </c>
      <c r="K404" t="s">
        <v>48</v>
      </c>
      <c r="L404" t="s">
        <v>31</v>
      </c>
      <c r="M404" t="s">
        <v>68</v>
      </c>
      <c r="N404">
        <v>96</v>
      </c>
      <c r="O404" t="s">
        <v>50</v>
      </c>
      <c r="P404" t="s">
        <v>112</v>
      </c>
      <c r="Q404">
        <v>4</v>
      </c>
      <c r="R404">
        <v>4</v>
      </c>
      <c r="S404">
        <v>1</v>
      </c>
      <c r="T404">
        <v>6</v>
      </c>
      <c r="U404">
        <v>1</v>
      </c>
      <c r="V404">
        <v>5</v>
      </c>
      <c r="W404" t="s">
        <v>59</v>
      </c>
      <c r="X404" t="s">
        <v>60</v>
      </c>
      <c r="Y404" t="s">
        <v>37</v>
      </c>
      <c r="Z404">
        <v>40</v>
      </c>
      <c r="AA404" t="s">
        <v>79</v>
      </c>
      <c r="AB404" t="s">
        <v>124</v>
      </c>
      <c r="AC404" t="s">
        <v>39</v>
      </c>
    </row>
    <row r="405" spans="1:29" x14ac:dyDescent="0.35">
      <c r="A405" t="s">
        <v>488</v>
      </c>
      <c r="B405" t="s">
        <v>29</v>
      </c>
      <c r="C405" s="1">
        <v>44723</v>
      </c>
      <c r="D405" s="2">
        <v>0.41666666666666669</v>
      </c>
      <c r="E405" s="2">
        <v>1.4120370370370369E-3</v>
      </c>
      <c r="K405" t="s">
        <v>30</v>
      </c>
      <c r="L405" t="s">
        <v>41</v>
      </c>
      <c r="M405" t="s">
        <v>42</v>
      </c>
      <c r="N405">
        <v>53</v>
      </c>
      <c r="O405" t="s">
        <v>50</v>
      </c>
      <c r="P405" t="s">
        <v>44</v>
      </c>
      <c r="Q405">
        <v>4</v>
      </c>
      <c r="R405">
        <v>10</v>
      </c>
      <c r="S405">
        <v>10</v>
      </c>
      <c r="T405">
        <v>10</v>
      </c>
      <c r="U405">
        <v>8</v>
      </c>
      <c r="V405">
        <v>6</v>
      </c>
      <c r="W405" t="s">
        <v>35</v>
      </c>
      <c r="X405" t="s">
        <v>60</v>
      </c>
      <c r="Y405" t="s">
        <v>37</v>
      </c>
      <c r="Z405">
        <v>26</v>
      </c>
      <c r="AA405" t="s">
        <v>38</v>
      </c>
      <c r="AB405" t="s">
        <v>124</v>
      </c>
      <c r="AC405" t="s">
        <v>71</v>
      </c>
    </row>
    <row r="406" spans="1:29" x14ac:dyDescent="0.35">
      <c r="A406" t="s">
        <v>489</v>
      </c>
      <c r="B406" t="s">
        <v>29</v>
      </c>
      <c r="C406" s="1">
        <v>44723</v>
      </c>
      <c r="D406" s="2">
        <v>0.42777777777777781</v>
      </c>
      <c r="E406" s="2">
        <v>6.9444444444444447E-4</v>
      </c>
      <c r="K406" t="s">
        <v>30</v>
      </c>
      <c r="L406" t="s">
        <v>41</v>
      </c>
      <c r="M406" t="s">
        <v>65</v>
      </c>
      <c r="N406">
        <v>138</v>
      </c>
      <c r="O406" t="s">
        <v>33</v>
      </c>
      <c r="P406" t="s">
        <v>44</v>
      </c>
      <c r="Q406">
        <v>9</v>
      </c>
      <c r="R406">
        <v>9</v>
      </c>
      <c r="S406">
        <v>6</v>
      </c>
      <c r="T406">
        <v>6</v>
      </c>
      <c r="U406">
        <v>6</v>
      </c>
      <c r="V406">
        <v>7</v>
      </c>
      <c r="W406" t="s">
        <v>66</v>
      </c>
      <c r="X406" t="s">
        <v>82</v>
      </c>
      <c r="Y406" t="s">
        <v>37</v>
      </c>
      <c r="Z406">
        <v>25</v>
      </c>
      <c r="AA406" t="s">
        <v>38</v>
      </c>
      <c r="AB406" t="s">
        <v>124</v>
      </c>
      <c r="AC406" t="s">
        <v>39</v>
      </c>
    </row>
    <row r="407" spans="1:29" x14ac:dyDescent="0.35">
      <c r="A407" t="s">
        <v>490</v>
      </c>
      <c r="B407" t="s">
        <v>29</v>
      </c>
      <c r="C407" s="1">
        <v>44723</v>
      </c>
      <c r="D407" s="2">
        <v>0.44305555555555554</v>
      </c>
      <c r="E407" s="2">
        <v>1.7013888888888892E-3</v>
      </c>
      <c r="K407" t="s">
        <v>30</v>
      </c>
      <c r="L407" t="s">
        <v>31</v>
      </c>
      <c r="M407" t="s">
        <v>49</v>
      </c>
      <c r="N407">
        <v>20</v>
      </c>
      <c r="O407" t="s">
        <v>50</v>
      </c>
      <c r="P407" t="s">
        <v>50</v>
      </c>
      <c r="Q407" t="s">
        <v>128</v>
      </c>
      <c r="R407">
        <v>5</v>
      </c>
      <c r="S407">
        <v>8</v>
      </c>
      <c r="T407">
        <v>4</v>
      </c>
      <c r="U407">
        <v>8</v>
      </c>
      <c r="V407">
        <v>4</v>
      </c>
      <c r="W407" t="s">
        <v>51</v>
      </c>
      <c r="X407" t="s">
        <v>82</v>
      </c>
      <c r="Y407" t="s">
        <v>37</v>
      </c>
      <c r="Z407">
        <v>45</v>
      </c>
      <c r="AA407" t="s">
        <v>50</v>
      </c>
      <c r="AB407" t="s">
        <v>133</v>
      </c>
      <c r="AC407" t="s">
        <v>39</v>
      </c>
    </row>
    <row r="408" spans="1:29" x14ac:dyDescent="0.35">
      <c r="A408" t="s">
        <v>491</v>
      </c>
      <c r="B408" t="s">
        <v>29</v>
      </c>
      <c r="C408" s="1">
        <v>44723</v>
      </c>
      <c r="D408" s="2">
        <v>0.4513888888888889</v>
      </c>
      <c r="E408" s="2">
        <v>2.2222222222222222E-3</v>
      </c>
      <c r="K408" t="s">
        <v>30</v>
      </c>
      <c r="L408" t="s">
        <v>41</v>
      </c>
      <c r="M408" t="s">
        <v>42</v>
      </c>
      <c r="N408">
        <v>53</v>
      </c>
      <c r="O408" t="s">
        <v>43</v>
      </c>
      <c r="P408" t="s">
        <v>44</v>
      </c>
      <c r="Q408">
        <v>7</v>
      </c>
      <c r="R408">
        <v>9</v>
      </c>
      <c r="S408">
        <v>8</v>
      </c>
      <c r="T408">
        <v>6</v>
      </c>
      <c r="U408">
        <v>6</v>
      </c>
      <c r="V408">
        <v>9</v>
      </c>
      <c r="W408" t="s">
        <v>66</v>
      </c>
      <c r="X408" t="s">
        <v>82</v>
      </c>
      <c r="Y408" t="s">
        <v>37</v>
      </c>
      <c r="Z408">
        <v>26</v>
      </c>
      <c r="AA408" t="s">
        <v>38</v>
      </c>
      <c r="AB408" t="s">
        <v>126</v>
      </c>
      <c r="AC408" t="s">
        <v>53</v>
      </c>
    </row>
    <row r="409" spans="1:29" x14ac:dyDescent="0.35">
      <c r="A409" t="s">
        <v>492</v>
      </c>
      <c r="B409" t="s">
        <v>29</v>
      </c>
      <c r="C409" s="1">
        <v>44723</v>
      </c>
      <c r="D409" s="2">
        <v>0.46388888888888885</v>
      </c>
      <c r="E409" s="2">
        <v>1.1921296296296296E-3</v>
      </c>
      <c r="K409" t="s">
        <v>63</v>
      </c>
      <c r="L409" t="s">
        <v>41</v>
      </c>
      <c r="M409" t="s">
        <v>49</v>
      </c>
      <c r="N409">
        <v>20</v>
      </c>
      <c r="O409" t="s">
        <v>43</v>
      </c>
      <c r="P409" t="s">
        <v>34</v>
      </c>
      <c r="Q409">
        <v>7</v>
      </c>
      <c r="R409">
        <v>7</v>
      </c>
      <c r="S409">
        <v>8</v>
      </c>
      <c r="T409">
        <v>6</v>
      </c>
      <c r="U409">
        <v>6</v>
      </c>
      <c r="V409">
        <v>4</v>
      </c>
      <c r="W409" t="s">
        <v>66</v>
      </c>
      <c r="X409" t="s">
        <v>52</v>
      </c>
      <c r="Y409" t="s">
        <v>37</v>
      </c>
      <c r="Z409">
        <v>26</v>
      </c>
      <c r="AA409" t="s">
        <v>95</v>
      </c>
      <c r="AB409" t="s">
        <v>126</v>
      </c>
      <c r="AC409" t="s">
        <v>50</v>
      </c>
    </row>
    <row r="410" spans="1:29" x14ac:dyDescent="0.35">
      <c r="A410" t="s">
        <v>493</v>
      </c>
      <c r="B410" t="s">
        <v>29</v>
      </c>
      <c r="C410" s="1">
        <v>44723</v>
      </c>
      <c r="D410" s="2">
        <v>0.46597222222222223</v>
      </c>
      <c r="E410" s="2">
        <v>1.8981481481481482E-3</v>
      </c>
      <c r="K410" t="s">
        <v>50</v>
      </c>
      <c r="L410" t="s">
        <v>31</v>
      </c>
      <c r="M410" t="s">
        <v>49</v>
      </c>
      <c r="N410">
        <v>20</v>
      </c>
      <c r="O410" t="s">
        <v>43</v>
      </c>
      <c r="P410" t="s">
        <v>34</v>
      </c>
      <c r="Q410">
        <v>3</v>
      </c>
      <c r="R410">
        <v>2</v>
      </c>
      <c r="S410">
        <v>4</v>
      </c>
      <c r="T410">
        <v>2</v>
      </c>
      <c r="U410">
        <v>2</v>
      </c>
      <c r="V410">
        <v>3</v>
      </c>
      <c r="W410" t="s">
        <v>59</v>
      </c>
      <c r="X410" t="s">
        <v>60</v>
      </c>
      <c r="Y410" t="s">
        <v>37</v>
      </c>
      <c r="Z410">
        <v>23</v>
      </c>
      <c r="AA410" t="s">
        <v>95</v>
      </c>
      <c r="AB410" t="s">
        <v>126</v>
      </c>
      <c r="AC410" t="s">
        <v>46</v>
      </c>
    </row>
    <row r="411" spans="1:29" x14ac:dyDescent="0.35">
      <c r="A411" t="s">
        <v>494</v>
      </c>
      <c r="B411" t="s">
        <v>29</v>
      </c>
      <c r="C411" s="1">
        <v>44723</v>
      </c>
      <c r="D411" s="2">
        <v>0.47083333333333338</v>
      </c>
      <c r="E411" s="2">
        <v>6.4814814814814813E-4</v>
      </c>
      <c r="K411" t="s">
        <v>48</v>
      </c>
      <c r="L411" t="s">
        <v>31</v>
      </c>
      <c r="M411" t="s">
        <v>32</v>
      </c>
      <c r="N411">
        <v>116</v>
      </c>
      <c r="O411" t="s">
        <v>76</v>
      </c>
      <c r="P411" t="s">
        <v>34</v>
      </c>
      <c r="Q411">
        <v>4</v>
      </c>
      <c r="R411">
        <v>4</v>
      </c>
      <c r="S411">
        <v>4</v>
      </c>
      <c r="T411">
        <v>4</v>
      </c>
      <c r="U411">
        <v>5</v>
      </c>
      <c r="V411">
        <v>6</v>
      </c>
      <c r="W411" t="s">
        <v>66</v>
      </c>
      <c r="X411" t="s">
        <v>52</v>
      </c>
      <c r="Y411" t="s">
        <v>37</v>
      </c>
      <c r="Z411">
        <v>25</v>
      </c>
      <c r="AA411" t="s">
        <v>95</v>
      </c>
      <c r="AB411" t="s">
        <v>126</v>
      </c>
      <c r="AC411" t="s">
        <v>46</v>
      </c>
    </row>
    <row r="412" spans="1:29" x14ac:dyDescent="0.35">
      <c r="A412" t="s">
        <v>495</v>
      </c>
      <c r="B412" t="s">
        <v>29</v>
      </c>
      <c r="C412" s="1">
        <v>44723</v>
      </c>
      <c r="D412" s="2">
        <v>0.47152777777777777</v>
      </c>
      <c r="E412" s="2">
        <v>8.2175925925925917E-4</v>
      </c>
      <c r="K412" t="s">
        <v>30</v>
      </c>
      <c r="L412" t="s">
        <v>31</v>
      </c>
      <c r="M412" t="s">
        <v>42</v>
      </c>
      <c r="N412">
        <v>53</v>
      </c>
      <c r="O412" t="s">
        <v>33</v>
      </c>
      <c r="P412" t="s">
        <v>44</v>
      </c>
      <c r="Q412">
        <v>4</v>
      </c>
      <c r="R412">
        <v>5</v>
      </c>
      <c r="S412">
        <v>6</v>
      </c>
      <c r="T412">
        <v>6</v>
      </c>
      <c r="U412">
        <v>5</v>
      </c>
      <c r="V412">
        <v>6</v>
      </c>
      <c r="W412" t="s">
        <v>66</v>
      </c>
      <c r="X412" t="s">
        <v>60</v>
      </c>
      <c r="Y412" t="s">
        <v>57</v>
      </c>
      <c r="Z412">
        <v>33</v>
      </c>
      <c r="AA412" t="s">
        <v>38</v>
      </c>
      <c r="AB412" t="s">
        <v>120</v>
      </c>
      <c r="AC412" t="s">
        <v>39</v>
      </c>
    </row>
    <row r="413" spans="1:29" x14ac:dyDescent="0.35">
      <c r="A413" t="s">
        <v>496</v>
      </c>
      <c r="B413" t="s">
        <v>29</v>
      </c>
      <c r="C413" s="1">
        <v>44723</v>
      </c>
      <c r="D413" s="2">
        <v>0.47291666666666665</v>
      </c>
      <c r="E413" s="2">
        <v>1.4120370370370369E-3</v>
      </c>
      <c r="K413" t="s">
        <v>50</v>
      </c>
      <c r="L413" t="s">
        <v>41</v>
      </c>
      <c r="M413" t="s">
        <v>49</v>
      </c>
      <c r="N413">
        <v>20</v>
      </c>
      <c r="O413" t="s">
        <v>50</v>
      </c>
      <c r="P413" t="s">
        <v>50</v>
      </c>
      <c r="Q413">
        <v>6</v>
      </c>
      <c r="R413">
        <v>3</v>
      </c>
      <c r="S413">
        <v>3</v>
      </c>
      <c r="T413">
        <v>6</v>
      </c>
      <c r="U413">
        <v>6</v>
      </c>
      <c r="V413">
        <v>4</v>
      </c>
      <c r="W413" t="s">
        <v>56</v>
      </c>
      <c r="X413" t="s">
        <v>50</v>
      </c>
      <c r="Y413" t="s">
        <v>37</v>
      </c>
      <c r="Z413">
        <v>33</v>
      </c>
      <c r="AA413" t="s">
        <v>95</v>
      </c>
      <c r="AB413" t="s">
        <v>124</v>
      </c>
      <c r="AC413" t="s">
        <v>46</v>
      </c>
    </row>
    <row r="414" spans="1:29" x14ac:dyDescent="0.35">
      <c r="A414" t="s">
        <v>497</v>
      </c>
      <c r="B414" t="s">
        <v>29</v>
      </c>
      <c r="C414" s="1">
        <v>44723</v>
      </c>
      <c r="D414" s="2">
        <v>0.48402777777777778</v>
      </c>
      <c r="E414" s="2">
        <v>8.449074074074075E-4</v>
      </c>
      <c r="K414" t="s">
        <v>30</v>
      </c>
      <c r="L414" t="s">
        <v>31</v>
      </c>
      <c r="M414" t="s">
        <v>68</v>
      </c>
      <c r="N414">
        <v>96</v>
      </c>
      <c r="O414" t="s">
        <v>33</v>
      </c>
      <c r="P414" t="s">
        <v>44</v>
      </c>
      <c r="Q414">
        <v>7</v>
      </c>
      <c r="R414">
        <v>8</v>
      </c>
      <c r="S414">
        <v>7</v>
      </c>
      <c r="T414">
        <v>8</v>
      </c>
      <c r="U414">
        <v>3</v>
      </c>
      <c r="V414">
        <v>4</v>
      </c>
      <c r="W414" t="s">
        <v>51</v>
      </c>
      <c r="X414" t="s">
        <v>82</v>
      </c>
      <c r="Y414" t="s">
        <v>37</v>
      </c>
      <c r="Z414">
        <v>27</v>
      </c>
      <c r="AA414" t="s">
        <v>38</v>
      </c>
      <c r="AB414" t="s">
        <v>124</v>
      </c>
      <c r="AC414" t="s">
        <v>39</v>
      </c>
    </row>
    <row r="415" spans="1:29" x14ac:dyDescent="0.35">
      <c r="A415" t="s">
        <v>498</v>
      </c>
      <c r="B415" t="s">
        <v>29</v>
      </c>
      <c r="C415" s="1">
        <v>44723</v>
      </c>
      <c r="D415" s="2">
        <v>0.5083333333333333</v>
      </c>
      <c r="E415" s="2">
        <v>1.3773148148148147E-3</v>
      </c>
      <c r="K415" t="s">
        <v>30</v>
      </c>
      <c r="L415" t="s">
        <v>31</v>
      </c>
      <c r="M415" t="s">
        <v>32</v>
      </c>
      <c r="N415">
        <v>116</v>
      </c>
      <c r="O415" t="s">
        <v>76</v>
      </c>
      <c r="P415" t="s">
        <v>34</v>
      </c>
      <c r="Q415">
        <v>9</v>
      </c>
      <c r="R415">
        <v>9</v>
      </c>
      <c r="S415">
        <v>9</v>
      </c>
      <c r="T415">
        <v>8</v>
      </c>
      <c r="U415">
        <v>8</v>
      </c>
      <c r="V415">
        <v>9</v>
      </c>
      <c r="W415" t="s">
        <v>59</v>
      </c>
      <c r="X415" t="s">
        <v>36</v>
      </c>
      <c r="Y415" t="s">
        <v>57</v>
      </c>
      <c r="Z415">
        <v>28</v>
      </c>
      <c r="AA415" t="s">
        <v>38</v>
      </c>
      <c r="AB415" t="s">
        <v>126</v>
      </c>
      <c r="AC415" t="s">
        <v>71</v>
      </c>
    </row>
    <row r="416" spans="1:29" x14ac:dyDescent="0.35">
      <c r="A416" t="s">
        <v>499</v>
      </c>
      <c r="B416" t="s">
        <v>29</v>
      </c>
      <c r="C416" s="1">
        <v>44723</v>
      </c>
      <c r="D416" s="2">
        <v>0.50902777777777775</v>
      </c>
      <c r="E416" s="2">
        <v>2.2916666666666667E-3</v>
      </c>
      <c r="K416" t="s">
        <v>30</v>
      </c>
      <c r="L416" t="s">
        <v>31</v>
      </c>
      <c r="M416" t="s">
        <v>73</v>
      </c>
      <c r="N416">
        <v>76</v>
      </c>
      <c r="O416" t="s">
        <v>76</v>
      </c>
      <c r="P416" t="s">
        <v>34</v>
      </c>
      <c r="Q416">
        <v>5</v>
      </c>
      <c r="R416">
        <v>6</v>
      </c>
      <c r="S416">
        <v>7</v>
      </c>
      <c r="T416">
        <v>6</v>
      </c>
      <c r="U416">
        <v>6</v>
      </c>
      <c r="V416">
        <v>7</v>
      </c>
      <c r="W416" t="s">
        <v>56</v>
      </c>
      <c r="X416" t="s">
        <v>60</v>
      </c>
      <c r="Y416" t="s">
        <v>37</v>
      </c>
      <c r="Z416">
        <v>32</v>
      </c>
      <c r="AA416" t="s">
        <v>38</v>
      </c>
      <c r="AB416" t="s">
        <v>124</v>
      </c>
      <c r="AC416" t="s">
        <v>71</v>
      </c>
    </row>
    <row r="417" spans="1:29" x14ac:dyDescent="0.35">
      <c r="A417" t="s">
        <v>500</v>
      </c>
      <c r="B417" t="s">
        <v>29</v>
      </c>
      <c r="C417" s="1">
        <v>44723</v>
      </c>
      <c r="D417" s="2">
        <v>0.52500000000000002</v>
      </c>
      <c r="E417" s="2">
        <v>9.7222222222222209E-4</v>
      </c>
      <c r="K417" t="s">
        <v>30</v>
      </c>
      <c r="L417" t="s">
        <v>31</v>
      </c>
      <c r="M417" t="s">
        <v>49</v>
      </c>
      <c r="N417">
        <v>20</v>
      </c>
      <c r="O417" t="s">
        <v>76</v>
      </c>
      <c r="P417" t="s">
        <v>34</v>
      </c>
      <c r="Q417">
        <v>2</v>
      </c>
      <c r="R417">
        <v>6</v>
      </c>
      <c r="S417">
        <v>3</v>
      </c>
      <c r="T417">
        <v>6</v>
      </c>
      <c r="U417">
        <v>6</v>
      </c>
      <c r="V417">
        <v>7</v>
      </c>
      <c r="W417" t="s">
        <v>66</v>
      </c>
      <c r="X417" t="s">
        <v>60</v>
      </c>
      <c r="Y417" t="s">
        <v>37</v>
      </c>
      <c r="Z417">
        <v>35</v>
      </c>
      <c r="AA417" t="s">
        <v>95</v>
      </c>
      <c r="AB417" t="s">
        <v>126</v>
      </c>
      <c r="AC417" t="s">
        <v>46</v>
      </c>
    </row>
    <row r="418" spans="1:29" x14ac:dyDescent="0.35">
      <c r="A418" t="s">
        <v>501</v>
      </c>
      <c r="B418" t="s">
        <v>29</v>
      </c>
      <c r="C418" s="1">
        <v>44723</v>
      </c>
      <c r="D418" s="2">
        <v>0.52777777777777779</v>
      </c>
      <c r="E418" s="2">
        <v>1.261574074074074E-3</v>
      </c>
      <c r="K418" t="s">
        <v>30</v>
      </c>
      <c r="L418" t="s">
        <v>31</v>
      </c>
      <c r="M418" t="s">
        <v>68</v>
      </c>
      <c r="N418">
        <v>96</v>
      </c>
      <c r="O418" t="s">
        <v>294</v>
      </c>
      <c r="P418" t="s">
        <v>34</v>
      </c>
      <c r="Q418">
        <v>8</v>
      </c>
      <c r="R418">
        <v>9</v>
      </c>
      <c r="S418">
        <v>10</v>
      </c>
      <c r="T418">
        <v>10</v>
      </c>
      <c r="U418">
        <v>9</v>
      </c>
      <c r="V418">
        <v>10</v>
      </c>
      <c r="W418" t="s">
        <v>66</v>
      </c>
      <c r="X418" t="s">
        <v>82</v>
      </c>
      <c r="Y418" t="s">
        <v>37</v>
      </c>
      <c r="Z418">
        <v>34</v>
      </c>
      <c r="AA418" t="s">
        <v>38</v>
      </c>
      <c r="AB418" t="s">
        <v>126</v>
      </c>
      <c r="AC418" t="s">
        <v>71</v>
      </c>
    </row>
    <row r="419" spans="1:29" x14ac:dyDescent="0.35">
      <c r="A419" t="s">
        <v>502</v>
      </c>
      <c r="B419" t="s">
        <v>29</v>
      </c>
      <c r="C419" s="1">
        <v>44723</v>
      </c>
      <c r="D419" s="2">
        <v>0.52916666666666667</v>
      </c>
      <c r="E419" s="2">
        <v>1.1458333333333333E-3</v>
      </c>
      <c r="K419" t="s">
        <v>30</v>
      </c>
      <c r="L419" t="s">
        <v>41</v>
      </c>
      <c r="M419" t="s">
        <v>42</v>
      </c>
      <c r="N419">
        <v>53</v>
      </c>
      <c r="O419" t="s">
        <v>50</v>
      </c>
      <c r="P419" t="s">
        <v>34</v>
      </c>
      <c r="Q419">
        <v>9</v>
      </c>
      <c r="R419">
        <v>8</v>
      </c>
      <c r="S419">
        <v>3</v>
      </c>
      <c r="T419">
        <v>5</v>
      </c>
      <c r="U419">
        <v>2</v>
      </c>
      <c r="V419">
        <v>4</v>
      </c>
      <c r="W419" t="s">
        <v>51</v>
      </c>
      <c r="X419" t="s">
        <v>60</v>
      </c>
      <c r="Y419" t="s">
        <v>37</v>
      </c>
      <c r="Z419">
        <v>27</v>
      </c>
      <c r="AA419" t="s">
        <v>50</v>
      </c>
      <c r="AB419" t="s">
        <v>126</v>
      </c>
      <c r="AC419" t="s">
        <v>39</v>
      </c>
    </row>
    <row r="420" spans="1:29" x14ac:dyDescent="0.35">
      <c r="A420" t="s">
        <v>503</v>
      </c>
      <c r="B420" t="s">
        <v>29</v>
      </c>
      <c r="C420" s="1">
        <v>44723</v>
      </c>
      <c r="D420" s="2">
        <v>0.53472222222222221</v>
      </c>
      <c r="E420" s="2">
        <v>1.736111111111111E-3</v>
      </c>
      <c r="K420" t="s">
        <v>50</v>
      </c>
      <c r="L420" t="s">
        <v>31</v>
      </c>
      <c r="M420" t="s">
        <v>73</v>
      </c>
      <c r="N420">
        <v>76</v>
      </c>
      <c r="O420" t="s">
        <v>78</v>
      </c>
      <c r="P420" t="s">
        <v>44</v>
      </c>
      <c r="Q420">
        <v>4</v>
      </c>
      <c r="R420">
        <v>5</v>
      </c>
      <c r="S420">
        <v>5</v>
      </c>
      <c r="T420">
        <v>3</v>
      </c>
      <c r="U420">
        <v>3</v>
      </c>
      <c r="V420">
        <v>4</v>
      </c>
      <c r="W420" t="s">
        <v>51</v>
      </c>
      <c r="X420" t="s">
        <v>82</v>
      </c>
      <c r="Y420" t="s">
        <v>57</v>
      </c>
      <c r="Z420">
        <v>30</v>
      </c>
      <c r="AA420" t="s">
        <v>38</v>
      </c>
      <c r="AB420" t="s">
        <v>126</v>
      </c>
      <c r="AC420" t="s">
        <v>39</v>
      </c>
    </row>
    <row r="421" spans="1:29" x14ac:dyDescent="0.35">
      <c r="A421" t="s">
        <v>504</v>
      </c>
      <c r="B421" t="s">
        <v>29</v>
      </c>
      <c r="C421" s="1">
        <v>44723</v>
      </c>
      <c r="D421" s="2">
        <v>0.55277777777777781</v>
      </c>
      <c r="E421" s="2">
        <v>1.4583333333333334E-3</v>
      </c>
      <c r="K421" t="s">
        <v>30</v>
      </c>
      <c r="L421" t="s">
        <v>41</v>
      </c>
      <c r="M421" t="s">
        <v>73</v>
      </c>
      <c r="N421">
        <v>76</v>
      </c>
      <c r="O421" t="s">
        <v>50</v>
      </c>
      <c r="P421" t="s">
        <v>34</v>
      </c>
      <c r="Q421">
        <v>8</v>
      </c>
      <c r="R421">
        <v>9</v>
      </c>
      <c r="S421">
        <v>9</v>
      </c>
      <c r="T421">
        <v>9</v>
      </c>
      <c r="U421">
        <v>9</v>
      </c>
      <c r="V421">
        <v>10</v>
      </c>
      <c r="W421" t="s">
        <v>66</v>
      </c>
      <c r="X421" t="s">
        <v>60</v>
      </c>
      <c r="Y421" t="s">
        <v>37</v>
      </c>
      <c r="Z421">
        <v>34</v>
      </c>
      <c r="AA421" t="s">
        <v>38</v>
      </c>
      <c r="AB421" t="s">
        <v>126</v>
      </c>
      <c r="AC421" t="s">
        <v>39</v>
      </c>
    </row>
    <row r="422" spans="1:29" x14ac:dyDescent="0.35">
      <c r="A422" t="s">
        <v>505</v>
      </c>
      <c r="B422" t="s">
        <v>29</v>
      </c>
      <c r="C422" s="1">
        <v>44723</v>
      </c>
      <c r="D422" s="2">
        <v>0.55347222222222225</v>
      </c>
      <c r="E422" s="2">
        <v>1.6203703703703703E-3</v>
      </c>
      <c r="K422" t="s">
        <v>50</v>
      </c>
      <c r="L422" t="s">
        <v>41</v>
      </c>
      <c r="M422" t="s">
        <v>42</v>
      </c>
      <c r="N422">
        <v>53</v>
      </c>
      <c r="O422" t="s">
        <v>50</v>
      </c>
      <c r="P422" t="s">
        <v>34</v>
      </c>
      <c r="Q422">
        <v>3</v>
      </c>
      <c r="R422">
        <v>10</v>
      </c>
      <c r="S422">
        <v>6</v>
      </c>
      <c r="T422">
        <v>5</v>
      </c>
      <c r="U422">
        <v>7</v>
      </c>
      <c r="V422">
        <v>8</v>
      </c>
      <c r="W422" t="s">
        <v>66</v>
      </c>
      <c r="X422" t="s">
        <v>36</v>
      </c>
      <c r="Y422" t="s">
        <v>57</v>
      </c>
      <c r="Z422">
        <v>22</v>
      </c>
      <c r="AA422" t="s">
        <v>38</v>
      </c>
      <c r="AB422" t="s">
        <v>124</v>
      </c>
      <c r="AC422" t="s">
        <v>39</v>
      </c>
    </row>
    <row r="423" spans="1:29" x14ac:dyDescent="0.35">
      <c r="A423" t="s">
        <v>506</v>
      </c>
      <c r="B423" t="s">
        <v>29</v>
      </c>
      <c r="C423" s="1">
        <v>44723</v>
      </c>
      <c r="D423" s="2">
        <v>0.55902777777777779</v>
      </c>
      <c r="E423" s="2">
        <v>7.175925925925927E-4</v>
      </c>
      <c r="K423" t="s">
        <v>30</v>
      </c>
      <c r="L423" t="s">
        <v>31</v>
      </c>
      <c r="M423" t="s">
        <v>49</v>
      </c>
      <c r="N423">
        <v>20</v>
      </c>
      <c r="O423" t="s">
        <v>43</v>
      </c>
      <c r="P423" t="s">
        <v>34</v>
      </c>
      <c r="Q423">
        <v>2</v>
      </c>
      <c r="R423">
        <v>2</v>
      </c>
      <c r="S423">
        <v>5</v>
      </c>
      <c r="T423">
        <v>5</v>
      </c>
      <c r="U423">
        <v>2</v>
      </c>
      <c r="V423">
        <v>3</v>
      </c>
      <c r="W423" t="s">
        <v>35</v>
      </c>
      <c r="X423" t="s">
        <v>52</v>
      </c>
      <c r="Y423" t="s">
        <v>57</v>
      </c>
      <c r="Z423">
        <v>33</v>
      </c>
      <c r="AA423" t="s">
        <v>95</v>
      </c>
      <c r="AB423" t="s">
        <v>126</v>
      </c>
      <c r="AC423" t="s">
        <v>46</v>
      </c>
    </row>
    <row r="424" spans="1:29" x14ac:dyDescent="0.35">
      <c r="A424" t="s">
        <v>507</v>
      </c>
      <c r="B424" t="s">
        <v>29</v>
      </c>
      <c r="C424" s="1">
        <v>44723</v>
      </c>
      <c r="D424" s="2">
        <v>0.56041666666666667</v>
      </c>
      <c r="E424" s="2">
        <v>1.3078703703703705E-3</v>
      </c>
      <c r="K424" t="s">
        <v>30</v>
      </c>
      <c r="L424" t="s">
        <v>41</v>
      </c>
      <c r="M424" t="s">
        <v>49</v>
      </c>
      <c r="N424">
        <v>20</v>
      </c>
      <c r="O424" t="s">
        <v>43</v>
      </c>
      <c r="P424" t="s">
        <v>34</v>
      </c>
      <c r="Q424">
        <v>8</v>
      </c>
      <c r="R424">
        <v>9</v>
      </c>
      <c r="S424">
        <v>9</v>
      </c>
      <c r="T424">
        <v>9</v>
      </c>
      <c r="U424">
        <v>9</v>
      </c>
      <c r="V424">
        <v>9</v>
      </c>
      <c r="W424" t="s">
        <v>66</v>
      </c>
      <c r="X424" t="s">
        <v>60</v>
      </c>
      <c r="Y424" t="s">
        <v>57</v>
      </c>
      <c r="Z424">
        <v>26</v>
      </c>
      <c r="AA424" t="s">
        <v>95</v>
      </c>
      <c r="AB424" t="s">
        <v>126</v>
      </c>
      <c r="AC424" t="s">
        <v>46</v>
      </c>
    </row>
    <row r="425" spans="1:29" x14ac:dyDescent="0.35">
      <c r="A425" t="s">
        <v>508</v>
      </c>
      <c r="B425" t="s">
        <v>29</v>
      </c>
      <c r="C425" s="1">
        <v>44723</v>
      </c>
      <c r="D425" s="2">
        <v>0.5625</v>
      </c>
      <c r="E425" s="2">
        <v>1.1111111111111111E-3</v>
      </c>
      <c r="K425" t="s">
        <v>48</v>
      </c>
      <c r="L425" t="s">
        <v>31</v>
      </c>
      <c r="M425" t="s">
        <v>49</v>
      </c>
      <c r="N425">
        <v>20</v>
      </c>
      <c r="O425" t="s">
        <v>76</v>
      </c>
      <c r="P425" t="s">
        <v>34</v>
      </c>
      <c r="Q425">
        <v>0</v>
      </c>
      <c r="R425">
        <v>5</v>
      </c>
      <c r="S425">
        <v>8</v>
      </c>
      <c r="T425">
        <v>6</v>
      </c>
      <c r="U425">
        <v>5</v>
      </c>
      <c r="V425">
        <v>7</v>
      </c>
      <c r="W425" t="s">
        <v>66</v>
      </c>
      <c r="X425" t="s">
        <v>60</v>
      </c>
      <c r="Y425" t="s">
        <v>37</v>
      </c>
      <c r="Z425">
        <v>28</v>
      </c>
      <c r="AA425" t="s">
        <v>50</v>
      </c>
      <c r="AB425" t="s">
        <v>124</v>
      </c>
      <c r="AC425" t="s">
        <v>71</v>
      </c>
    </row>
    <row r="426" spans="1:29" x14ac:dyDescent="0.35">
      <c r="A426" t="s">
        <v>509</v>
      </c>
      <c r="B426" t="s">
        <v>29</v>
      </c>
      <c r="C426" s="1">
        <v>44723</v>
      </c>
      <c r="D426" s="2">
        <v>0.5805555555555556</v>
      </c>
      <c r="E426" s="2">
        <v>3.8425925925925923E-3</v>
      </c>
      <c r="K426" t="s">
        <v>50</v>
      </c>
      <c r="L426" t="s">
        <v>41</v>
      </c>
      <c r="M426" t="s">
        <v>49</v>
      </c>
      <c r="N426">
        <v>20</v>
      </c>
      <c r="O426" t="s">
        <v>50</v>
      </c>
      <c r="P426" t="s">
        <v>34</v>
      </c>
      <c r="Q426">
        <v>2</v>
      </c>
      <c r="R426">
        <v>2</v>
      </c>
      <c r="S426">
        <v>7</v>
      </c>
      <c r="T426">
        <v>4</v>
      </c>
      <c r="U426">
        <v>8</v>
      </c>
      <c r="V426">
        <v>1</v>
      </c>
      <c r="W426" t="s">
        <v>59</v>
      </c>
      <c r="X426" t="s">
        <v>36</v>
      </c>
      <c r="Y426" t="s">
        <v>37</v>
      </c>
      <c r="Z426">
        <v>42</v>
      </c>
      <c r="AA426" t="s">
        <v>79</v>
      </c>
      <c r="AB426" t="s">
        <v>124</v>
      </c>
      <c r="AC426" t="s">
        <v>50</v>
      </c>
    </row>
    <row r="427" spans="1:29" x14ac:dyDescent="0.35">
      <c r="A427" t="s">
        <v>510</v>
      </c>
      <c r="B427" t="s">
        <v>29</v>
      </c>
      <c r="C427" s="1">
        <v>44723</v>
      </c>
      <c r="D427" s="2">
        <v>0.58263888888888882</v>
      </c>
      <c r="E427" s="2">
        <v>1.4583333333333334E-3</v>
      </c>
      <c r="K427" t="s">
        <v>30</v>
      </c>
      <c r="L427" t="s">
        <v>41</v>
      </c>
      <c r="M427" t="s">
        <v>49</v>
      </c>
      <c r="N427">
        <v>20</v>
      </c>
      <c r="O427" t="s">
        <v>50</v>
      </c>
      <c r="P427" t="s">
        <v>44</v>
      </c>
      <c r="Q427">
        <v>4</v>
      </c>
      <c r="R427">
        <v>10</v>
      </c>
      <c r="S427">
        <v>2</v>
      </c>
      <c r="T427">
        <v>3</v>
      </c>
      <c r="U427">
        <v>2</v>
      </c>
      <c r="V427">
        <v>3</v>
      </c>
      <c r="W427" t="s">
        <v>66</v>
      </c>
      <c r="X427" t="s">
        <v>60</v>
      </c>
      <c r="Y427" t="s">
        <v>37</v>
      </c>
      <c r="Z427">
        <v>30</v>
      </c>
      <c r="AA427" t="s">
        <v>50</v>
      </c>
      <c r="AB427" t="s">
        <v>126</v>
      </c>
      <c r="AC427" t="s">
        <v>50</v>
      </c>
    </row>
    <row r="428" spans="1:29" x14ac:dyDescent="0.35">
      <c r="A428" t="s">
        <v>511</v>
      </c>
      <c r="B428" t="s">
        <v>29</v>
      </c>
      <c r="C428" s="1">
        <v>44723</v>
      </c>
      <c r="D428" s="2">
        <v>0.58819444444444446</v>
      </c>
      <c r="E428" s="2">
        <v>9.4907407407407408E-4</v>
      </c>
      <c r="K428" t="s">
        <v>63</v>
      </c>
      <c r="L428" t="s">
        <v>31</v>
      </c>
      <c r="M428" t="s">
        <v>32</v>
      </c>
      <c r="N428">
        <v>116</v>
      </c>
      <c r="O428" t="s">
        <v>76</v>
      </c>
      <c r="P428" t="s">
        <v>50</v>
      </c>
      <c r="Q428">
        <v>10</v>
      </c>
      <c r="R428">
        <v>9</v>
      </c>
      <c r="S428">
        <v>8</v>
      </c>
      <c r="T428">
        <v>8</v>
      </c>
      <c r="U428">
        <v>9</v>
      </c>
      <c r="V428">
        <v>10</v>
      </c>
      <c r="W428" t="s">
        <v>59</v>
      </c>
      <c r="X428" t="s">
        <v>60</v>
      </c>
      <c r="Y428" t="s">
        <v>37</v>
      </c>
      <c r="Z428">
        <v>25</v>
      </c>
      <c r="AA428" t="s">
        <v>38</v>
      </c>
      <c r="AB428" t="s">
        <v>133</v>
      </c>
      <c r="AC428" t="s">
        <v>39</v>
      </c>
    </row>
    <row r="429" spans="1:29" x14ac:dyDescent="0.35">
      <c r="A429" t="s">
        <v>512</v>
      </c>
      <c r="B429" t="s">
        <v>29</v>
      </c>
      <c r="C429" s="1">
        <v>44723</v>
      </c>
      <c r="D429" s="2">
        <v>0.59861111111111109</v>
      </c>
      <c r="E429" s="2">
        <v>6.9444444444444447E-4</v>
      </c>
      <c r="K429" t="s">
        <v>30</v>
      </c>
      <c r="L429" t="s">
        <v>31</v>
      </c>
      <c r="M429" t="s">
        <v>42</v>
      </c>
      <c r="N429">
        <v>53</v>
      </c>
      <c r="O429" t="s">
        <v>81</v>
      </c>
      <c r="P429" t="s">
        <v>34</v>
      </c>
      <c r="Q429">
        <v>4</v>
      </c>
      <c r="R429">
        <v>6</v>
      </c>
      <c r="S429">
        <v>6</v>
      </c>
      <c r="T429">
        <v>6</v>
      </c>
      <c r="U429">
        <v>5</v>
      </c>
      <c r="V429">
        <v>7</v>
      </c>
      <c r="W429" t="s">
        <v>51</v>
      </c>
      <c r="X429" t="s">
        <v>60</v>
      </c>
      <c r="Y429" t="s">
        <v>37</v>
      </c>
      <c r="Z429">
        <v>32</v>
      </c>
      <c r="AA429" t="s">
        <v>38</v>
      </c>
      <c r="AB429" t="s">
        <v>124</v>
      </c>
      <c r="AC429" t="s">
        <v>53</v>
      </c>
    </row>
    <row r="430" spans="1:29" x14ac:dyDescent="0.35">
      <c r="A430" t="s">
        <v>513</v>
      </c>
      <c r="B430" t="s">
        <v>29</v>
      </c>
      <c r="C430" s="1">
        <v>44723</v>
      </c>
      <c r="D430" s="2">
        <v>0.61597222222222225</v>
      </c>
      <c r="E430" s="2">
        <v>1.3425925925925925E-3</v>
      </c>
      <c r="K430" t="s">
        <v>30</v>
      </c>
      <c r="L430" t="s">
        <v>41</v>
      </c>
      <c r="M430" t="s">
        <v>49</v>
      </c>
      <c r="N430">
        <v>20</v>
      </c>
      <c r="O430" t="s">
        <v>76</v>
      </c>
      <c r="P430" t="s">
        <v>34</v>
      </c>
      <c r="Q430">
        <v>3</v>
      </c>
      <c r="R430">
        <v>4</v>
      </c>
      <c r="S430">
        <v>5</v>
      </c>
      <c r="T430">
        <v>5</v>
      </c>
      <c r="U430">
        <v>6</v>
      </c>
      <c r="V430">
        <v>6</v>
      </c>
      <c r="W430" t="s">
        <v>66</v>
      </c>
      <c r="X430" t="s">
        <v>60</v>
      </c>
      <c r="Y430" t="s">
        <v>37</v>
      </c>
      <c r="Z430">
        <v>31</v>
      </c>
      <c r="AA430" t="s">
        <v>50</v>
      </c>
      <c r="AB430" t="s">
        <v>126</v>
      </c>
      <c r="AC430" t="s">
        <v>46</v>
      </c>
    </row>
    <row r="431" spans="1:29" x14ac:dyDescent="0.35">
      <c r="A431" t="s">
        <v>514</v>
      </c>
      <c r="B431" t="s">
        <v>29</v>
      </c>
      <c r="C431" s="1">
        <v>44723</v>
      </c>
      <c r="D431" s="2">
        <v>0.62083333333333335</v>
      </c>
      <c r="E431" s="2">
        <v>0.44077546296296299</v>
      </c>
      <c r="K431" t="s">
        <v>30</v>
      </c>
      <c r="L431" t="s">
        <v>31</v>
      </c>
      <c r="M431" t="s">
        <v>55</v>
      </c>
      <c r="N431">
        <v>188</v>
      </c>
      <c r="O431" t="s">
        <v>78</v>
      </c>
      <c r="P431" t="s">
        <v>34</v>
      </c>
      <c r="Q431">
        <v>8</v>
      </c>
      <c r="R431">
        <v>7</v>
      </c>
      <c r="S431">
        <v>5</v>
      </c>
      <c r="T431">
        <v>4</v>
      </c>
      <c r="U431">
        <v>7</v>
      </c>
      <c r="V431">
        <v>7</v>
      </c>
      <c r="W431" t="s">
        <v>51</v>
      </c>
      <c r="X431" t="s">
        <v>36</v>
      </c>
      <c r="Y431" t="s">
        <v>37</v>
      </c>
      <c r="Z431">
        <v>30</v>
      </c>
      <c r="AA431" t="s">
        <v>50</v>
      </c>
      <c r="AB431" t="s">
        <v>120</v>
      </c>
      <c r="AC431" t="s">
        <v>39</v>
      </c>
    </row>
    <row r="432" spans="1:29" x14ac:dyDescent="0.35">
      <c r="A432" t="s">
        <v>515</v>
      </c>
      <c r="B432" t="s">
        <v>29</v>
      </c>
      <c r="C432" s="1">
        <v>44723</v>
      </c>
      <c r="D432" s="2">
        <v>0.62291666666666667</v>
      </c>
      <c r="E432" s="2">
        <v>1.689814814814815E-3</v>
      </c>
      <c r="K432" t="s">
        <v>86</v>
      </c>
      <c r="L432" t="s">
        <v>31</v>
      </c>
      <c r="M432" t="s">
        <v>49</v>
      </c>
      <c r="N432">
        <v>20</v>
      </c>
      <c r="O432" t="s">
        <v>50</v>
      </c>
      <c r="P432" t="s">
        <v>34</v>
      </c>
      <c r="Q432">
        <v>0</v>
      </c>
      <c r="R432">
        <v>6</v>
      </c>
      <c r="S432">
        <v>6</v>
      </c>
      <c r="T432">
        <v>2</v>
      </c>
      <c r="U432">
        <v>0</v>
      </c>
      <c r="V432">
        <v>3</v>
      </c>
      <c r="W432" t="s">
        <v>66</v>
      </c>
      <c r="X432" t="s">
        <v>60</v>
      </c>
      <c r="Y432" t="s">
        <v>37</v>
      </c>
      <c r="Z432">
        <v>23</v>
      </c>
      <c r="AA432" t="s">
        <v>45</v>
      </c>
      <c r="AB432" t="s">
        <v>124</v>
      </c>
      <c r="AC432" t="s">
        <v>46</v>
      </c>
    </row>
    <row r="433" spans="1:29" x14ac:dyDescent="0.35">
      <c r="A433" t="s">
        <v>516</v>
      </c>
      <c r="B433" t="s">
        <v>29</v>
      </c>
      <c r="C433" s="1">
        <v>44723</v>
      </c>
      <c r="D433" s="2">
        <v>0.6743055555555556</v>
      </c>
      <c r="E433" s="2">
        <v>1.5856481481481479E-3</v>
      </c>
      <c r="K433" t="s">
        <v>50</v>
      </c>
      <c r="L433" t="s">
        <v>41</v>
      </c>
      <c r="M433" t="s">
        <v>73</v>
      </c>
      <c r="N433">
        <v>76</v>
      </c>
      <c r="O433" t="s">
        <v>78</v>
      </c>
      <c r="P433" t="s">
        <v>44</v>
      </c>
      <c r="Q433">
        <v>7</v>
      </c>
      <c r="R433">
        <v>7</v>
      </c>
      <c r="S433">
        <v>6</v>
      </c>
      <c r="T433">
        <v>7</v>
      </c>
      <c r="U433">
        <v>6</v>
      </c>
      <c r="V433">
        <v>6</v>
      </c>
      <c r="W433" t="s">
        <v>51</v>
      </c>
      <c r="X433" t="s">
        <v>36</v>
      </c>
      <c r="Y433" t="s">
        <v>57</v>
      </c>
      <c r="Z433">
        <v>31</v>
      </c>
      <c r="AA433" t="s">
        <v>79</v>
      </c>
      <c r="AB433" t="s">
        <v>124</v>
      </c>
      <c r="AC433" t="s">
        <v>39</v>
      </c>
    </row>
    <row r="434" spans="1:29" x14ac:dyDescent="0.35">
      <c r="A434" t="s">
        <v>517</v>
      </c>
      <c r="B434" t="s">
        <v>29</v>
      </c>
      <c r="C434" s="1">
        <v>44723</v>
      </c>
      <c r="D434" s="2">
        <v>0.6958333333333333</v>
      </c>
      <c r="E434" s="2">
        <v>1.8518518518518517E-3</v>
      </c>
      <c r="K434" t="s">
        <v>30</v>
      </c>
      <c r="L434" t="s">
        <v>41</v>
      </c>
      <c r="M434" t="s">
        <v>42</v>
      </c>
      <c r="N434">
        <v>53</v>
      </c>
      <c r="O434" t="s">
        <v>50</v>
      </c>
      <c r="P434" t="s">
        <v>34</v>
      </c>
      <c r="Q434">
        <v>7</v>
      </c>
      <c r="R434">
        <v>5</v>
      </c>
      <c r="S434">
        <v>9</v>
      </c>
      <c r="T434">
        <v>9</v>
      </c>
      <c r="U434">
        <v>4</v>
      </c>
      <c r="V434">
        <v>9</v>
      </c>
      <c r="W434" t="s">
        <v>66</v>
      </c>
      <c r="X434" t="s">
        <v>52</v>
      </c>
      <c r="Y434" t="s">
        <v>57</v>
      </c>
      <c r="Z434">
        <v>29</v>
      </c>
      <c r="AA434" t="s">
        <v>50</v>
      </c>
      <c r="AB434" t="s">
        <v>126</v>
      </c>
      <c r="AC434" t="s">
        <v>53</v>
      </c>
    </row>
    <row r="435" spans="1:29" x14ac:dyDescent="0.35">
      <c r="A435" t="s">
        <v>518</v>
      </c>
      <c r="B435" t="s">
        <v>29</v>
      </c>
      <c r="C435" s="1">
        <v>44723</v>
      </c>
      <c r="D435" s="2">
        <v>0.70277777777777783</v>
      </c>
      <c r="E435" s="2">
        <v>1.8287037037037037E-3</v>
      </c>
      <c r="K435" t="s">
        <v>30</v>
      </c>
      <c r="L435" t="s">
        <v>31</v>
      </c>
      <c r="M435" t="s">
        <v>49</v>
      </c>
      <c r="N435">
        <v>20</v>
      </c>
      <c r="O435" t="s">
        <v>76</v>
      </c>
      <c r="P435" t="s">
        <v>34</v>
      </c>
      <c r="Q435">
        <v>5</v>
      </c>
      <c r="R435">
        <v>4</v>
      </c>
      <c r="S435">
        <v>4</v>
      </c>
      <c r="T435">
        <v>5</v>
      </c>
      <c r="U435">
        <v>7</v>
      </c>
      <c r="V435">
        <v>10</v>
      </c>
      <c r="W435" t="s">
        <v>66</v>
      </c>
      <c r="X435" t="s">
        <v>36</v>
      </c>
      <c r="Y435" t="s">
        <v>37</v>
      </c>
      <c r="Z435">
        <v>24</v>
      </c>
      <c r="AA435" t="s">
        <v>50</v>
      </c>
      <c r="AB435" t="s">
        <v>124</v>
      </c>
      <c r="AC435" t="s">
        <v>50</v>
      </c>
    </row>
    <row r="436" spans="1:29" x14ac:dyDescent="0.35">
      <c r="A436" t="s">
        <v>519</v>
      </c>
      <c r="B436" t="s">
        <v>29</v>
      </c>
      <c r="C436" s="1">
        <v>44723</v>
      </c>
      <c r="D436" s="2">
        <v>0.71180555555555547</v>
      </c>
      <c r="E436" s="2">
        <v>1.8287037037037037E-3</v>
      </c>
      <c r="K436" t="s">
        <v>50</v>
      </c>
      <c r="L436" t="s">
        <v>41</v>
      </c>
      <c r="M436" t="s">
        <v>42</v>
      </c>
      <c r="N436">
        <v>53</v>
      </c>
      <c r="O436" t="s">
        <v>50</v>
      </c>
      <c r="P436" t="s">
        <v>34</v>
      </c>
      <c r="Q436">
        <v>2</v>
      </c>
      <c r="R436">
        <v>7</v>
      </c>
      <c r="S436">
        <v>6</v>
      </c>
      <c r="T436">
        <v>5</v>
      </c>
      <c r="U436">
        <v>6</v>
      </c>
      <c r="V436">
        <v>4</v>
      </c>
      <c r="W436" t="s">
        <v>66</v>
      </c>
      <c r="X436" t="s">
        <v>60</v>
      </c>
      <c r="Y436" t="s">
        <v>37</v>
      </c>
      <c r="Z436">
        <v>36</v>
      </c>
      <c r="AA436" t="s">
        <v>38</v>
      </c>
      <c r="AB436" t="s">
        <v>126</v>
      </c>
      <c r="AC436" t="s">
        <v>46</v>
      </c>
    </row>
    <row r="437" spans="1:29" x14ac:dyDescent="0.35">
      <c r="A437" t="s">
        <v>520</v>
      </c>
      <c r="B437" t="s">
        <v>29</v>
      </c>
      <c r="C437" s="1">
        <v>44723</v>
      </c>
      <c r="D437" s="2">
        <v>0.72291666666666676</v>
      </c>
      <c r="E437" s="2">
        <v>1.7245370370370372E-3</v>
      </c>
      <c r="K437" t="s">
        <v>30</v>
      </c>
      <c r="L437" t="s">
        <v>31</v>
      </c>
      <c r="M437" t="s">
        <v>42</v>
      </c>
      <c r="N437">
        <v>53</v>
      </c>
      <c r="O437" t="s">
        <v>294</v>
      </c>
      <c r="P437" t="s">
        <v>44</v>
      </c>
      <c r="Q437">
        <v>4</v>
      </c>
      <c r="R437">
        <v>6</v>
      </c>
      <c r="S437">
        <v>6</v>
      </c>
      <c r="T437">
        <v>6</v>
      </c>
      <c r="U437">
        <v>6</v>
      </c>
      <c r="V437">
        <v>6</v>
      </c>
      <c r="W437" t="s">
        <v>59</v>
      </c>
      <c r="X437" t="s">
        <v>36</v>
      </c>
      <c r="Y437" t="s">
        <v>57</v>
      </c>
      <c r="Z437">
        <v>32</v>
      </c>
      <c r="AA437" t="s">
        <v>38</v>
      </c>
      <c r="AB437" t="s">
        <v>126</v>
      </c>
      <c r="AC437" t="s">
        <v>39</v>
      </c>
    </row>
    <row r="438" spans="1:29" x14ac:dyDescent="0.35">
      <c r="A438" t="s">
        <v>521</v>
      </c>
      <c r="B438" t="s">
        <v>29</v>
      </c>
      <c r="C438" s="1">
        <v>44723</v>
      </c>
      <c r="D438" s="2">
        <v>0.74513888888888891</v>
      </c>
      <c r="E438" s="2">
        <v>2.7199074074074074E-3</v>
      </c>
      <c r="K438" t="s">
        <v>50</v>
      </c>
      <c r="L438" t="s">
        <v>31</v>
      </c>
      <c r="M438" t="s">
        <v>68</v>
      </c>
      <c r="N438">
        <v>96</v>
      </c>
      <c r="O438" t="s">
        <v>33</v>
      </c>
      <c r="P438" t="s">
        <v>34</v>
      </c>
      <c r="Q438">
        <v>8</v>
      </c>
      <c r="R438">
        <v>9</v>
      </c>
      <c r="S438">
        <v>7</v>
      </c>
      <c r="T438">
        <v>7</v>
      </c>
      <c r="U438">
        <v>7</v>
      </c>
      <c r="V438">
        <v>9</v>
      </c>
      <c r="W438" t="s">
        <v>59</v>
      </c>
      <c r="X438" t="s">
        <v>36</v>
      </c>
      <c r="Y438" t="s">
        <v>57</v>
      </c>
      <c r="Z438">
        <v>36</v>
      </c>
      <c r="AA438" t="s">
        <v>38</v>
      </c>
      <c r="AB438" t="s">
        <v>124</v>
      </c>
      <c r="AC438" t="s">
        <v>39</v>
      </c>
    </row>
    <row r="439" spans="1:29" x14ac:dyDescent="0.35">
      <c r="A439" t="s">
        <v>522</v>
      </c>
      <c r="B439" t="s">
        <v>29</v>
      </c>
      <c r="C439" s="1">
        <v>44723</v>
      </c>
      <c r="D439" s="2">
        <v>0.75347222222222221</v>
      </c>
      <c r="E439" s="2">
        <v>1.3078703703703705E-3</v>
      </c>
      <c r="K439" t="s">
        <v>48</v>
      </c>
      <c r="L439" t="s">
        <v>41</v>
      </c>
      <c r="M439" t="s">
        <v>32</v>
      </c>
      <c r="N439">
        <v>116</v>
      </c>
      <c r="O439" t="s">
        <v>33</v>
      </c>
      <c r="P439" t="s">
        <v>50</v>
      </c>
      <c r="Q439">
        <v>8</v>
      </c>
      <c r="R439">
        <v>6</v>
      </c>
      <c r="S439">
        <v>5</v>
      </c>
      <c r="T439">
        <v>2</v>
      </c>
      <c r="U439">
        <v>3</v>
      </c>
      <c r="V439">
        <v>2</v>
      </c>
      <c r="W439" t="s">
        <v>51</v>
      </c>
      <c r="X439" t="s">
        <v>60</v>
      </c>
      <c r="Y439" t="s">
        <v>37</v>
      </c>
      <c r="Z439">
        <v>30</v>
      </c>
      <c r="AA439" t="s">
        <v>38</v>
      </c>
      <c r="AB439" t="s">
        <v>124</v>
      </c>
      <c r="AC439" t="s">
        <v>39</v>
      </c>
    </row>
    <row r="440" spans="1:29" x14ac:dyDescent="0.35">
      <c r="A440" t="s">
        <v>523</v>
      </c>
      <c r="B440" t="s">
        <v>29</v>
      </c>
      <c r="C440" s="1">
        <v>44723</v>
      </c>
      <c r="D440" s="2">
        <v>0.77083333333333337</v>
      </c>
      <c r="E440" s="2">
        <v>3.5763888888888894E-3</v>
      </c>
      <c r="K440" t="s">
        <v>86</v>
      </c>
      <c r="L440" t="s">
        <v>31</v>
      </c>
      <c r="M440" t="s">
        <v>49</v>
      </c>
      <c r="N440">
        <v>20</v>
      </c>
      <c r="O440" t="s">
        <v>50</v>
      </c>
      <c r="P440" t="s">
        <v>44</v>
      </c>
      <c r="Q440">
        <v>0</v>
      </c>
      <c r="R440">
        <v>2</v>
      </c>
      <c r="S440">
        <v>2</v>
      </c>
      <c r="T440">
        <v>3</v>
      </c>
      <c r="U440">
        <v>3</v>
      </c>
      <c r="V440">
        <v>4</v>
      </c>
      <c r="W440" t="s">
        <v>66</v>
      </c>
      <c r="X440" t="s">
        <v>52</v>
      </c>
      <c r="Y440" t="s">
        <v>37</v>
      </c>
      <c r="Z440">
        <v>42</v>
      </c>
      <c r="AA440" t="s">
        <v>50</v>
      </c>
      <c r="AB440" t="s">
        <v>126</v>
      </c>
      <c r="AC440" t="s">
        <v>53</v>
      </c>
    </row>
    <row r="441" spans="1:29" x14ac:dyDescent="0.35">
      <c r="A441" t="s">
        <v>524</v>
      </c>
      <c r="B441" t="s">
        <v>29</v>
      </c>
      <c r="C441" s="1">
        <v>44723</v>
      </c>
      <c r="D441" s="2">
        <v>0.77986111111111101</v>
      </c>
      <c r="E441" s="2">
        <v>2.3842592592592591E-3</v>
      </c>
      <c r="K441" t="s">
        <v>30</v>
      </c>
      <c r="L441" t="s">
        <v>31</v>
      </c>
      <c r="M441" t="s">
        <v>68</v>
      </c>
      <c r="N441">
        <v>96</v>
      </c>
      <c r="O441" t="s">
        <v>33</v>
      </c>
      <c r="P441" t="s">
        <v>50</v>
      </c>
      <c r="Q441">
        <v>6</v>
      </c>
      <c r="R441">
        <v>6</v>
      </c>
      <c r="S441">
        <v>6</v>
      </c>
      <c r="T441">
        <v>5</v>
      </c>
      <c r="U441">
        <v>4</v>
      </c>
      <c r="V441">
        <v>4</v>
      </c>
      <c r="W441" t="s">
        <v>51</v>
      </c>
      <c r="X441" t="s">
        <v>36</v>
      </c>
      <c r="Y441" t="s">
        <v>37</v>
      </c>
      <c r="Z441">
        <v>53</v>
      </c>
      <c r="AA441" t="s">
        <v>50</v>
      </c>
      <c r="AB441" t="s">
        <v>153</v>
      </c>
      <c r="AC441" t="s">
        <v>39</v>
      </c>
    </row>
    <row r="442" spans="1:29" x14ac:dyDescent="0.35">
      <c r="A442" t="s">
        <v>525</v>
      </c>
      <c r="B442" t="s">
        <v>29</v>
      </c>
      <c r="C442" s="1">
        <v>44723</v>
      </c>
      <c r="D442" s="2">
        <v>0.7895833333333333</v>
      </c>
      <c r="E442" s="2">
        <v>2.2800925925925927E-3</v>
      </c>
      <c r="K442" t="s">
        <v>30</v>
      </c>
      <c r="L442" t="s">
        <v>41</v>
      </c>
      <c r="M442" t="s">
        <v>49</v>
      </c>
      <c r="N442">
        <v>20</v>
      </c>
      <c r="O442" t="s">
        <v>43</v>
      </c>
      <c r="P442" t="s">
        <v>34</v>
      </c>
      <c r="Q442">
        <v>1</v>
      </c>
      <c r="R442">
        <v>7</v>
      </c>
      <c r="S442">
        <v>4</v>
      </c>
      <c r="T442">
        <v>10</v>
      </c>
      <c r="U442">
        <v>10</v>
      </c>
      <c r="V442">
        <v>10</v>
      </c>
      <c r="W442" t="s">
        <v>66</v>
      </c>
      <c r="X442" t="s">
        <v>60</v>
      </c>
      <c r="Y442" t="s">
        <v>37</v>
      </c>
      <c r="Z442">
        <v>25</v>
      </c>
      <c r="AA442" t="s">
        <v>50</v>
      </c>
      <c r="AB442" t="s">
        <v>120</v>
      </c>
      <c r="AC442" t="s">
        <v>50</v>
      </c>
    </row>
    <row r="443" spans="1:29" x14ac:dyDescent="0.35">
      <c r="A443" t="s">
        <v>526</v>
      </c>
      <c r="B443" t="s">
        <v>29</v>
      </c>
      <c r="C443" s="1">
        <v>44723</v>
      </c>
      <c r="D443" s="2">
        <v>0.79583333333333339</v>
      </c>
      <c r="E443" s="2">
        <v>1.6319444444444445E-3</v>
      </c>
      <c r="K443" t="s">
        <v>30</v>
      </c>
      <c r="L443" t="s">
        <v>41</v>
      </c>
      <c r="M443" t="s">
        <v>49</v>
      </c>
      <c r="N443">
        <v>20</v>
      </c>
      <c r="O443" t="s">
        <v>33</v>
      </c>
      <c r="P443" t="s">
        <v>34</v>
      </c>
      <c r="Q443">
        <v>1</v>
      </c>
      <c r="R443">
        <v>5</v>
      </c>
      <c r="S443">
        <v>4</v>
      </c>
      <c r="T443">
        <v>6</v>
      </c>
      <c r="U443">
        <v>5</v>
      </c>
      <c r="V443">
        <v>6</v>
      </c>
      <c r="W443" t="s">
        <v>66</v>
      </c>
      <c r="X443" t="s">
        <v>60</v>
      </c>
      <c r="Y443" t="s">
        <v>37</v>
      </c>
      <c r="Z443">
        <v>23</v>
      </c>
      <c r="AA443" t="s">
        <v>50</v>
      </c>
      <c r="AB443" t="s">
        <v>124</v>
      </c>
      <c r="AC443" t="s">
        <v>39</v>
      </c>
    </row>
    <row r="444" spans="1:29" x14ac:dyDescent="0.35">
      <c r="A444" t="s">
        <v>527</v>
      </c>
      <c r="B444" t="s">
        <v>29</v>
      </c>
      <c r="C444" s="1">
        <v>44723</v>
      </c>
      <c r="D444" s="2">
        <v>0.8125</v>
      </c>
      <c r="E444" s="2">
        <v>2.3726851851851851E-3</v>
      </c>
      <c r="K444" t="s">
        <v>30</v>
      </c>
      <c r="L444" t="s">
        <v>31</v>
      </c>
      <c r="M444" t="s">
        <v>49</v>
      </c>
      <c r="N444">
        <v>20</v>
      </c>
      <c r="O444" t="s">
        <v>327</v>
      </c>
      <c r="P444" t="s">
        <v>34</v>
      </c>
      <c r="Q444">
        <v>2</v>
      </c>
      <c r="R444">
        <v>1</v>
      </c>
      <c r="S444">
        <v>3</v>
      </c>
      <c r="T444">
        <v>3</v>
      </c>
      <c r="U444">
        <v>3</v>
      </c>
      <c r="V444">
        <v>4</v>
      </c>
      <c r="W444" t="s">
        <v>59</v>
      </c>
      <c r="X444" t="s">
        <v>60</v>
      </c>
      <c r="Y444" t="s">
        <v>37</v>
      </c>
      <c r="Z444">
        <v>36</v>
      </c>
      <c r="AA444" t="s">
        <v>50</v>
      </c>
      <c r="AB444" t="s">
        <v>124</v>
      </c>
      <c r="AC444" t="s">
        <v>50</v>
      </c>
    </row>
    <row r="445" spans="1:29" x14ac:dyDescent="0.35">
      <c r="A445" t="s">
        <v>528</v>
      </c>
      <c r="B445" t="s">
        <v>29</v>
      </c>
      <c r="C445" s="1">
        <v>44723</v>
      </c>
      <c r="D445" s="2">
        <v>0.81388888888888899</v>
      </c>
      <c r="E445" s="2">
        <v>6.7361111111111103E-3</v>
      </c>
      <c r="K445" t="s">
        <v>30</v>
      </c>
      <c r="L445" t="s">
        <v>31</v>
      </c>
      <c r="M445" t="s">
        <v>42</v>
      </c>
      <c r="N445">
        <v>53</v>
      </c>
      <c r="O445" t="s">
        <v>33</v>
      </c>
      <c r="P445" t="s">
        <v>50</v>
      </c>
      <c r="Q445" t="s">
        <v>128</v>
      </c>
      <c r="V445">
        <v>6</v>
      </c>
      <c r="W445" t="s">
        <v>51</v>
      </c>
      <c r="X445" t="s">
        <v>52</v>
      </c>
      <c r="Y445" t="s">
        <v>37</v>
      </c>
      <c r="Z445">
        <v>32</v>
      </c>
      <c r="AA445" t="s">
        <v>50</v>
      </c>
      <c r="AB445" t="s">
        <v>124</v>
      </c>
      <c r="AC445" t="s">
        <v>50</v>
      </c>
    </row>
    <row r="446" spans="1:29" x14ac:dyDescent="0.35">
      <c r="A446" t="s">
        <v>529</v>
      </c>
      <c r="B446" t="s">
        <v>29</v>
      </c>
      <c r="C446" s="1">
        <v>44723</v>
      </c>
      <c r="D446" s="2">
        <v>0.81736111111111109</v>
      </c>
      <c r="E446" s="2">
        <v>9.6064814814814808E-4</v>
      </c>
      <c r="K446" t="s">
        <v>30</v>
      </c>
      <c r="L446" t="s">
        <v>41</v>
      </c>
      <c r="M446" t="s">
        <v>68</v>
      </c>
      <c r="N446">
        <v>96</v>
      </c>
      <c r="O446" t="s">
        <v>43</v>
      </c>
      <c r="P446" t="s">
        <v>34</v>
      </c>
      <c r="Q446">
        <v>3</v>
      </c>
      <c r="R446">
        <v>6</v>
      </c>
      <c r="S446">
        <v>4</v>
      </c>
      <c r="T446">
        <v>2</v>
      </c>
      <c r="U446">
        <v>2</v>
      </c>
      <c r="V446">
        <v>3</v>
      </c>
      <c r="W446" t="s">
        <v>59</v>
      </c>
      <c r="X446" t="s">
        <v>50</v>
      </c>
      <c r="Y446" t="s">
        <v>37</v>
      </c>
      <c r="Z446">
        <v>25</v>
      </c>
      <c r="AA446" t="s">
        <v>38</v>
      </c>
      <c r="AB446" t="s">
        <v>126</v>
      </c>
      <c r="AC446" t="s">
        <v>71</v>
      </c>
    </row>
    <row r="447" spans="1:29" x14ac:dyDescent="0.35">
      <c r="A447" t="s">
        <v>530</v>
      </c>
      <c r="B447" t="s">
        <v>29</v>
      </c>
      <c r="C447" s="1">
        <v>44723</v>
      </c>
      <c r="D447" s="2">
        <v>0.87013888888888891</v>
      </c>
      <c r="E447" s="2">
        <v>2.3032407407407407E-3</v>
      </c>
      <c r="K447" t="s">
        <v>48</v>
      </c>
      <c r="L447" t="s">
        <v>31</v>
      </c>
      <c r="M447" t="s">
        <v>42</v>
      </c>
      <c r="N447">
        <v>53</v>
      </c>
      <c r="O447" t="s">
        <v>76</v>
      </c>
      <c r="P447" t="s">
        <v>34</v>
      </c>
      <c r="Q447">
        <v>4</v>
      </c>
      <c r="R447">
        <v>4</v>
      </c>
      <c r="S447">
        <v>3</v>
      </c>
      <c r="T447">
        <v>4</v>
      </c>
      <c r="U447">
        <v>4</v>
      </c>
      <c r="V447">
        <v>5</v>
      </c>
      <c r="W447" t="s">
        <v>66</v>
      </c>
      <c r="X447" t="s">
        <v>36</v>
      </c>
      <c r="Y447" t="s">
        <v>57</v>
      </c>
      <c r="Z447">
        <v>35</v>
      </c>
      <c r="AA447" t="s">
        <v>79</v>
      </c>
      <c r="AB447" t="s">
        <v>126</v>
      </c>
      <c r="AC447" t="s">
        <v>46</v>
      </c>
    </row>
    <row r="448" spans="1:29" x14ac:dyDescent="0.35">
      <c r="A448" t="s">
        <v>531</v>
      </c>
      <c r="B448" t="s">
        <v>29</v>
      </c>
      <c r="C448" s="1">
        <v>44723</v>
      </c>
      <c r="D448" s="2">
        <v>0.87847222222222221</v>
      </c>
      <c r="E448" s="2">
        <v>9.1435185185185185E-4</v>
      </c>
      <c r="K448" t="s">
        <v>30</v>
      </c>
      <c r="L448" t="s">
        <v>31</v>
      </c>
      <c r="M448" t="s">
        <v>73</v>
      </c>
      <c r="N448">
        <v>76</v>
      </c>
      <c r="O448" t="s">
        <v>50</v>
      </c>
      <c r="P448" t="s">
        <v>44</v>
      </c>
      <c r="Q448">
        <v>3</v>
      </c>
      <c r="R448">
        <v>4</v>
      </c>
      <c r="S448">
        <v>4</v>
      </c>
      <c r="T448">
        <v>5</v>
      </c>
      <c r="U448">
        <v>4</v>
      </c>
      <c r="V448">
        <v>4</v>
      </c>
      <c r="W448" t="s">
        <v>56</v>
      </c>
      <c r="X448" t="s">
        <v>60</v>
      </c>
      <c r="Y448" t="s">
        <v>37</v>
      </c>
      <c r="Z448">
        <v>26</v>
      </c>
      <c r="AA448" t="s">
        <v>38</v>
      </c>
      <c r="AB448" t="s">
        <v>124</v>
      </c>
      <c r="AC448" t="s">
        <v>39</v>
      </c>
    </row>
    <row r="449" spans="1:29" x14ac:dyDescent="0.35">
      <c r="A449" t="s">
        <v>532</v>
      </c>
      <c r="B449" t="s">
        <v>29</v>
      </c>
      <c r="C449" s="1">
        <v>44723</v>
      </c>
      <c r="D449" s="2">
        <v>0.88055555555555554</v>
      </c>
      <c r="E449" s="2">
        <v>7.7546296296296304E-4</v>
      </c>
      <c r="K449" t="s">
        <v>86</v>
      </c>
      <c r="L449" t="s">
        <v>41</v>
      </c>
      <c r="M449" t="s">
        <v>49</v>
      </c>
      <c r="N449">
        <v>20</v>
      </c>
      <c r="O449" t="s">
        <v>76</v>
      </c>
      <c r="P449" t="s">
        <v>34</v>
      </c>
      <c r="Q449">
        <v>2</v>
      </c>
      <c r="R449">
        <v>7</v>
      </c>
      <c r="S449">
        <v>9</v>
      </c>
      <c r="T449">
        <v>7</v>
      </c>
      <c r="U449">
        <v>3</v>
      </c>
      <c r="V449">
        <v>3</v>
      </c>
      <c r="W449" t="s">
        <v>59</v>
      </c>
      <c r="X449" t="s">
        <v>36</v>
      </c>
      <c r="Y449" t="s">
        <v>37</v>
      </c>
      <c r="Z449">
        <v>22</v>
      </c>
      <c r="AA449" t="s">
        <v>38</v>
      </c>
      <c r="AB449" t="s">
        <v>124</v>
      </c>
      <c r="AC449" t="s">
        <v>39</v>
      </c>
    </row>
    <row r="450" spans="1:29" x14ac:dyDescent="0.35">
      <c r="A450" t="s">
        <v>533</v>
      </c>
      <c r="B450" t="s">
        <v>29</v>
      </c>
      <c r="C450" s="1">
        <v>44723</v>
      </c>
      <c r="D450" s="2">
        <v>0.92569444444444438</v>
      </c>
      <c r="E450" s="2">
        <v>1.1921296296296296E-3</v>
      </c>
      <c r="K450" t="s">
        <v>63</v>
      </c>
      <c r="L450" t="s">
        <v>31</v>
      </c>
      <c r="M450" t="s">
        <v>68</v>
      </c>
      <c r="N450">
        <v>96</v>
      </c>
      <c r="O450" t="s">
        <v>50</v>
      </c>
      <c r="P450" t="s">
        <v>34</v>
      </c>
      <c r="Q450">
        <v>6</v>
      </c>
      <c r="R450">
        <v>8</v>
      </c>
      <c r="S450">
        <v>10</v>
      </c>
      <c r="T450">
        <v>9</v>
      </c>
      <c r="U450">
        <v>6</v>
      </c>
      <c r="V450">
        <v>8</v>
      </c>
      <c r="W450" t="s">
        <v>66</v>
      </c>
      <c r="X450" t="s">
        <v>60</v>
      </c>
      <c r="Y450" t="s">
        <v>37</v>
      </c>
      <c r="Z450">
        <v>30</v>
      </c>
      <c r="AA450" t="s">
        <v>45</v>
      </c>
      <c r="AB450" t="s">
        <v>126</v>
      </c>
      <c r="AC450" t="s">
        <v>46</v>
      </c>
    </row>
    <row r="451" spans="1:29" x14ac:dyDescent="0.35">
      <c r="A451" t="s">
        <v>534</v>
      </c>
      <c r="B451" t="s">
        <v>29</v>
      </c>
      <c r="C451" s="1">
        <v>44723</v>
      </c>
      <c r="D451" s="2">
        <v>0.93541666666666667</v>
      </c>
      <c r="E451" s="2">
        <v>1.8171296296296297E-3</v>
      </c>
      <c r="K451" t="s">
        <v>30</v>
      </c>
      <c r="L451" t="s">
        <v>31</v>
      </c>
      <c r="M451" t="s">
        <v>73</v>
      </c>
      <c r="N451">
        <v>76</v>
      </c>
      <c r="O451" t="s">
        <v>50</v>
      </c>
      <c r="P451" t="s">
        <v>34</v>
      </c>
      <c r="Q451">
        <v>2</v>
      </c>
      <c r="R451">
        <v>8</v>
      </c>
      <c r="S451">
        <v>6</v>
      </c>
      <c r="T451">
        <v>1</v>
      </c>
      <c r="U451">
        <v>8</v>
      </c>
      <c r="V451">
        <v>10</v>
      </c>
      <c r="W451" t="s">
        <v>66</v>
      </c>
      <c r="X451" t="s">
        <v>60</v>
      </c>
      <c r="Y451" t="s">
        <v>37</v>
      </c>
      <c r="Z451">
        <v>36</v>
      </c>
      <c r="AA451" t="s">
        <v>38</v>
      </c>
      <c r="AB451" t="s">
        <v>126</v>
      </c>
      <c r="AC451" t="s">
        <v>39</v>
      </c>
    </row>
    <row r="452" spans="1:29" x14ac:dyDescent="0.35">
      <c r="A452" t="s">
        <v>535</v>
      </c>
      <c r="B452" t="s">
        <v>29</v>
      </c>
      <c r="C452" s="1">
        <v>44723</v>
      </c>
      <c r="D452" s="2">
        <v>0.94652777777777775</v>
      </c>
      <c r="E452" s="2">
        <v>1.6782407407407406E-3</v>
      </c>
      <c r="K452" t="s">
        <v>30</v>
      </c>
      <c r="L452" t="s">
        <v>31</v>
      </c>
      <c r="M452" t="s">
        <v>73</v>
      </c>
      <c r="N452">
        <v>76</v>
      </c>
      <c r="O452" t="s">
        <v>33</v>
      </c>
      <c r="P452" t="s">
        <v>44</v>
      </c>
      <c r="Q452">
        <v>4</v>
      </c>
      <c r="R452">
        <v>4</v>
      </c>
      <c r="S452">
        <v>5</v>
      </c>
      <c r="T452">
        <v>5</v>
      </c>
      <c r="U452">
        <v>4</v>
      </c>
      <c r="V452">
        <v>6</v>
      </c>
      <c r="W452" t="s">
        <v>66</v>
      </c>
      <c r="X452" t="s">
        <v>50</v>
      </c>
      <c r="Y452" t="s">
        <v>57</v>
      </c>
      <c r="Z452">
        <v>30</v>
      </c>
      <c r="AA452" t="s">
        <v>38</v>
      </c>
      <c r="AB452" t="s">
        <v>126</v>
      </c>
      <c r="AC452" t="s">
        <v>39</v>
      </c>
    </row>
    <row r="453" spans="1:29" x14ac:dyDescent="0.35">
      <c r="A453" t="s">
        <v>536</v>
      </c>
      <c r="B453" t="s">
        <v>29</v>
      </c>
      <c r="C453" s="1">
        <v>44723</v>
      </c>
      <c r="D453" s="2">
        <v>0.96111111111111114</v>
      </c>
      <c r="E453" s="2">
        <v>1.0995370370370371E-3</v>
      </c>
      <c r="K453" t="s">
        <v>63</v>
      </c>
      <c r="L453" t="s">
        <v>31</v>
      </c>
      <c r="M453" t="s">
        <v>32</v>
      </c>
      <c r="N453">
        <v>116</v>
      </c>
      <c r="O453" t="s">
        <v>43</v>
      </c>
      <c r="P453" t="s">
        <v>34</v>
      </c>
      <c r="Q453">
        <v>9</v>
      </c>
      <c r="R453">
        <v>8</v>
      </c>
      <c r="S453">
        <v>10</v>
      </c>
      <c r="T453">
        <v>10</v>
      </c>
      <c r="U453">
        <v>10</v>
      </c>
      <c r="V453">
        <v>10</v>
      </c>
      <c r="W453" t="s">
        <v>59</v>
      </c>
      <c r="X453" t="s">
        <v>36</v>
      </c>
      <c r="Y453" t="s">
        <v>37</v>
      </c>
      <c r="Z453">
        <v>29</v>
      </c>
      <c r="AA453" t="s">
        <v>38</v>
      </c>
      <c r="AB453" t="s">
        <v>124</v>
      </c>
      <c r="AC453" t="s">
        <v>46</v>
      </c>
    </row>
    <row r="454" spans="1:29" x14ac:dyDescent="0.35">
      <c r="A454" t="s">
        <v>537</v>
      </c>
      <c r="B454" t="s">
        <v>29</v>
      </c>
      <c r="C454" s="1">
        <v>44723</v>
      </c>
      <c r="D454" s="2">
        <v>0.97083333333333333</v>
      </c>
      <c r="E454" s="2">
        <v>3.3217592592592591E-3</v>
      </c>
      <c r="K454" t="s">
        <v>50</v>
      </c>
      <c r="L454" t="s">
        <v>31</v>
      </c>
      <c r="M454" t="s">
        <v>73</v>
      </c>
      <c r="N454">
        <v>76</v>
      </c>
      <c r="O454" t="s">
        <v>50</v>
      </c>
      <c r="P454" t="s">
        <v>44</v>
      </c>
      <c r="Q454">
        <v>8</v>
      </c>
      <c r="R454">
        <v>10</v>
      </c>
      <c r="S454">
        <v>10</v>
      </c>
      <c r="T454">
        <v>7</v>
      </c>
      <c r="U454">
        <v>8</v>
      </c>
      <c r="V454">
        <v>5</v>
      </c>
      <c r="W454" t="s">
        <v>59</v>
      </c>
      <c r="X454" t="s">
        <v>50</v>
      </c>
      <c r="Y454" t="s">
        <v>37</v>
      </c>
      <c r="Z454">
        <v>30</v>
      </c>
      <c r="AA454" t="s">
        <v>38</v>
      </c>
      <c r="AB454" t="s">
        <v>126</v>
      </c>
      <c r="AC454" t="s">
        <v>39</v>
      </c>
    </row>
    <row r="455" spans="1:29" x14ac:dyDescent="0.35">
      <c r="A455" t="s">
        <v>538</v>
      </c>
      <c r="B455" t="s">
        <v>29</v>
      </c>
      <c r="C455" s="1">
        <v>44723</v>
      </c>
      <c r="D455" s="2">
        <v>0.98541666666666661</v>
      </c>
      <c r="E455" s="2">
        <v>7.291666666666667E-4</v>
      </c>
      <c r="K455" t="s">
        <v>48</v>
      </c>
      <c r="L455" t="s">
        <v>41</v>
      </c>
      <c r="M455" t="s">
        <v>42</v>
      </c>
      <c r="N455">
        <v>53</v>
      </c>
      <c r="O455" t="s">
        <v>43</v>
      </c>
      <c r="P455" t="s">
        <v>34</v>
      </c>
      <c r="Q455">
        <v>0</v>
      </c>
      <c r="R455">
        <v>6</v>
      </c>
      <c r="S455">
        <v>6</v>
      </c>
      <c r="T455">
        <v>6</v>
      </c>
      <c r="U455">
        <v>6</v>
      </c>
      <c r="V455">
        <v>6</v>
      </c>
      <c r="W455" t="s">
        <v>56</v>
      </c>
      <c r="X455" t="s">
        <v>60</v>
      </c>
      <c r="Y455" t="s">
        <v>37</v>
      </c>
      <c r="Z455">
        <v>24</v>
      </c>
      <c r="AA455" t="s">
        <v>38</v>
      </c>
      <c r="AB455" t="s">
        <v>124</v>
      </c>
      <c r="AC455" t="s">
        <v>53</v>
      </c>
    </row>
    <row r="456" spans="1:29" x14ac:dyDescent="0.35">
      <c r="A456" t="s">
        <v>539</v>
      </c>
      <c r="B456" t="s">
        <v>29</v>
      </c>
      <c r="C456" s="1">
        <v>44724</v>
      </c>
      <c r="D456" s="2">
        <v>2.013888888888889E-2</v>
      </c>
      <c r="E456" s="2">
        <v>1.1226851851851851E-3</v>
      </c>
      <c r="K456" t="s">
        <v>48</v>
      </c>
      <c r="L456" t="s">
        <v>31</v>
      </c>
      <c r="M456" t="s">
        <v>464</v>
      </c>
      <c r="N456" t="s">
        <v>128</v>
      </c>
      <c r="O456" t="s">
        <v>76</v>
      </c>
      <c r="P456" t="s">
        <v>50</v>
      </c>
      <c r="Q456">
        <v>3</v>
      </c>
      <c r="R456">
        <v>3</v>
      </c>
      <c r="S456">
        <v>4</v>
      </c>
      <c r="T456">
        <v>4</v>
      </c>
      <c r="U456">
        <v>3</v>
      </c>
      <c r="V456">
        <v>5</v>
      </c>
      <c r="W456" t="s">
        <v>66</v>
      </c>
      <c r="X456" t="s">
        <v>60</v>
      </c>
      <c r="Y456" t="s">
        <v>37</v>
      </c>
      <c r="Z456">
        <v>33</v>
      </c>
      <c r="AA456" t="s">
        <v>38</v>
      </c>
      <c r="AB456" t="s">
        <v>124</v>
      </c>
      <c r="AC456" t="s">
        <v>46</v>
      </c>
    </row>
    <row r="457" spans="1:29" x14ac:dyDescent="0.35">
      <c r="A457" t="s">
        <v>540</v>
      </c>
      <c r="B457" t="s">
        <v>29</v>
      </c>
      <c r="C457" s="1">
        <v>44724</v>
      </c>
      <c r="D457" s="2">
        <v>3.6111111111111115E-2</v>
      </c>
      <c r="E457" s="2">
        <v>1.1226851851851851E-3</v>
      </c>
      <c r="K457" t="s">
        <v>30</v>
      </c>
      <c r="L457" t="s">
        <v>41</v>
      </c>
      <c r="M457" t="s">
        <v>32</v>
      </c>
      <c r="N457">
        <v>116</v>
      </c>
      <c r="O457" t="s">
        <v>50</v>
      </c>
      <c r="P457" t="s">
        <v>34</v>
      </c>
      <c r="Q457">
        <v>10</v>
      </c>
      <c r="R457">
        <v>10</v>
      </c>
      <c r="S457">
        <v>10</v>
      </c>
      <c r="T457">
        <v>10</v>
      </c>
      <c r="U457">
        <v>10</v>
      </c>
      <c r="V457">
        <v>6</v>
      </c>
      <c r="W457" t="s">
        <v>51</v>
      </c>
      <c r="X457" t="s">
        <v>60</v>
      </c>
      <c r="Y457" t="s">
        <v>57</v>
      </c>
      <c r="Z457">
        <v>42</v>
      </c>
      <c r="AA457" t="s">
        <v>38</v>
      </c>
      <c r="AB457" t="s">
        <v>124</v>
      </c>
      <c r="AC457" t="s">
        <v>39</v>
      </c>
    </row>
    <row r="458" spans="1:29" x14ac:dyDescent="0.35">
      <c r="A458" t="s">
        <v>541</v>
      </c>
      <c r="B458" t="s">
        <v>29</v>
      </c>
      <c r="C458" s="1">
        <v>44724</v>
      </c>
      <c r="D458" s="2">
        <v>4.027777777777778E-2</v>
      </c>
      <c r="E458" s="2">
        <v>1.3194444444444443E-3</v>
      </c>
      <c r="K458" t="s">
        <v>30</v>
      </c>
      <c r="L458" t="s">
        <v>31</v>
      </c>
      <c r="M458" t="s">
        <v>42</v>
      </c>
      <c r="N458">
        <v>53</v>
      </c>
      <c r="O458" t="s">
        <v>33</v>
      </c>
      <c r="P458" t="s">
        <v>34</v>
      </c>
      <c r="Q458">
        <v>1</v>
      </c>
      <c r="R458">
        <v>10</v>
      </c>
      <c r="S458">
        <v>10</v>
      </c>
      <c r="T458">
        <v>8</v>
      </c>
      <c r="U458">
        <v>10</v>
      </c>
      <c r="V458">
        <v>3</v>
      </c>
      <c r="W458" t="s">
        <v>66</v>
      </c>
      <c r="X458" t="s">
        <v>60</v>
      </c>
      <c r="Y458" t="s">
        <v>57</v>
      </c>
      <c r="Z458">
        <v>36</v>
      </c>
      <c r="AA458" t="s">
        <v>38</v>
      </c>
      <c r="AB458" t="s">
        <v>124</v>
      </c>
      <c r="AC458" t="s">
        <v>39</v>
      </c>
    </row>
    <row r="459" spans="1:29" x14ac:dyDescent="0.35">
      <c r="A459" t="s">
        <v>542</v>
      </c>
      <c r="B459" t="s">
        <v>29</v>
      </c>
      <c r="C459" s="1">
        <v>44724</v>
      </c>
      <c r="D459" s="2">
        <v>4.7222222222222221E-2</v>
      </c>
      <c r="E459" s="2">
        <v>1.1921296296296296E-3</v>
      </c>
      <c r="K459" t="s">
        <v>30</v>
      </c>
      <c r="L459" t="s">
        <v>31</v>
      </c>
      <c r="M459" t="s">
        <v>42</v>
      </c>
      <c r="N459">
        <v>53</v>
      </c>
      <c r="O459" t="s">
        <v>50</v>
      </c>
      <c r="P459" t="s">
        <v>34</v>
      </c>
      <c r="Q459">
        <v>2</v>
      </c>
      <c r="R459">
        <v>3</v>
      </c>
      <c r="S459">
        <v>7</v>
      </c>
      <c r="T459">
        <v>6</v>
      </c>
      <c r="U459">
        <v>5</v>
      </c>
      <c r="V459">
        <v>6</v>
      </c>
      <c r="W459" t="s">
        <v>66</v>
      </c>
      <c r="X459" t="s">
        <v>60</v>
      </c>
      <c r="Y459" t="s">
        <v>37</v>
      </c>
      <c r="Z459">
        <v>27</v>
      </c>
      <c r="AA459" t="s">
        <v>38</v>
      </c>
      <c r="AB459" t="s">
        <v>124</v>
      </c>
      <c r="AC459" t="s">
        <v>39</v>
      </c>
    </row>
    <row r="460" spans="1:29" x14ac:dyDescent="0.35">
      <c r="A460" t="s">
        <v>543</v>
      </c>
      <c r="B460" t="s">
        <v>29</v>
      </c>
      <c r="C460" s="1">
        <v>44724</v>
      </c>
      <c r="D460" s="2">
        <v>0.11319444444444444</v>
      </c>
      <c r="E460" s="2">
        <v>1.0995370370370371E-3</v>
      </c>
      <c r="K460" t="s">
        <v>30</v>
      </c>
      <c r="L460" t="s">
        <v>41</v>
      </c>
      <c r="M460" t="s">
        <v>49</v>
      </c>
      <c r="N460">
        <v>20</v>
      </c>
      <c r="O460" t="s">
        <v>76</v>
      </c>
      <c r="P460" t="s">
        <v>34</v>
      </c>
      <c r="Q460">
        <v>8</v>
      </c>
      <c r="R460">
        <v>7</v>
      </c>
      <c r="S460">
        <v>8</v>
      </c>
      <c r="T460">
        <v>7</v>
      </c>
      <c r="U460">
        <v>7</v>
      </c>
      <c r="V460">
        <v>9</v>
      </c>
      <c r="W460" t="s">
        <v>51</v>
      </c>
      <c r="X460" t="s">
        <v>50</v>
      </c>
      <c r="Y460" t="s">
        <v>57</v>
      </c>
      <c r="Z460">
        <v>21</v>
      </c>
      <c r="AA460" t="s">
        <v>95</v>
      </c>
      <c r="AB460" t="s">
        <v>124</v>
      </c>
      <c r="AC460" t="s">
        <v>46</v>
      </c>
    </row>
    <row r="461" spans="1:29" x14ac:dyDescent="0.35">
      <c r="A461" t="s">
        <v>544</v>
      </c>
      <c r="B461" t="s">
        <v>29</v>
      </c>
      <c r="C461" s="1">
        <v>44724</v>
      </c>
      <c r="D461" s="2">
        <v>0.11944444444444445</v>
      </c>
      <c r="E461" s="2">
        <v>1.0532407407407407E-3</v>
      </c>
      <c r="K461" t="s">
        <v>30</v>
      </c>
      <c r="L461" t="s">
        <v>31</v>
      </c>
      <c r="M461" t="s">
        <v>42</v>
      </c>
      <c r="N461">
        <v>53</v>
      </c>
      <c r="O461" t="s">
        <v>33</v>
      </c>
      <c r="P461" t="s">
        <v>34</v>
      </c>
      <c r="Q461">
        <v>8</v>
      </c>
      <c r="R461">
        <v>5</v>
      </c>
      <c r="S461">
        <v>8</v>
      </c>
      <c r="T461">
        <v>8</v>
      </c>
      <c r="U461">
        <v>5</v>
      </c>
      <c r="V461">
        <v>10</v>
      </c>
      <c r="W461" t="s">
        <v>59</v>
      </c>
      <c r="X461" t="s">
        <v>36</v>
      </c>
      <c r="Y461" t="s">
        <v>57</v>
      </c>
      <c r="Z461">
        <v>34</v>
      </c>
      <c r="AA461" t="s">
        <v>50</v>
      </c>
      <c r="AB461" t="s">
        <v>126</v>
      </c>
      <c r="AC461" t="s">
        <v>39</v>
      </c>
    </row>
    <row r="462" spans="1:29" x14ac:dyDescent="0.35">
      <c r="A462" t="s">
        <v>545</v>
      </c>
      <c r="B462" t="s">
        <v>29</v>
      </c>
      <c r="C462" s="1">
        <v>44724</v>
      </c>
      <c r="D462" s="2">
        <v>0.12708333333333333</v>
      </c>
      <c r="E462" s="2">
        <v>9.2592592592592585E-4</v>
      </c>
      <c r="K462" t="s">
        <v>86</v>
      </c>
      <c r="L462" t="s">
        <v>41</v>
      </c>
      <c r="M462" t="s">
        <v>49</v>
      </c>
      <c r="N462">
        <v>20</v>
      </c>
      <c r="O462" t="s">
        <v>78</v>
      </c>
      <c r="P462" t="s">
        <v>34</v>
      </c>
      <c r="Q462">
        <v>2</v>
      </c>
      <c r="R462">
        <v>5</v>
      </c>
      <c r="S462">
        <v>5</v>
      </c>
      <c r="T462">
        <v>5</v>
      </c>
      <c r="U462">
        <v>2</v>
      </c>
      <c r="V462">
        <v>4</v>
      </c>
      <c r="W462" t="s">
        <v>59</v>
      </c>
      <c r="X462" t="s">
        <v>60</v>
      </c>
      <c r="Y462" t="s">
        <v>37</v>
      </c>
      <c r="Z462">
        <v>27</v>
      </c>
      <c r="AA462" t="s">
        <v>50</v>
      </c>
      <c r="AB462" t="s">
        <v>124</v>
      </c>
      <c r="AC462" t="s">
        <v>39</v>
      </c>
    </row>
    <row r="463" spans="1:29" x14ac:dyDescent="0.35">
      <c r="A463" t="s">
        <v>546</v>
      </c>
      <c r="B463" t="s">
        <v>29</v>
      </c>
      <c r="C463" s="1">
        <v>44724</v>
      </c>
      <c r="D463" s="2">
        <v>0.15625</v>
      </c>
      <c r="E463" s="2">
        <v>1.3657407407407409E-3</v>
      </c>
      <c r="K463" t="s">
        <v>50</v>
      </c>
      <c r="L463" t="s">
        <v>31</v>
      </c>
      <c r="M463" t="s">
        <v>49</v>
      </c>
      <c r="N463">
        <v>20</v>
      </c>
      <c r="O463" t="s">
        <v>76</v>
      </c>
      <c r="P463" t="s">
        <v>34</v>
      </c>
      <c r="Q463">
        <v>7</v>
      </c>
      <c r="R463">
        <v>8</v>
      </c>
      <c r="S463">
        <v>8</v>
      </c>
      <c r="T463">
        <v>8</v>
      </c>
      <c r="U463">
        <v>8</v>
      </c>
      <c r="V463">
        <v>7</v>
      </c>
      <c r="W463" t="s">
        <v>66</v>
      </c>
      <c r="X463" t="s">
        <v>82</v>
      </c>
      <c r="Y463" t="s">
        <v>37</v>
      </c>
      <c r="Z463">
        <v>27</v>
      </c>
      <c r="AA463" t="s">
        <v>50</v>
      </c>
      <c r="AB463" t="s">
        <v>126</v>
      </c>
      <c r="AC463" t="s">
        <v>39</v>
      </c>
    </row>
    <row r="464" spans="1:29" x14ac:dyDescent="0.35">
      <c r="A464" t="s">
        <v>547</v>
      </c>
      <c r="B464" t="s">
        <v>29</v>
      </c>
      <c r="C464" s="1">
        <v>44724</v>
      </c>
      <c r="D464" s="2">
        <v>0.16597222222222222</v>
      </c>
      <c r="E464" s="2">
        <v>2.4768518518518516E-3</v>
      </c>
      <c r="K464" t="s">
        <v>86</v>
      </c>
      <c r="L464" t="s">
        <v>41</v>
      </c>
      <c r="M464" t="s">
        <v>49</v>
      </c>
      <c r="N464">
        <v>20</v>
      </c>
      <c r="O464" t="s">
        <v>78</v>
      </c>
      <c r="P464" t="s">
        <v>44</v>
      </c>
      <c r="Q464">
        <v>1</v>
      </c>
      <c r="R464">
        <v>1</v>
      </c>
      <c r="S464">
        <v>2</v>
      </c>
      <c r="T464">
        <v>1</v>
      </c>
      <c r="U464">
        <v>0</v>
      </c>
      <c r="V464">
        <v>3</v>
      </c>
      <c r="W464" t="s">
        <v>66</v>
      </c>
      <c r="X464" t="s">
        <v>52</v>
      </c>
      <c r="Y464" t="s">
        <v>37</v>
      </c>
      <c r="Z464">
        <v>30</v>
      </c>
      <c r="AA464" t="s">
        <v>50</v>
      </c>
      <c r="AB464" t="s">
        <v>133</v>
      </c>
      <c r="AC464" t="s">
        <v>50</v>
      </c>
    </row>
    <row r="465" spans="1:29" x14ac:dyDescent="0.35">
      <c r="A465" t="s">
        <v>548</v>
      </c>
      <c r="B465" t="s">
        <v>29</v>
      </c>
      <c r="C465" s="1">
        <v>44724</v>
      </c>
      <c r="D465" s="2">
        <v>0.16666666666666666</v>
      </c>
      <c r="E465" s="2">
        <v>1.0300925925925926E-3</v>
      </c>
      <c r="K465" t="s">
        <v>30</v>
      </c>
      <c r="L465" t="s">
        <v>31</v>
      </c>
      <c r="M465" t="s">
        <v>73</v>
      </c>
      <c r="N465">
        <v>76</v>
      </c>
      <c r="O465" t="s">
        <v>50</v>
      </c>
      <c r="P465" t="s">
        <v>50</v>
      </c>
      <c r="Q465">
        <v>2</v>
      </c>
      <c r="R465">
        <v>0</v>
      </c>
      <c r="S465">
        <v>0</v>
      </c>
      <c r="T465">
        <v>0</v>
      </c>
      <c r="U465">
        <v>0</v>
      </c>
      <c r="V465">
        <v>2</v>
      </c>
      <c r="W465" t="s">
        <v>59</v>
      </c>
      <c r="X465" t="s">
        <v>60</v>
      </c>
      <c r="Y465" t="s">
        <v>57</v>
      </c>
      <c r="Z465">
        <v>33</v>
      </c>
      <c r="AA465" t="s">
        <v>38</v>
      </c>
      <c r="AB465" t="s">
        <v>124</v>
      </c>
      <c r="AC465" t="s">
        <v>39</v>
      </c>
    </row>
    <row r="466" spans="1:29" x14ac:dyDescent="0.35">
      <c r="A466" t="s">
        <v>549</v>
      </c>
      <c r="B466" t="s">
        <v>29</v>
      </c>
      <c r="C466" s="1">
        <v>44724</v>
      </c>
      <c r="D466" s="2">
        <v>0.17847222222222223</v>
      </c>
      <c r="E466" s="2">
        <v>1.3541666666666667E-3</v>
      </c>
      <c r="K466" t="s">
        <v>30</v>
      </c>
      <c r="L466" t="s">
        <v>31</v>
      </c>
      <c r="M466" t="s">
        <v>68</v>
      </c>
      <c r="N466">
        <v>96</v>
      </c>
      <c r="O466" t="s">
        <v>43</v>
      </c>
      <c r="P466" t="s">
        <v>34</v>
      </c>
      <c r="Q466">
        <v>3</v>
      </c>
      <c r="R466">
        <v>3</v>
      </c>
      <c r="S466">
        <v>4</v>
      </c>
      <c r="T466">
        <v>4</v>
      </c>
      <c r="U466">
        <v>4</v>
      </c>
      <c r="V466">
        <v>4</v>
      </c>
      <c r="W466" t="s">
        <v>59</v>
      </c>
      <c r="X466" t="s">
        <v>82</v>
      </c>
      <c r="Y466" t="s">
        <v>37</v>
      </c>
      <c r="Z466">
        <v>47</v>
      </c>
      <c r="AA466" t="s">
        <v>95</v>
      </c>
      <c r="AB466" t="s">
        <v>126</v>
      </c>
      <c r="AC466" t="s">
        <v>550</v>
      </c>
    </row>
    <row r="467" spans="1:29" x14ac:dyDescent="0.35">
      <c r="A467" t="s">
        <v>551</v>
      </c>
      <c r="B467" t="s">
        <v>29</v>
      </c>
      <c r="C467" s="1">
        <v>44724</v>
      </c>
      <c r="D467" s="2">
        <v>0.18819444444444444</v>
      </c>
      <c r="E467" s="2">
        <v>1.0879629629629629E-3</v>
      </c>
      <c r="K467" t="s">
        <v>30</v>
      </c>
      <c r="L467" t="s">
        <v>31</v>
      </c>
      <c r="M467" t="s">
        <v>73</v>
      </c>
      <c r="N467">
        <v>76</v>
      </c>
      <c r="O467" t="s">
        <v>50</v>
      </c>
      <c r="P467" t="s">
        <v>50</v>
      </c>
      <c r="Q467">
        <v>4</v>
      </c>
      <c r="R467">
        <v>5</v>
      </c>
      <c r="S467">
        <v>4</v>
      </c>
      <c r="T467">
        <v>5</v>
      </c>
      <c r="U467">
        <v>4</v>
      </c>
      <c r="V467">
        <v>4</v>
      </c>
      <c r="W467" t="s">
        <v>59</v>
      </c>
      <c r="X467" t="s">
        <v>50</v>
      </c>
      <c r="Y467" t="s">
        <v>37</v>
      </c>
      <c r="Z467">
        <v>27</v>
      </c>
      <c r="AA467" t="s">
        <v>38</v>
      </c>
      <c r="AB467" t="s">
        <v>126</v>
      </c>
      <c r="AC467" t="s">
        <v>46</v>
      </c>
    </row>
    <row r="468" spans="1:29" x14ac:dyDescent="0.35">
      <c r="A468" t="s">
        <v>552</v>
      </c>
      <c r="B468" t="s">
        <v>29</v>
      </c>
      <c r="C468" s="1">
        <v>44724</v>
      </c>
      <c r="D468" s="2">
        <v>0.20277777777777781</v>
      </c>
      <c r="E468" s="2">
        <v>2.3032407407407407E-3</v>
      </c>
      <c r="K468" t="s">
        <v>30</v>
      </c>
      <c r="L468" t="s">
        <v>41</v>
      </c>
      <c r="M468" t="s">
        <v>49</v>
      </c>
      <c r="N468">
        <v>20</v>
      </c>
      <c r="O468" t="s">
        <v>33</v>
      </c>
      <c r="P468" t="s">
        <v>34</v>
      </c>
      <c r="Q468">
        <v>6</v>
      </c>
      <c r="R468">
        <v>7</v>
      </c>
      <c r="S468">
        <v>8</v>
      </c>
      <c r="T468">
        <v>7</v>
      </c>
      <c r="U468">
        <v>6</v>
      </c>
      <c r="V468">
        <v>7</v>
      </c>
      <c r="W468" t="s">
        <v>66</v>
      </c>
      <c r="X468" t="s">
        <v>60</v>
      </c>
      <c r="Y468" t="s">
        <v>37</v>
      </c>
      <c r="Z468">
        <v>26</v>
      </c>
      <c r="AA468" t="s">
        <v>95</v>
      </c>
      <c r="AB468" t="s">
        <v>124</v>
      </c>
      <c r="AC468" t="s">
        <v>46</v>
      </c>
    </row>
    <row r="469" spans="1:29" x14ac:dyDescent="0.35">
      <c r="A469" t="s">
        <v>553</v>
      </c>
      <c r="B469" t="s">
        <v>29</v>
      </c>
      <c r="C469" s="1">
        <v>44724</v>
      </c>
      <c r="D469" s="2">
        <v>0.26597222222222222</v>
      </c>
      <c r="E469" s="2">
        <v>1.1689814814814816E-3</v>
      </c>
      <c r="K469" t="s">
        <v>30</v>
      </c>
      <c r="L469" t="s">
        <v>41</v>
      </c>
      <c r="M469" t="s">
        <v>49</v>
      </c>
      <c r="N469">
        <v>20</v>
      </c>
      <c r="O469" t="s">
        <v>43</v>
      </c>
      <c r="P469" t="s">
        <v>34</v>
      </c>
      <c r="Q469">
        <v>2</v>
      </c>
      <c r="R469">
        <v>3</v>
      </c>
      <c r="S469">
        <v>2</v>
      </c>
      <c r="T469">
        <v>5</v>
      </c>
      <c r="U469">
        <v>5</v>
      </c>
      <c r="V469">
        <v>6</v>
      </c>
      <c r="W469" t="s">
        <v>66</v>
      </c>
      <c r="X469" t="s">
        <v>36</v>
      </c>
      <c r="Y469" t="s">
        <v>57</v>
      </c>
      <c r="Z469">
        <v>35</v>
      </c>
      <c r="AA469" t="s">
        <v>95</v>
      </c>
      <c r="AB469" t="s">
        <v>126</v>
      </c>
      <c r="AC469" t="s">
        <v>46</v>
      </c>
    </row>
    <row r="470" spans="1:29" x14ac:dyDescent="0.35">
      <c r="A470" t="s">
        <v>554</v>
      </c>
      <c r="B470" t="s">
        <v>29</v>
      </c>
      <c r="C470" s="1">
        <v>44724</v>
      </c>
      <c r="D470" s="2">
        <v>0.28611111111111115</v>
      </c>
      <c r="E470" s="2">
        <v>8.2175925925925917E-4</v>
      </c>
      <c r="K470" t="s">
        <v>30</v>
      </c>
      <c r="L470" t="s">
        <v>31</v>
      </c>
      <c r="M470" t="s">
        <v>68</v>
      </c>
      <c r="N470">
        <v>96</v>
      </c>
      <c r="O470" t="s">
        <v>78</v>
      </c>
      <c r="P470" t="s">
        <v>34</v>
      </c>
      <c r="Q470">
        <v>0</v>
      </c>
      <c r="R470">
        <v>1</v>
      </c>
      <c r="S470">
        <v>1</v>
      </c>
      <c r="T470">
        <v>0</v>
      </c>
      <c r="U470">
        <v>0</v>
      </c>
      <c r="V470">
        <v>0</v>
      </c>
      <c r="W470" t="s">
        <v>66</v>
      </c>
      <c r="X470" t="s">
        <v>82</v>
      </c>
      <c r="Y470" t="s">
        <v>37</v>
      </c>
      <c r="Z470">
        <v>31</v>
      </c>
      <c r="AA470" t="s">
        <v>38</v>
      </c>
      <c r="AB470" t="s">
        <v>126</v>
      </c>
      <c r="AC470" t="s">
        <v>71</v>
      </c>
    </row>
    <row r="471" spans="1:29" x14ac:dyDescent="0.35">
      <c r="A471" t="s">
        <v>555</v>
      </c>
      <c r="B471" t="s">
        <v>29</v>
      </c>
      <c r="C471" s="1">
        <v>44724</v>
      </c>
      <c r="D471" s="2">
        <v>0.30277777777777776</v>
      </c>
      <c r="E471" s="2">
        <v>2.5925925925925925E-3</v>
      </c>
      <c r="K471" t="s">
        <v>30</v>
      </c>
      <c r="L471" t="s">
        <v>31</v>
      </c>
      <c r="M471" t="s">
        <v>49</v>
      </c>
      <c r="N471">
        <v>20</v>
      </c>
      <c r="O471" t="s">
        <v>78</v>
      </c>
      <c r="P471" t="s">
        <v>34</v>
      </c>
      <c r="Q471">
        <v>2</v>
      </c>
      <c r="R471">
        <v>1</v>
      </c>
      <c r="S471">
        <v>2</v>
      </c>
      <c r="T471">
        <v>3</v>
      </c>
      <c r="U471">
        <v>4</v>
      </c>
      <c r="V471">
        <v>3</v>
      </c>
      <c r="W471" t="s">
        <v>59</v>
      </c>
      <c r="X471" t="s">
        <v>36</v>
      </c>
      <c r="Y471" t="s">
        <v>37</v>
      </c>
      <c r="Z471">
        <v>25</v>
      </c>
      <c r="AA471" t="s">
        <v>50</v>
      </c>
      <c r="AB471" t="s">
        <v>124</v>
      </c>
      <c r="AC471" t="s">
        <v>53</v>
      </c>
    </row>
    <row r="472" spans="1:29" x14ac:dyDescent="0.35">
      <c r="A472" t="s">
        <v>556</v>
      </c>
      <c r="B472" t="s">
        <v>29</v>
      </c>
      <c r="C472" s="1">
        <v>44724</v>
      </c>
      <c r="D472" s="2">
        <v>0.30416666666666664</v>
      </c>
      <c r="E472" s="2">
        <v>1.5162037037037036E-3</v>
      </c>
      <c r="K472" t="s">
        <v>48</v>
      </c>
      <c r="L472" t="s">
        <v>31</v>
      </c>
      <c r="M472" t="s">
        <v>73</v>
      </c>
      <c r="N472">
        <v>76</v>
      </c>
      <c r="O472" t="s">
        <v>294</v>
      </c>
      <c r="P472" t="s">
        <v>34</v>
      </c>
      <c r="Q472">
        <v>3</v>
      </c>
      <c r="R472">
        <v>10</v>
      </c>
      <c r="S472">
        <v>8</v>
      </c>
      <c r="T472">
        <v>8</v>
      </c>
      <c r="U472">
        <v>10</v>
      </c>
      <c r="V472">
        <v>10</v>
      </c>
      <c r="W472" t="s">
        <v>51</v>
      </c>
      <c r="X472" t="s">
        <v>36</v>
      </c>
      <c r="Y472" t="s">
        <v>37</v>
      </c>
      <c r="Z472">
        <v>27</v>
      </c>
      <c r="AA472" t="s">
        <v>38</v>
      </c>
      <c r="AB472" t="s">
        <v>124</v>
      </c>
      <c r="AC472" t="s">
        <v>39</v>
      </c>
    </row>
    <row r="473" spans="1:29" x14ac:dyDescent="0.35">
      <c r="A473" t="s">
        <v>557</v>
      </c>
      <c r="B473" t="s">
        <v>29</v>
      </c>
      <c r="C473" s="1">
        <v>44724</v>
      </c>
      <c r="D473" s="2">
        <v>0.32708333333333334</v>
      </c>
      <c r="E473" s="2">
        <v>1.3541666666666667E-3</v>
      </c>
      <c r="K473" t="s">
        <v>30</v>
      </c>
      <c r="L473" t="s">
        <v>31</v>
      </c>
      <c r="M473" t="s">
        <v>42</v>
      </c>
      <c r="N473">
        <v>53</v>
      </c>
      <c r="O473" t="s">
        <v>76</v>
      </c>
      <c r="P473" t="s">
        <v>34</v>
      </c>
      <c r="Q473">
        <v>5</v>
      </c>
      <c r="R473">
        <v>8</v>
      </c>
      <c r="S473">
        <v>3</v>
      </c>
      <c r="T473">
        <v>2</v>
      </c>
      <c r="U473">
        <v>4</v>
      </c>
      <c r="V473">
        <v>8</v>
      </c>
      <c r="W473" t="s">
        <v>66</v>
      </c>
      <c r="X473" t="s">
        <v>82</v>
      </c>
      <c r="Y473" t="s">
        <v>37</v>
      </c>
      <c r="Z473">
        <v>32</v>
      </c>
      <c r="AA473" t="s">
        <v>50</v>
      </c>
      <c r="AB473" t="s">
        <v>124</v>
      </c>
      <c r="AC473" t="s">
        <v>39</v>
      </c>
    </row>
    <row r="474" spans="1:29" x14ac:dyDescent="0.35">
      <c r="A474" t="s">
        <v>558</v>
      </c>
      <c r="B474" t="s">
        <v>29</v>
      </c>
      <c r="C474" s="1">
        <v>44724</v>
      </c>
      <c r="D474" s="2">
        <v>0.35069444444444442</v>
      </c>
      <c r="E474" s="2">
        <v>1.8750000000000001E-3</v>
      </c>
      <c r="K474" t="s">
        <v>86</v>
      </c>
      <c r="L474" t="s">
        <v>31</v>
      </c>
      <c r="M474" t="s">
        <v>49</v>
      </c>
      <c r="N474">
        <v>20</v>
      </c>
      <c r="O474" t="s">
        <v>294</v>
      </c>
      <c r="P474" t="s">
        <v>34</v>
      </c>
      <c r="Q474">
        <v>0</v>
      </c>
      <c r="R474">
        <v>3</v>
      </c>
      <c r="S474">
        <v>3</v>
      </c>
      <c r="T474">
        <v>3</v>
      </c>
      <c r="U474">
        <v>3</v>
      </c>
      <c r="V474">
        <v>6</v>
      </c>
      <c r="W474" t="s">
        <v>59</v>
      </c>
      <c r="X474" t="s">
        <v>52</v>
      </c>
      <c r="Y474" t="s">
        <v>37</v>
      </c>
      <c r="Z474">
        <v>47</v>
      </c>
      <c r="AA474" t="s">
        <v>50</v>
      </c>
      <c r="AB474" t="s">
        <v>124</v>
      </c>
      <c r="AC474" t="s">
        <v>39</v>
      </c>
    </row>
    <row r="475" spans="1:29" x14ac:dyDescent="0.35">
      <c r="A475" t="s">
        <v>559</v>
      </c>
      <c r="B475" t="s">
        <v>29</v>
      </c>
      <c r="C475" s="1">
        <v>44724</v>
      </c>
      <c r="D475" s="2">
        <v>0.38472222222222219</v>
      </c>
      <c r="E475" s="2">
        <v>1.0532407407407407E-3</v>
      </c>
      <c r="K475" t="s">
        <v>50</v>
      </c>
      <c r="L475" t="s">
        <v>41</v>
      </c>
      <c r="M475" t="s">
        <v>73</v>
      </c>
      <c r="N475">
        <v>76</v>
      </c>
      <c r="O475" t="s">
        <v>43</v>
      </c>
      <c r="P475" t="s">
        <v>34</v>
      </c>
      <c r="Q475">
        <v>0</v>
      </c>
      <c r="R475">
        <v>10</v>
      </c>
      <c r="S475">
        <v>10</v>
      </c>
      <c r="T475">
        <v>5</v>
      </c>
      <c r="U475">
        <v>0</v>
      </c>
      <c r="V475">
        <v>0</v>
      </c>
      <c r="W475" t="s">
        <v>66</v>
      </c>
      <c r="X475" t="s">
        <v>52</v>
      </c>
      <c r="Y475" t="s">
        <v>57</v>
      </c>
      <c r="Z475">
        <v>30</v>
      </c>
      <c r="AA475" t="s">
        <v>38</v>
      </c>
      <c r="AB475" t="s">
        <v>126</v>
      </c>
      <c r="AC475" t="s">
        <v>46</v>
      </c>
    </row>
    <row r="476" spans="1:29" x14ac:dyDescent="0.35">
      <c r="A476" t="s">
        <v>560</v>
      </c>
      <c r="B476" t="s">
        <v>29</v>
      </c>
      <c r="C476" s="1">
        <v>44724</v>
      </c>
      <c r="D476" s="2">
        <v>0.39583333333333331</v>
      </c>
      <c r="E476" s="2">
        <v>1.2962962962962963E-3</v>
      </c>
      <c r="K476" t="s">
        <v>30</v>
      </c>
      <c r="L476" t="s">
        <v>31</v>
      </c>
      <c r="M476" t="s">
        <v>32</v>
      </c>
      <c r="N476">
        <v>116</v>
      </c>
      <c r="O476" t="s">
        <v>50</v>
      </c>
      <c r="P476" t="s">
        <v>34</v>
      </c>
      <c r="Q476">
        <v>8</v>
      </c>
      <c r="R476">
        <v>6</v>
      </c>
      <c r="S476">
        <v>6</v>
      </c>
      <c r="T476">
        <v>7</v>
      </c>
      <c r="U476">
        <v>9</v>
      </c>
      <c r="V476">
        <v>10</v>
      </c>
      <c r="W476" t="s">
        <v>51</v>
      </c>
      <c r="X476" t="s">
        <v>60</v>
      </c>
      <c r="Y476" t="s">
        <v>57</v>
      </c>
      <c r="Z476">
        <v>35</v>
      </c>
      <c r="AA476" t="s">
        <v>38</v>
      </c>
      <c r="AB476" t="s">
        <v>126</v>
      </c>
      <c r="AC476" t="s">
        <v>53</v>
      </c>
    </row>
    <row r="477" spans="1:29" x14ac:dyDescent="0.35">
      <c r="A477" t="s">
        <v>561</v>
      </c>
      <c r="B477" t="s">
        <v>29</v>
      </c>
      <c r="C477" s="1">
        <v>44724</v>
      </c>
      <c r="D477" s="2">
        <v>0.39999999999999997</v>
      </c>
      <c r="E477" s="2">
        <v>1.5740740740740741E-3</v>
      </c>
      <c r="K477" t="s">
        <v>30</v>
      </c>
      <c r="L477" t="s">
        <v>31</v>
      </c>
      <c r="M477" t="s">
        <v>42</v>
      </c>
      <c r="N477">
        <v>53</v>
      </c>
      <c r="O477" t="s">
        <v>43</v>
      </c>
      <c r="P477" t="s">
        <v>34</v>
      </c>
      <c r="Q477">
        <v>6</v>
      </c>
      <c r="R477">
        <v>9</v>
      </c>
      <c r="S477">
        <v>5</v>
      </c>
      <c r="T477">
        <v>7</v>
      </c>
      <c r="U477">
        <v>8</v>
      </c>
      <c r="V477">
        <v>9</v>
      </c>
      <c r="W477" t="s">
        <v>59</v>
      </c>
      <c r="X477" t="s">
        <v>36</v>
      </c>
      <c r="Y477" t="s">
        <v>37</v>
      </c>
      <c r="Z477">
        <v>25</v>
      </c>
      <c r="AA477" t="s">
        <v>38</v>
      </c>
      <c r="AB477" t="s">
        <v>120</v>
      </c>
      <c r="AC477" t="s">
        <v>71</v>
      </c>
    </row>
    <row r="478" spans="1:29" x14ac:dyDescent="0.35">
      <c r="A478" t="s">
        <v>562</v>
      </c>
      <c r="B478" t="s">
        <v>29</v>
      </c>
      <c r="C478" s="1">
        <v>44724</v>
      </c>
      <c r="D478" s="2">
        <v>0.4055555555555555</v>
      </c>
      <c r="E478" s="2">
        <v>2.1064814814814813E-3</v>
      </c>
      <c r="K478" t="s">
        <v>50</v>
      </c>
      <c r="L478" t="s">
        <v>41</v>
      </c>
      <c r="M478" t="s">
        <v>73</v>
      </c>
      <c r="N478">
        <v>76</v>
      </c>
      <c r="O478" t="s">
        <v>50</v>
      </c>
      <c r="P478" t="s">
        <v>34</v>
      </c>
      <c r="Q478">
        <v>3</v>
      </c>
      <c r="R478">
        <v>6</v>
      </c>
      <c r="S478">
        <v>6</v>
      </c>
      <c r="T478">
        <v>6</v>
      </c>
      <c r="U478">
        <v>6</v>
      </c>
      <c r="V478">
        <v>6</v>
      </c>
      <c r="W478" t="s">
        <v>66</v>
      </c>
      <c r="X478" t="s">
        <v>60</v>
      </c>
      <c r="Y478" t="s">
        <v>37</v>
      </c>
      <c r="Z478">
        <v>27</v>
      </c>
      <c r="AA478" t="s">
        <v>38</v>
      </c>
      <c r="AB478" t="s">
        <v>124</v>
      </c>
      <c r="AC478" t="s">
        <v>39</v>
      </c>
    </row>
    <row r="479" spans="1:29" x14ac:dyDescent="0.35">
      <c r="A479" t="s">
        <v>563</v>
      </c>
      <c r="B479" t="s">
        <v>29</v>
      </c>
      <c r="C479" s="1">
        <v>44724</v>
      </c>
      <c r="D479" s="2">
        <v>0.4055555555555555</v>
      </c>
      <c r="E479" s="2">
        <v>9.2592592592592585E-4</v>
      </c>
      <c r="K479" t="s">
        <v>30</v>
      </c>
      <c r="L479" t="s">
        <v>31</v>
      </c>
      <c r="M479" t="s">
        <v>42</v>
      </c>
      <c r="N479">
        <v>53</v>
      </c>
      <c r="O479" t="s">
        <v>33</v>
      </c>
      <c r="P479" t="s">
        <v>44</v>
      </c>
      <c r="Q479">
        <v>1</v>
      </c>
      <c r="R479">
        <v>5</v>
      </c>
      <c r="S479">
        <v>3</v>
      </c>
      <c r="T479">
        <v>3</v>
      </c>
      <c r="U479">
        <v>6</v>
      </c>
      <c r="V479">
        <v>5</v>
      </c>
      <c r="W479" t="s">
        <v>59</v>
      </c>
      <c r="X479" t="s">
        <v>36</v>
      </c>
      <c r="Y479" t="s">
        <v>57</v>
      </c>
      <c r="Z479">
        <v>27</v>
      </c>
      <c r="AA479" t="s">
        <v>38</v>
      </c>
      <c r="AB479" t="s">
        <v>126</v>
      </c>
      <c r="AC479" t="s">
        <v>53</v>
      </c>
    </row>
    <row r="480" spans="1:29" x14ac:dyDescent="0.35">
      <c r="A480" t="s">
        <v>564</v>
      </c>
      <c r="B480" t="s">
        <v>29</v>
      </c>
      <c r="C480" s="1">
        <v>44724</v>
      </c>
      <c r="D480" s="2">
        <v>0.42152777777777778</v>
      </c>
      <c r="E480" s="2">
        <v>1.2962962962962963E-3</v>
      </c>
      <c r="K480" t="s">
        <v>86</v>
      </c>
      <c r="L480" t="s">
        <v>41</v>
      </c>
      <c r="M480" t="s">
        <v>49</v>
      </c>
      <c r="N480">
        <v>20</v>
      </c>
      <c r="O480" t="s">
        <v>50</v>
      </c>
      <c r="P480" t="s">
        <v>34</v>
      </c>
      <c r="Q480">
        <v>1</v>
      </c>
      <c r="R480">
        <v>8</v>
      </c>
      <c r="S480">
        <v>8</v>
      </c>
      <c r="T480">
        <v>1</v>
      </c>
      <c r="U480">
        <v>3</v>
      </c>
      <c r="V480">
        <v>7</v>
      </c>
      <c r="W480" t="s">
        <v>56</v>
      </c>
      <c r="X480" t="s">
        <v>60</v>
      </c>
      <c r="Y480" t="s">
        <v>57</v>
      </c>
      <c r="Z480">
        <v>23</v>
      </c>
      <c r="AA480" t="s">
        <v>95</v>
      </c>
      <c r="AB480" t="s">
        <v>126</v>
      </c>
      <c r="AC480" t="s">
        <v>46</v>
      </c>
    </row>
    <row r="481" spans="1:29" x14ac:dyDescent="0.35">
      <c r="A481" t="s">
        <v>565</v>
      </c>
      <c r="B481" t="s">
        <v>29</v>
      </c>
      <c r="C481" s="1">
        <v>44724</v>
      </c>
      <c r="D481" s="2">
        <v>0.4375</v>
      </c>
      <c r="E481" s="2">
        <v>1.5046296296296294E-3</v>
      </c>
      <c r="K481" t="s">
        <v>63</v>
      </c>
      <c r="L481" t="s">
        <v>41</v>
      </c>
      <c r="M481" t="s">
        <v>42</v>
      </c>
      <c r="N481">
        <v>53</v>
      </c>
      <c r="O481" t="s">
        <v>50</v>
      </c>
      <c r="P481" t="s">
        <v>34</v>
      </c>
      <c r="Q481">
        <v>9</v>
      </c>
      <c r="R481">
        <v>10</v>
      </c>
      <c r="S481">
        <v>10</v>
      </c>
      <c r="T481">
        <v>10</v>
      </c>
      <c r="U481">
        <v>10</v>
      </c>
      <c r="V481">
        <v>10</v>
      </c>
      <c r="W481" t="s">
        <v>66</v>
      </c>
      <c r="X481" t="s">
        <v>82</v>
      </c>
      <c r="Y481" t="s">
        <v>37</v>
      </c>
      <c r="Z481">
        <v>18</v>
      </c>
      <c r="AA481" t="s">
        <v>38</v>
      </c>
      <c r="AB481" t="s">
        <v>124</v>
      </c>
      <c r="AC481" t="s">
        <v>39</v>
      </c>
    </row>
    <row r="482" spans="1:29" x14ac:dyDescent="0.35">
      <c r="A482" t="s">
        <v>566</v>
      </c>
      <c r="B482" t="s">
        <v>29</v>
      </c>
      <c r="C482" s="1">
        <v>44724</v>
      </c>
      <c r="D482" s="2">
        <v>0.48819444444444443</v>
      </c>
      <c r="E482" s="2">
        <v>1.1805555555555556E-3</v>
      </c>
      <c r="K482" t="s">
        <v>30</v>
      </c>
      <c r="L482" t="s">
        <v>31</v>
      </c>
      <c r="M482" t="s">
        <v>49</v>
      </c>
      <c r="N482">
        <v>20</v>
      </c>
      <c r="O482" t="s">
        <v>33</v>
      </c>
      <c r="P482" t="s">
        <v>34</v>
      </c>
      <c r="Q482">
        <v>8</v>
      </c>
      <c r="R482">
        <v>10</v>
      </c>
      <c r="S482">
        <v>9</v>
      </c>
      <c r="T482">
        <v>6</v>
      </c>
      <c r="U482">
        <v>8</v>
      </c>
      <c r="V482">
        <v>9</v>
      </c>
      <c r="W482" t="s">
        <v>51</v>
      </c>
      <c r="X482" t="s">
        <v>36</v>
      </c>
      <c r="Y482" t="s">
        <v>57</v>
      </c>
      <c r="Z482">
        <v>28</v>
      </c>
      <c r="AA482" t="s">
        <v>50</v>
      </c>
      <c r="AB482" t="s">
        <v>126</v>
      </c>
      <c r="AC482" t="s">
        <v>71</v>
      </c>
    </row>
    <row r="483" spans="1:29" x14ac:dyDescent="0.35">
      <c r="A483" t="s">
        <v>567</v>
      </c>
      <c r="B483" t="s">
        <v>29</v>
      </c>
      <c r="C483" s="1">
        <v>44724</v>
      </c>
      <c r="D483" s="2">
        <v>0.48888888888888887</v>
      </c>
      <c r="E483" s="2">
        <v>9.2592592592592585E-4</v>
      </c>
      <c r="K483" t="s">
        <v>50</v>
      </c>
      <c r="L483" t="s">
        <v>31</v>
      </c>
      <c r="M483" t="s">
        <v>65</v>
      </c>
      <c r="N483">
        <v>138</v>
      </c>
      <c r="O483" t="s">
        <v>33</v>
      </c>
      <c r="P483" t="s">
        <v>34</v>
      </c>
      <c r="Q483">
        <v>7</v>
      </c>
      <c r="R483">
        <v>6</v>
      </c>
      <c r="S483">
        <v>8</v>
      </c>
      <c r="T483">
        <v>8</v>
      </c>
      <c r="U483">
        <v>8</v>
      </c>
      <c r="V483">
        <v>7</v>
      </c>
      <c r="W483" t="s">
        <v>51</v>
      </c>
      <c r="X483" t="s">
        <v>36</v>
      </c>
      <c r="Y483" t="s">
        <v>37</v>
      </c>
      <c r="Z483">
        <v>28</v>
      </c>
      <c r="AA483" t="s">
        <v>38</v>
      </c>
      <c r="AB483" t="s">
        <v>124</v>
      </c>
      <c r="AC483" t="s">
        <v>39</v>
      </c>
    </row>
    <row r="484" spans="1:29" x14ac:dyDescent="0.35">
      <c r="A484" t="s">
        <v>568</v>
      </c>
      <c r="B484" t="s">
        <v>29</v>
      </c>
      <c r="C484" s="1">
        <v>44724</v>
      </c>
      <c r="D484" s="2">
        <v>0.5083333333333333</v>
      </c>
      <c r="E484" s="2">
        <v>1.0995370370370371E-3</v>
      </c>
      <c r="K484" t="s">
        <v>86</v>
      </c>
      <c r="L484" t="s">
        <v>41</v>
      </c>
      <c r="M484" t="s">
        <v>49</v>
      </c>
      <c r="N484">
        <v>20</v>
      </c>
      <c r="O484" t="s">
        <v>50</v>
      </c>
      <c r="P484" t="s">
        <v>34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 t="s">
        <v>51</v>
      </c>
      <c r="X484" t="s">
        <v>52</v>
      </c>
      <c r="Y484" t="s">
        <v>57</v>
      </c>
      <c r="Z484">
        <v>26</v>
      </c>
      <c r="AA484" t="s">
        <v>38</v>
      </c>
      <c r="AB484" t="s">
        <v>124</v>
      </c>
      <c r="AC484" t="s">
        <v>550</v>
      </c>
    </row>
    <row r="485" spans="1:29" x14ac:dyDescent="0.35">
      <c r="A485" t="s">
        <v>569</v>
      </c>
      <c r="B485" t="s">
        <v>29</v>
      </c>
      <c r="C485" s="1">
        <v>44724</v>
      </c>
      <c r="D485" s="2">
        <v>0.52500000000000002</v>
      </c>
      <c r="E485" s="2">
        <v>1.3541666666666667E-3</v>
      </c>
      <c r="K485" t="s">
        <v>86</v>
      </c>
      <c r="L485" t="s">
        <v>41</v>
      </c>
      <c r="M485" t="s">
        <v>49</v>
      </c>
      <c r="N485">
        <v>20</v>
      </c>
      <c r="O485" t="s">
        <v>78</v>
      </c>
      <c r="P485" t="s">
        <v>34</v>
      </c>
      <c r="Q485">
        <v>0</v>
      </c>
      <c r="R485">
        <v>0</v>
      </c>
      <c r="S485">
        <v>3</v>
      </c>
      <c r="T485">
        <v>0</v>
      </c>
      <c r="U485">
        <v>0</v>
      </c>
      <c r="V485">
        <v>8</v>
      </c>
      <c r="W485" t="s">
        <v>59</v>
      </c>
      <c r="X485" t="s">
        <v>60</v>
      </c>
      <c r="Y485" t="s">
        <v>37</v>
      </c>
      <c r="Z485">
        <v>27</v>
      </c>
      <c r="AA485" t="s">
        <v>50</v>
      </c>
      <c r="AB485" t="s">
        <v>124</v>
      </c>
      <c r="AC485" t="s">
        <v>53</v>
      </c>
    </row>
    <row r="486" spans="1:29" x14ac:dyDescent="0.35">
      <c r="A486" t="s">
        <v>570</v>
      </c>
      <c r="B486" t="s">
        <v>29</v>
      </c>
      <c r="C486" s="1">
        <v>44724</v>
      </c>
      <c r="D486" s="2">
        <v>0.52986111111111112</v>
      </c>
      <c r="E486" s="2">
        <v>1.9444444444444442E-3</v>
      </c>
      <c r="K486" t="s">
        <v>30</v>
      </c>
      <c r="L486" t="s">
        <v>41</v>
      </c>
      <c r="M486" t="s">
        <v>42</v>
      </c>
      <c r="N486">
        <v>53</v>
      </c>
      <c r="O486" t="s">
        <v>76</v>
      </c>
      <c r="P486" t="s">
        <v>34</v>
      </c>
      <c r="Q486">
        <v>9</v>
      </c>
      <c r="R486">
        <v>7</v>
      </c>
      <c r="S486">
        <v>9</v>
      </c>
      <c r="T486">
        <v>10</v>
      </c>
      <c r="U486">
        <v>10</v>
      </c>
      <c r="V486">
        <v>10</v>
      </c>
      <c r="W486" t="s">
        <v>66</v>
      </c>
      <c r="X486" t="s">
        <v>52</v>
      </c>
      <c r="Y486" t="s">
        <v>57</v>
      </c>
      <c r="Z486">
        <v>22</v>
      </c>
      <c r="AA486" t="s">
        <v>95</v>
      </c>
      <c r="AB486" t="s">
        <v>126</v>
      </c>
      <c r="AC486" t="s">
        <v>46</v>
      </c>
    </row>
    <row r="487" spans="1:29" x14ac:dyDescent="0.35">
      <c r="A487" t="s">
        <v>571</v>
      </c>
      <c r="B487" t="s">
        <v>29</v>
      </c>
      <c r="C487" s="1">
        <v>44724</v>
      </c>
      <c r="D487" s="2">
        <v>0.53263888888888888</v>
      </c>
      <c r="E487" s="2">
        <v>1.3425925925925925E-3</v>
      </c>
      <c r="K487" t="s">
        <v>30</v>
      </c>
      <c r="L487" t="s">
        <v>31</v>
      </c>
      <c r="M487" t="s">
        <v>49</v>
      </c>
      <c r="N487">
        <v>20</v>
      </c>
      <c r="O487" t="s">
        <v>76</v>
      </c>
      <c r="P487" t="s">
        <v>44</v>
      </c>
      <c r="Q487">
        <v>0</v>
      </c>
      <c r="R487">
        <v>8</v>
      </c>
      <c r="S487">
        <v>7</v>
      </c>
      <c r="T487">
        <v>6</v>
      </c>
      <c r="U487">
        <v>3</v>
      </c>
      <c r="V487">
        <v>9</v>
      </c>
      <c r="W487" t="s">
        <v>35</v>
      </c>
      <c r="X487" t="s">
        <v>60</v>
      </c>
      <c r="Y487" t="s">
        <v>37</v>
      </c>
      <c r="Z487">
        <v>27</v>
      </c>
      <c r="AA487" t="s">
        <v>38</v>
      </c>
      <c r="AB487" t="s">
        <v>120</v>
      </c>
      <c r="AC487" t="s">
        <v>39</v>
      </c>
    </row>
    <row r="488" spans="1:29" x14ac:dyDescent="0.35">
      <c r="A488" t="s">
        <v>572</v>
      </c>
      <c r="B488" t="s">
        <v>29</v>
      </c>
      <c r="C488" s="1">
        <v>44724</v>
      </c>
      <c r="D488" s="2">
        <v>0.55069444444444449</v>
      </c>
      <c r="E488" s="2">
        <v>1.1921296296296296E-3</v>
      </c>
      <c r="K488" t="s">
        <v>48</v>
      </c>
      <c r="L488" t="s">
        <v>31</v>
      </c>
      <c r="M488" t="s">
        <v>49</v>
      </c>
      <c r="N488">
        <v>20</v>
      </c>
      <c r="O488" t="s">
        <v>50</v>
      </c>
      <c r="P488" t="s">
        <v>34</v>
      </c>
      <c r="Q488">
        <v>5</v>
      </c>
      <c r="R488">
        <v>7</v>
      </c>
      <c r="S488">
        <v>6</v>
      </c>
      <c r="T488">
        <v>8</v>
      </c>
      <c r="U488">
        <v>7</v>
      </c>
      <c r="V488">
        <v>7</v>
      </c>
      <c r="W488" t="s">
        <v>66</v>
      </c>
      <c r="X488" t="s">
        <v>52</v>
      </c>
      <c r="Y488" t="s">
        <v>37</v>
      </c>
      <c r="Z488">
        <v>28</v>
      </c>
      <c r="AA488" t="s">
        <v>95</v>
      </c>
      <c r="AB488" t="s">
        <v>124</v>
      </c>
      <c r="AC488" t="s">
        <v>46</v>
      </c>
    </row>
    <row r="489" spans="1:29" x14ac:dyDescent="0.35">
      <c r="A489" t="s">
        <v>573</v>
      </c>
      <c r="B489" t="s">
        <v>29</v>
      </c>
      <c r="C489" s="1">
        <v>44724</v>
      </c>
      <c r="D489" s="2">
        <v>0.56736111111111109</v>
      </c>
      <c r="E489" s="2">
        <v>1.2268518518518518E-3</v>
      </c>
      <c r="K489" t="s">
        <v>30</v>
      </c>
      <c r="L489" t="s">
        <v>31</v>
      </c>
      <c r="M489" t="s">
        <v>49</v>
      </c>
      <c r="N489">
        <v>20</v>
      </c>
      <c r="O489" t="s">
        <v>76</v>
      </c>
      <c r="P489" t="s">
        <v>34</v>
      </c>
      <c r="Q489">
        <v>3</v>
      </c>
      <c r="R489">
        <v>2</v>
      </c>
      <c r="S489">
        <v>4</v>
      </c>
      <c r="T489">
        <v>3</v>
      </c>
      <c r="U489">
        <v>3</v>
      </c>
      <c r="V489">
        <v>3</v>
      </c>
      <c r="W489" t="s">
        <v>66</v>
      </c>
      <c r="X489" t="s">
        <v>60</v>
      </c>
      <c r="Y489" t="s">
        <v>37</v>
      </c>
      <c r="Z489">
        <v>25</v>
      </c>
      <c r="AA489" t="s">
        <v>50</v>
      </c>
      <c r="AB489" t="s">
        <v>120</v>
      </c>
      <c r="AC489" t="s">
        <v>53</v>
      </c>
    </row>
    <row r="490" spans="1:29" x14ac:dyDescent="0.35">
      <c r="A490" t="s">
        <v>574</v>
      </c>
      <c r="B490" t="s">
        <v>29</v>
      </c>
      <c r="C490" s="1">
        <v>44724</v>
      </c>
      <c r="D490" s="2">
        <v>0.5854166666666667</v>
      </c>
      <c r="E490" s="2">
        <v>1.2962962962962963E-3</v>
      </c>
      <c r="K490" t="s">
        <v>30</v>
      </c>
      <c r="L490" t="s">
        <v>41</v>
      </c>
      <c r="M490" t="s">
        <v>49</v>
      </c>
      <c r="N490">
        <v>20</v>
      </c>
      <c r="O490" t="s">
        <v>33</v>
      </c>
      <c r="P490" t="s">
        <v>34</v>
      </c>
      <c r="Q490">
        <v>2</v>
      </c>
      <c r="R490">
        <v>6</v>
      </c>
      <c r="S490">
        <v>6</v>
      </c>
      <c r="T490">
        <v>7</v>
      </c>
      <c r="U490">
        <v>7</v>
      </c>
      <c r="V490">
        <v>9</v>
      </c>
      <c r="W490" t="s">
        <v>59</v>
      </c>
      <c r="X490" t="s">
        <v>60</v>
      </c>
      <c r="Y490" t="s">
        <v>37</v>
      </c>
      <c r="Z490">
        <v>32</v>
      </c>
      <c r="AA490" t="s">
        <v>79</v>
      </c>
      <c r="AB490" t="s">
        <v>124</v>
      </c>
      <c r="AC490" t="s">
        <v>71</v>
      </c>
    </row>
    <row r="491" spans="1:29" x14ac:dyDescent="0.35">
      <c r="A491" t="s">
        <v>575</v>
      </c>
      <c r="B491" t="s">
        <v>29</v>
      </c>
      <c r="C491" s="1">
        <v>44724</v>
      </c>
      <c r="D491" s="2">
        <v>0.60625000000000007</v>
      </c>
      <c r="E491" s="2">
        <v>7.3379629629629628E-3</v>
      </c>
      <c r="K491" t="s">
        <v>86</v>
      </c>
      <c r="L491" t="s">
        <v>31</v>
      </c>
      <c r="M491" t="s">
        <v>49</v>
      </c>
      <c r="N491">
        <v>20</v>
      </c>
      <c r="O491" t="s">
        <v>43</v>
      </c>
      <c r="P491" t="s">
        <v>50</v>
      </c>
      <c r="Q491">
        <v>7</v>
      </c>
      <c r="R491">
        <v>9</v>
      </c>
      <c r="S491">
        <v>10</v>
      </c>
      <c r="T491">
        <v>10</v>
      </c>
      <c r="U491">
        <v>3</v>
      </c>
      <c r="V491">
        <v>4</v>
      </c>
      <c r="W491" t="s">
        <v>51</v>
      </c>
      <c r="X491" t="s">
        <v>36</v>
      </c>
      <c r="Y491" t="s">
        <v>37</v>
      </c>
      <c r="Z491">
        <v>33</v>
      </c>
      <c r="AA491" t="s">
        <v>50</v>
      </c>
      <c r="AB491" t="s">
        <v>124</v>
      </c>
      <c r="AC491" t="s">
        <v>39</v>
      </c>
    </row>
    <row r="492" spans="1:29" x14ac:dyDescent="0.35">
      <c r="A492" t="s">
        <v>576</v>
      </c>
      <c r="B492" t="s">
        <v>29</v>
      </c>
      <c r="C492" s="1">
        <v>44724</v>
      </c>
      <c r="D492" s="2">
        <v>0.61319444444444449</v>
      </c>
      <c r="E492" s="2">
        <v>2.0023148148148148E-3</v>
      </c>
      <c r="K492" t="s">
        <v>30</v>
      </c>
      <c r="L492" t="s">
        <v>41</v>
      </c>
      <c r="M492" t="s">
        <v>42</v>
      </c>
      <c r="N492">
        <v>53</v>
      </c>
      <c r="O492" t="s">
        <v>50</v>
      </c>
      <c r="P492" t="s">
        <v>34</v>
      </c>
      <c r="Q492">
        <v>5</v>
      </c>
      <c r="R492">
        <v>6</v>
      </c>
      <c r="S492">
        <v>5</v>
      </c>
      <c r="T492">
        <v>2</v>
      </c>
      <c r="U492">
        <v>3</v>
      </c>
      <c r="V492">
        <v>3</v>
      </c>
      <c r="W492" t="s">
        <v>51</v>
      </c>
      <c r="X492" t="s">
        <v>36</v>
      </c>
      <c r="Y492" t="s">
        <v>37</v>
      </c>
      <c r="Z492">
        <v>23</v>
      </c>
      <c r="AA492" t="s">
        <v>45</v>
      </c>
      <c r="AB492" t="s">
        <v>126</v>
      </c>
      <c r="AC492" t="s">
        <v>53</v>
      </c>
    </row>
    <row r="493" spans="1:29" x14ac:dyDescent="0.35">
      <c r="A493" t="s">
        <v>577</v>
      </c>
      <c r="B493" t="s">
        <v>29</v>
      </c>
      <c r="C493" s="1">
        <v>44724</v>
      </c>
      <c r="D493" s="2">
        <v>0.63124999999999998</v>
      </c>
      <c r="E493" s="2">
        <v>1.261574074074074E-3</v>
      </c>
      <c r="K493" t="s">
        <v>86</v>
      </c>
      <c r="L493" t="s">
        <v>31</v>
      </c>
      <c r="M493" t="s">
        <v>49</v>
      </c>
      <c r="N493">
        <v>20</v>
      </c>
      <c r="O493" t="s">
        <v>43</v>
      </c>
      <c r="P493" t="s">
        <v>44</v>
      </c>
      <c r="Q493">
        <v>4</v>
      </c>
      <c r="R493">
        <v>5</v>
      </c>
      <c r="S493">
        <v>4</v>
      </c>
      <c r="T493">
        <v>4</v>
      </c>
      <c r="U493">
        <v>5</v>
      </c>
      <c r="V493">
        <v>6</v>
      </c>
      <c r="W493" t="s">
        <v>66</v>
      </c>
      <c r="X493" t="s">
        <v>36</v>
      </c>
      <c r="Y493" t="s">
        <v>57</v>
      </c>
      <c r="Z493">
        <v>40</v>
      </c>
      <c r="AA493" t="s">
        <v>50</v>
      </c>
      <c r="AB493" t="s">
        <v>124</v>
      </c>
      <c r="AC493" t="s">
        <v>53</v>
      </c>
    </row>
    <row r="494" spans="1:29" x14ac:dyDescent="0.35">
      <c r="A494" t="s">
        <v>578</v>
      </c>
      <c r="B494" t="s">
        <v>29</v>
      </c>
      <c r="C494" s="1">
        <v>44724</v>
      </c>
      <c r="D494" s="2">
        <v>0.65625</v>
      </c>
      <c r="E494" s="2">
        <v>1.8402777777777777E-3</v>
      </c>
      <c r="K494" t="s">
        <v>30</v>
      </c>
      <c r="L494" t="s">
        <v>31</v>
      </c>
      <c r="M494" t="s">
        <v>42</v>
      </c>
      <c r="N494">
        <v>53</v>
      </c>
      <c r="O494" t="s">
        <v>50</v>
      </c>
      <c r="P494" t="s">
        <v>34</v>
      </c>
      <c r="Q494">
        <v>7</v>
      </c>
      <c r="R494">
        <v>9</v>
      </c>
      <c r="S494">
        <v>9</v>
      </c>
      <c r="T494">
        <v>9</v>
      </c>
      <c r="U494">
        <v>7</v>
      </c>
      <c r="V494">
        <v>9</v>
      </c>
      <c r="W494" t="s">
        <v>51</v>
      </c>
      <c r="X494" t="s">
        <v>60</v>
      </c>
      <c r="Y494" t="s">
        <v>57</v>
      </c>
      <c r="Z494">
        <v>28</v>
      </c>
      <c r="AA494" t="s">
        <v>79</v>
      </c>
      <c r="AB494" t="s">
        <v>124</v>
      </c>
      <c r="AC494" t="s">
        <v>46</v>
      </c>
    </row>
    <row r="495" spans="1:29" x14ac:dyDescent="0.35">
      <c r="A495" t="s">
        <v>579</v>
      </c>
      <c r="B495" t="s">
        <v>29</v>
      </c>
      <c r="C495" s="1">
        <v>44724</v>
      </c>
      <c r="D495" s="2">
        <v>0.68263888888888891</v>
      </c>
      <c r="E495" s="2">
        <v>2.6620370370370374E-3</v>
      </c>
      <c r="K495" t="s">
        <v>30</v>
      </c>
      <c r="L495" t="s">
        <v>41</v>
      </c>
      <c r="M495" t="s">
        <v>49</v>
      </c>
      <c r="N495">
        <v>20</v>
      </c>
      <c r="O495" t="s">
        <v>294</v>
      </c>
      <c r="P495" t="s">
        <v>44</v>
      </c>
      <c r="Q495">
        <v>3</v>
      </c>
      <c r="R495">
        <v>7</v>
      </c>
      <c r="S495">
        <v>8</v>
      </c>
      <c r="T495">
        <v>6</v>
      </c>
      <c r="U495">
        <v>6</v>
      </c>
      <c r="V495">
        <v>9</v>
      </c>
      <c r="W495" t="s">
        <v>59</v>
      </c>
      <c r="X495" t="s">
        <v>36</v>
      </c>
      <c r="Y495" t="s">
        <v>37</v>
      </c>
      <c r="Z495">
        <v>26</v>
      </c>
      <c r="AA495" t="s">
        <v>50</v>
      </c>
      <c r="AB495" t="s">
        <v>120</v>
      </c>
      <c r="AC495" t="s">
        <v>53</v>
      </c>
    </row>
    <row r="496" spans="1:29" x14ac:dyDescent="0.35">
      <c r="A496" t="s">
        <v>580</v>
      </c>
      <c r="B496" t="s">
        <v>29</v>
      </c>
      <c r="C496" s="1">
        <v>44724</v>
      </c>
      <c r="D496" s="2">
        <v>0.68611111111111101</v>
      </c>
      <c r="E496" s="2">
        <v>2.7662037037037034E-3</v>
      </c>
      <c r="K496" t="s">
        <v>50</v>
      </c>
      <c r="L496" t="s">
        <v>31</v>
      </c>
      <c r="M496" t="s">
        <v>49</v>
      </c>
      <c r="N496">
        <v>20</v>
      </c>
      <c r="O496" t="s">
        <v>76</v>
      </c>
      <c r="P496" t="s">
        <v>34</v>
      </c>
      <c r="Q496">
        <v>3</v>
      </c>
      <c r="R496">
        <v>5</v>
      </c>
      <c r="S496">
        <v>5</v>
      </c>
      <c r="T496">
        <v>4</v>
      </c>
      <c r="U496">
        <v>3</v>
      </c>
      <c r="V496">
        <v>2</v>
      </c>
      <c r="W496" t="s">
        <v>59</v>
      </c>
      <c r="X496" t="s">
        <v>60</v>
      </c>
      <c r="Y496" t="s">
        <v>57</v>
      </c>
      <c r="Z496">
        <v>24</v>
      </c>
      <c r="AA496" t="s">
        <v>95</v>
      </c>
      <c r="AB496" t="s">
        <v>124</v>
      </c>
      <c r="AC496" t="s">
        <v>46</v>
      </c>
    </row>
    <row r="497" spans="1:29" x14ac:dyDescent="0.35">
      <c r="A497" t="s">
        <v>581</v>
      </c>
      <c r="B497" t="s">
        <v>29</v>
      </c>
      <c r="C497" s="1">
        <v>44724</v>
      </c>
      <c r="D497" s="2">
        <v>0.7090277777777777</v>
      </c>
      <c r="E497" s="2">
        <v>1.4351851851851854E-3</v>
      </c>
      <c r="K497" t="s">
        <v>50</v>
      </c>
      <c r="L497" t="s">
        <v>31</v>
      </c>
      <c r="M497" t="s">
        <v>68</v>
      </c>
      <c r="N497">
        <v>96</v>
      </c>
      <c r="O497" t="s">
        <v>43</v>
      </c>
      <c r="P497" t="s">
        <v>34</v>
      </c>
      <c r="Q497">
        <v>7</v>
      </c>
      <c r="R497">
        <v>5</v>
      </c>
      <c r="S497">
        <v>5</v>
      </c>
      <c r="T497">
        <v>8</v>
      </c>
      <c r="U497">
        <v>8</v>
      </c>
      <c r="V497">
        <v>8</v>
      </c>
      <c r="W497" t="s">
        <v>66</v>
      </c>
      <c r="X497" t="s">
        <v>36</v>
      </c>
      <c r="Y497" t="s">
        <v>57</v>
      </c>
      <c r="Z497">
        <v>40</v>
      </c>
      <c r="AA497" t="s">
        <v>38</v>
      </c>
      <c r="AB497" t="s">
        <v>133</v>
      </c>
      <c r="AC497" t="s">
        <v>50</v>
      </c>
    </row>
    <row r="498" spans="1:29" x14ac:dyDescent="0.35">
      <c r="A498" t="s">
        <v>582</v>
      </c>
      <c r="B498" t="s">
        <v>29</v>
      </c>
      <c r="C498" s="1">
        <v>44724</v>
      </c>
      <c r="D498" s="2">
        <v>0.71458333333333324</v>
      </c>
      <c r="E498" s="2">
        <v>1.2268518518518518E-3</v>
      </c>
      <c r="K498" t="s">
        <v>30</v>
      </c>
      <c r="L498" t="s">
        <v>31</v>
      </c>
      <c r="M498" t="s">
        <v>73</v>
      </c>
      <c r="N498">
        <v>76</v>
      </c>
      <c r="O498" t="s">
        <v>50</v>
      </c>
      <c r="P498" t="s">
        <v>34</v>
      </c>
      <c r="Q498">
        <v>8</v>
      </c>
      <c r="R498">
        <v>10</v>
      </c>
      <c r="S498">
        <v>10</v>
      </c>
      <c r="T498">
        <v>10</v>
      </c>
      <c r="U498">
        <v>7</v>
      </c>
      <c r="V498">
        <v>9</v>
      </c>
      <c r="W498" t="s">
        <v>66</v>
      </c>
      <c r="X498" t="s">
        <v>60</v>
      </c>
      <c r="Y498" t="s">
        <v>37</v>
      </c>
      <c r="Z498">
        <v>26</v>
      </c>
      <c r="AA498" t="s">
        <v>38</v>
      </c>
      <c r="AB498" t="s">
        <v>124</v>
      </c>
      <c r="AC498" t="s">
        <v>53</v>
      </c>
    </row>
    <row r="499" spans="1:29" x14ac:dyDescent="0.35">
      <c r="A499" t="s">
        <v>583</v>
      </c>
      <c r="B499" t="s">
        <v>29</v>
      </c>
      <c r="C499" s="1">
        <v>44724</v>
      </c>
      <c r="D499" s="2">
        <v>0.73749999999999993</v>
      </c>
      <c r="E499" s="2">
        <v>1.7245370370370372E-3</v>
      </c>
      <c r="K499" t="s">
        <v>63</v>
      </c>
      <c r="L499" t="s">
        <v>31</v>
      </c>
      <c r="M499" t="s">
        <v>42</v>
      </c>
      <c r="N499">
        <v>53</v>
      </c>
      <c r="O499" t="s">
        <v>50</v>
      </c>
      <c r="P499" t="s">
        <v>34</v>
      </c>
      <c r="Q499">
        <v>8</v>
      </c>
      <c r="R499">
        <v>8</v>
      </c>
      <c r="S499">
        <v>10</v>
      </c>
      <c r="T499">
        <v>10</v>
      </c>
      <c r="U499">
        <v>10</v>
      </c>
      <c r="V499">
        <v>10</v>
      </c>
      <c r="W499" t="s">
        <v>51</v>
      </c>
      <c r="X499" t="s">
        <v>82</v>
      </c>
      <c r="Y499" t="s">
        <v>57</v>
      </c>
      <c r="Z499">
        <v>44</v>
      </c>
      <c r="AA499" t="s">
        <v>79</v>
      </c>
      <c r="AB499" t="s">
        <v>124</v>
      </c>
      <c r="AC499" t="s">
        <v>39</v>
      </c>
    </row>
    <row r="500" spans="1:29" x14ac:dyDescent="0.35">
      <c r="A500" t="s">
        <v>584</v>
      </c>
      <c r="B500" t="s">
        <v>29</v>
      </c>
      <c r="C500" s="1">
        <v>44724</v>
      </c>
      <c r="D500" s="2">
        <v>0.7597222222222223</v>
      </c>
      <c r="E500" s="2">
        <v>1.3657407407407409E-3</v>
      </c>
      <c r="K500" t="s">
        <v>50</v>
      </c>
      <c r="L500" t="s">
        <v>31</v>
      </c>
      <c r="M500" t="s">
        <v>73</v>
      </c>
      <c r="N500">
        <v>76</v>
      </c>
      <c r="O500" t="s">
        <v>50</v>
      </c>
      <c r="P500" t="s">
        <v>34</v>
      </c>
      <c r="Q500">
        <v>7</v>
      </c>
      <c r="R500">
        <v>9</v>
      </c>
      <c r="S500">
        <v>8</v>
      </c>
      <c r="T500">
        <v>8</v>
      </c>
      <c r="U500">
        <v>6</v>
      </c>
      <c r="V500">
        <v>6</v>
      </c>
      <c r="W500" t="s">
        <v>66</v>
      </c>
      <c r="X500" t="s">
        <v>60</v>
      </c>
      <c r="Y500" t="s">
        <v>37</v>
      </c>
      <c r="Z500">
        <v>36</v>
      </c>
      <c r="AA500" t="s">
        <v>38</v>
      </c>
      <c r="AB500" t="s">
        <v>126</v>
      </c>
      <c r="AC500" t="s">
        <v>39</v>
      </c>
    </row>
    <row r="501" spans="1:29" x14ac:dyDescent="0.35">
      <c r="A501" t="s">
        <v>585</v>
      </c>
      <c r="B501" t="s">
        <v>29</v>
      </c>
      <c r="C501" s="1">
        <v>44724</v>
      </c>
      <c r="D501" s="2">
        <v>0.8125</v>
      </c>
      <c r="E501" s="2">
        <v>1.1226851851851851E-3</v>
      </c>
      <c r="K501" t="s">
        <v>50</v>
      </c>
      <c r="L501" t="s">
        <v>31</v>
      </c>
      <c r="M501" t="s">
        <v>49</v>
      </c>
      <c r="N501">
        <v>20</v>
      </c>
      <c r="O501" t="s">
        <v>50</v>
      </c>
      <c r="P501" t="s">
        <v>34</v>
      </c>
      <c r="Q501">
        <v>1</v>
      </c>
      <c r="R501">
        <v>5</v>
      </c>
      <c r="S501">
        <v>10</v>
      </c>
      <c r="T501">
        <v>10</v>
      </c>
      <c r="U501">
        <v>8</v>
      </c>
      <c r="V501">
        <v>10</v>
      </c>
      <c r="W501" t="s">
        <v>66</v>
      </c>
      <c r="X501" t="s">
        <v>60</v>
      </c>
      <c r="Y501" t="s">
        <v>37</v>
      </c>
      <c r="Z501">
        <v>30</v>
      </c>
      <c r="AA501" t="s">
        <v>50</v>
      </c>
      <c r="AB501" t="s">
        <v>124</v>
      </c>
      <c r="AC501" t="s">
        <v>71</v>
      </c>
    </row>
    <row r="502" spans="1:29" x14ac:dyDescent="0.35">
      <c r="A502" t="s">
        <v>586</v>
      </c>
      <c r="B502" t="s">
        <v>29</v>
      </c>
      <c r="C502" s="1">
        <v>44724</v>
      </c>
      <c r="D502" s="2">
        <v>0.88402777777777775</v>
      </c>
      <c r="E502" s="2">
        <v>3.1944444444444442E-3</v>
      </c>
      <c r="K502" t="s">
        <v>50</v>
      </c>
      <c r="L502" t="s">
        <v>31</v>
      </c>
      <c r="M502" t="s">
        <v>49</v>
      </c>
      <c r="N502">
        <v>20</v>
      </c>
      <c r="O502" t="s">
        <v>50</v>
      </c>
      <c r="P502" t="s">
        <v>34</v>
      </c>
      <c r="Q502">
        <v>3</v>
      </c>
      <c r="R502">
        <v>3</v>
      </c>
      <c r="S502">
        <v>3</v>
      </c>
      <c r="T502">
        <v>2</v>
      </c>
      <c r="U502">
        <v>2</v>
      </c>
      <c r="V502">
        <v>2</v>
      </c>
      <c r="W502" t="s">
        <v>56</v>
      </c>
      <c r="X502" t="s">
        <v>52</v>
      </c>
      <c r="Y502" t="s">
        <v>37</v>
      </c>
      <c r="Z502">
        <v>48</v>
      </c>
      <c r="AA502" t="s">
        <v>50</v>
      </c>
      <c r="AB502" t="s">
        <v>126</v>
      </c>
      <c r="AC502" t="s">
        <v>50</v>
      </c>
    </row>
    <row r="503" spans="1:29" x14ac:dyDescent="0.35">
      <c r="A503" t="s">
        <v>587</v>
      </c>
      <c r="B503" t="s">
        <v>29</v>
      </c>
      <c r="C503" s="1">
        <v>44724</v>
      </c>
      <c r="D503" s="2">
        <v>0.93680555555555556</v>
      </c>
      <c r="E503" s="2">
        <v>2.2685185185185182E-3</v>
      </c>
      <c r="K503" t="s">
        <v>30</v>
      </c>
      <c r="L503" t="s">
        <v>31</v>
      </c>
      <c r="M503" t="s">
        <v>42</v>
      </c>
      <c r="N503">
        <v>53</v>
      </c>
      <c r="O503" t="s">
        <v>81</v>
      </c>
      <c r="P503" t="s">
        <v>50</v>
      </c>
      <c r="Q503">
        <v>1</v>
      </c>
      <c r="R503">
        <v>4</v>
      </c>
      <c r="S503">
        <v>1</v>
      </c>
      <c r="T503">
        <v>2</v>
      </c>
      <c r="U503">
        <v>2</v>
      </c>
      <c r="V503">
        <v>3</v>
      </c>
      <c r="W503" t="s">
        <v>51</v>
      </c>
      <c r="X503" t="s">
        <v>60</v>
      </c>
      <c r="Y503" t="s">
        <v>57</v>
      </c>
      <c r="Z503">
        <v>30</v>
      </c>
      <c r="AA503" t="s">
        <v>45</v>
      </c>
      <c r="AB503" t="s">
        <v>126</v>
      </c>
      <c r="AC503" t="s">
        <v>46</v>
      </c>
    </row>
    <row r="504" spans="1:29" x14ac:dyDescent="0.35">
      <c r="A504" t="s">
        <v>588</v>
      </c>
      <c r="B504" t="s">
        <v>29</v>
      </c>
      <c r="C504" s="1">
        <v>44724</v>
      </c>
      <c r="D504" s="2">
        <v>0.96944444444444444</v>
      </c>
      <c r="E504" s="2">
        <v>3.3912037037037036E-3</v>
      </c>
      <c r="K504" t="s">
        <v>50</v>
      </c>
      <c r="L504" t="s">
        <v>41</v>
      </c>
      <c r="M504" t="s">
        <v>49</v>
      </c>
      <c r="N504">
        <v>20</v>
      </c>
      <c r="O504" t="s">
        <v>70</v>
      </c>
      <c r="P504" t="s">
        <v>34</v>
      </c>
      <c r="Q504">
        <v>3</v>
      </c>
      <c r="R504">
        <v>8</v>
      </c>
      <c r="S504">
        <v>8</v>
      </c>
      <c r="T504">
        <v>5</v>
      </c>
      <c r="U504">
        <v>3</v>
      </c>
      <c r="V504">
        <v>5</v>
      </c>
      <c r="W504" t="s">
        <v>59</v>
      </c>
      <c r="X504" t="s">
        <v>60</v>
      </c>
      <c r="Y504" t="s">
        <v>37</v>
      </c>
      <c r="Z504">
        <v>28</v>
      </c>
      <c r="AA504" t="s">
        <v>95</v>
      </c>
      <c r="AB504" t="s">
        <v>124</v>
      </c>
      <c r="AC504" t="s">
        <v>50</v>
      </c>
    </row>
    <row r="505" spans="1:29" x14ac:dyDescent="0.35">
      <c r="A505" t="s">
        <v>589</v>
      </c>
      <c r="B505" t="s">
        <v>29</v>
      </c>
      <c r="C505" s="1">
        <v>44724</v>
      </c>
      <c r="D505" s="2">
        <v>0.98263888888888884</v>
      </c>
      <c r="E505" s="2">
        <v>1.3657407407407409E-3</v>
      </c>
      <c r="K505" t="s">
        <v>50</v>
      </c>
      <c r="L505" t="s">
        <v>41</v>
      </c>
      <c r="M505" t="s">
        <v>49</v>
      </c>
      <c r="N505">
        <v>20</v>
      </c>
      <c r="O505" t="s">
        <v>76</v>
      </c>
      <c r="P505" t="s">
        <v>34</v>
      </c>
      <c r="Q505">
        <v>5</v>
      </c>
      <c r="R505">
        <v>8</v>
      </c>
      <c r="S505">
        <v>7</v>
      </c>
      <c r="T505">
        <v>7</v>
      </c>
      <c r="U505">
        <v>3</v>
      </c>
      <c r="V505">
        <v>2</v>
      </c>
      <c r="W505" t="s">
        <v>59</v>
      </c>
      <c r="X505" t="s">
        <v>60</v>
      </c>
      <c r="Y505" t="s">
        <v>37</v>
      </c>
      <c r="Z505">
        <v>25</v>
      </c>
      <c r="AA505" t="s">
        <v>95</v>
      </c>
      <c r="AB505" t="s">
        <v>124</v>
      </c>
      <c r="AC505" t="s">
        <v>50</v>
      </c>
    </row>
    <row r="506" spans="1:29" x14ac:dyDescent="0.35">
      <c r="A506" t="s">
        <v>590</v>
      </c>
      <c r="B506" t="s">
        <v>29</v>
      </c>
      <c r="C506" s="1">
        <v>44725</v>
      </c>
      <c r="D506" s="2">
        <v>1.8055555555555557E-2</v>
      </c>
      <c r="E506" s="2">
        <v>1.0416666666666667E-3</v>
      </c>
      <c r="K506" t="s">
        <v>50</v>
      </c>
      <c r="L506" t="s">
        <v>41</v>
      </c>
      <c r="M506" t="s">
        <v>32</v>
      </c>
      <c r="N506">
        <v>116</v>
      </c>
      <c r="O506" t="s">
        <v>76</v>
      </c>
      <c r="P506" t="s">
        <v>50</v>
      </c>
      <c r="Q506">
        <v>6</v>
      </c>
      <c r="R506">
        <v>5</v>
      </c>
      <c r="S506">
        <v>4</v>
      </c>
      <c r="T506">
        <v>4</v>
      </c>
      <c r="U506">
        <v>3</v>
      </c>
      <c r="V506">
        <v>4</v>
      </c>
      <c r="W506" t="s">
        <v>51</v>
      </c>
      <c r="X506" t="s">
        <v>60</v>
      </c>
      <c r="Y506" t="s">
        <v>37</v>
      </c>
      <c r="Z506">
        <v>24</v>
      </c>
      <c r="AA506" t="s">
        <v>38</v>
      </c>
      <c r="AB506" t="s">
        <v>126</v>
      </c>
      <c r="AC506" t="s">
        <v>550</v>
      </c>
    </row>
    <row r="507" spans="1:29" x14ac:dyDescent="0.35">
      <c r="A507" t="s">
        <v>591</v>
      </c>
      <c r="B507" t="s">
        <v>29</v>
      </c>
      <c r="C507" s="1">
        <v>44725</v>
      </c>
      <c r="D507" s="2">
        <v>4.027777777777778E-2</v>
      </c>
      <c r="E507" s="2">
        <v>1.9791666666666668E-3</v>
      </c>
      <c r="K507" t="s">
        <v>30</v>
      </c>
      <c r="L507" t="s">
        <v>31</v>
      </c>
      <c r="M507" t="s">
        <v>42</v>
      </c>
      <c r="N507">
        <v>53</v>
      </c>
      <c r="O507" t="s">
        <v>50</v>
      </c>
      <c r="P507" t="s">
        <v>34</v>
      </c>
      <c r="Q507">
        <v>5</v>
      </c>
      <c r="R507">
        <v>10</v>
      </c>
      <c r="S507">
        <v>7</v>
      </c>
      <c r="T507">
        <v>7</v>
      </c>
      <c r="U507">
        <v>4</v>
      </c>
      <c r="V507">
        <v>8</v>
      </c>
      <c r="W507" t="s">
        <v>51</v>
      </c>
      <c r="X507" t="s">
        <v>60</v>
      </c>
      <c r="Y507" t="s">
        <v>37</v>
      </c>
      <c r="Z507">
        <v>31</v>
      </c>
      <c r="AA507" t="s">
        <v>38</v>
      </c>
      <c r="AB507" t="s">
        <v>124</v>
      </c>
      <c r="AC507" t="s">
        <v>53</v>
      </c>
    </row>
    <row r="508" spans="1:29" x14ac:dyDescent="0.35">
      <c r="A508" t="s">
        <v>592</v>
      </c>
      <c r="B508" t="s">
        <v>29</v>
      </c>
      <c r="C508" s="1">
        <v>44725</v>
      </c>
      <c r="D508" s="2">
        <v>7.6388888888888895E-2</v>
      </c>
      <c r="E508" s="2">
        <v>1.2384259259259258E-3</v>
      </c>
      <c r="K508" t="s">
        <v>48</v>
      </c>
      <c r="L508" t="s">
        <v>41</v>
      </c>
      <c r="M508" t="s">
        <v>49</v>
      </c>
      <c r="N508">
        <v>20</v>
      </c>
      <c r="O508" t="s">
        <v>294</v>
      </c>
      <c r="P508" t="s">
        <v>34</v>
      </c>
      <c r="Q508">
        <v>3</v>
      </c>
      <c r="R508">
        <v>3</v>
      </c>
      <c r="S508">
        <v>8</v>
      </c>
      <c r="T508">
        <v>9</v>
      </c>
      <c r="U508">
        <v>5</v>
      </c>
      <c r="V508">
        <v>3</v>
      </c>
      <c r="W508" t="s">
        <v>51</v>
      </c>
      <c r="X508" t="s">
        <v>60</v>
      </c>
      <c r="Y508" t="s">
        <v>37</v>
      </c>
      <c r="Z508">
        <v>23</v>
      </c>
      <c r="AA508" t="s">
        <v>79</v>
      </c>
      <c r="AB508" t="s">
        <v>124</v>
      </c>
      <c r="AC508" t="s">
        <v>50</v>
      </c>
    </row>
    <row r="509" spans="1:29" x14ac:dyDescent="0.35">
      <c r="A509" t="s">
        <v>593</v>
      </c>
      <c r="B509" t="s">
        <v>29</v>
      </c>
      <c r="C509" s="1">
        <v>44725</v>
      </c>
      <c r="D509" s="2">
        <v>8.2638888888888887E-2</v>
      </c>
      <c r="E509" s="2">
        <v>2.1527777777777778E-3</v>
      </c>
      <c r="K509" t="s">
        <v>30</v>
      </c>
      <c r="L509" t="s">
        <v>41</v>
      </c>
      <c r="M509" t="s">
        <v>42</v>
      </c>
      <c r="N509">
        <v>53</v>
      </c>
      <c r="O509" t="s">
        <v>50</v>
      </c>
      <c r="P509" t="s">
        <v>50</v>
      </c>
      <c r="Q509">
        <v>1</v>
      </c>
      <c r="R509">
        <v>4</v>
      </c>
      <c r="S509">
        <v>4</v>
      </c>
      <c r="T509">
        <v>1</v>
      </c>
      <c r="U509">
        <v>1</v>
      </c>
      <c r="V509">
        <v>4</v>
      </c>
      <c r="W509" t="s">
        <v>51</v>
      </c>
      <c r="X509" t="s">
        <v>82</v>
      </c>
      <c r="Y509" t="s">
        <v>57</v>
      </c>
      <c r="Z509">
        <v>48</v>
      </c>
      <c r="AA509" t="s">
        <v>79</v>
      </c>
      <c r="AB509" t="s">
        <v>126</v>
      </c>
      <c r="AC509" t="s">
        <v>39</v>
      </c>
    </row>
    <row r="510" spans="1:29" x14ac:dyDescent="0.35">
      <c r="A510" t="s">
        <v>594</v>
      </c>
      <c r="B510" t="s">
        <v>29</v>
      </c>
      <c r="C510" s="1">
        <v>44725</v>
      </c>
      <c r="D510" s="2">
        <v>0.1111111111111111</v>
      </c>
      <c r="E510" s="2">
        <v>6.9444444444444447E-4</v>
      </c>
      <c r="K510" t="s">
        <v>30</v>
      </c>
      <c r="L510" t="s">
        <v>31</v>
      </c>
      <c r="M510" t="s">
        <v>73</v>
      </c>
      <c r="N510">
        <v>76</v>
      </c>
      <c r="O510" t="s">
        <v>33</v>
      </c>
      <c r="P510" t="s">
        <v>34</v>
      </c>
      <c r="Q510">
        <v>6</v>
      </c>
      <c r="R510">
        <v>9</v>
      </c>
      <c r="S510">
        <v>8</v>
      </c>
      <c r="T510">
        <v>8</v>
      </c>
      <c r="U510">
        <v>8</v>
      </c>
      <c r="V510">
        <v>7</v>
      </c>
      <c r="W510" t="s">
        <v>66</v>
      </c>
      <c r="X510" t="s">
        <v>60</v>
      </c>
      <c r="Y510" t="s">
        <v>37</v>
      </c>
      <c r="Z510">
        <v>28</v>
      </c>
      <c r="AA510" t="s">
        <v>38</v>
      </c>
      <c r="AB510" t="s">
        <v>124</v>
      </c>
      <c r="AC510" t="s">
        <v>53</v>
      </c>
    </row>
    <row r="511" spans="1:29" x14ac:dyDescent="0.35">
      <c r="A511" t="s">
        <v>595</v>
      </c>
      <c r="B511" t="s">
        <v>29</v>
      </c>
      <c r="C511" s="1">
        <v>44725</v>
      </c>
      <c r="D511" s="2">
        <v>0.13055555555555556</v>
      </c>
      <c r="E511" s="2">
        <v>1.4351851851851854E-3</v>
      </c>
      <c r="K511" t="s">
        <v>30</v>
      </c>
      <c r="L511" t="s">
        <v>31</v>
      </c>
      <c r="M511" t="s">
        <v>42</v>
      </c>
      <c r="N511">
        <v>53</v>
      </c>
      <c r="O511" t="s">
        <v>50</v>
      </c>
      <c r="P511" t="s">
        <v>34</v>
      </c>
      <c r="Q511">
        <v>5</v>
      </c>
      <c r="R511">
        <v>7</v>
      </c>
      <c r="S511">
        <v>7</v>
      </c>
      <c r="T511">
        <v>7</v>
      </c>
      <c r="U511">
        <v>7</v>
      </c>
      <c r="V511">
        <v>7</v>
      </c>
      <c r="W511" t="s">
        <v>59</v>
      </c>
      <c r="X511" t="s">
        <v>60</v>
      </c>
      <c r="Y511" t="s">
        <v>37</v>
      </c>
      <c r="Z511">
        <v>32</v>
      </c>
      <c r="AA511" t="s">
        <v>79</v>
      </c>
      <c r="AB511" t="s">
        <v>126</v>
      </c>
      <c r="AC511" t="s">
        <v>71</v>
      </c>
    </row>
    <row r="512" spans="1:29" x14ac:dyDescent="0.35">
      <c r="A512" t="s">
        <v>596</v>
      </c>
      <c r="B512" t="s">
        <v>29</v>
      </c>
      <c r="C512" s="1">
        <v>44725</v>
      </c>
      <c r="D512" s="2">
        <v>0.15277777777777776</v>
      </c>
      <c r="E512" s="2">
        <v>3.2986111111111111E-3</v>
      </c>
      <c r="K512" t="s">
        <v>63</v>
      </c>
      <c r="L512" t="s">
        <v>31</v>
      </c>
      <c r="M512" t="s">
        <v>42</v>
      </c>
      <c r="N512">
        <v>53</v>
      </c>
      <c r="O512" t="s">
        <v>43</v>
      </c>
      <c r="P512" t="s">
        <v>34</v>
      </c>
      <c r="Q512">
        <v>5</v>
      </c>
      <c r="R512">
        <v>7</v>
      </c>
      <c r="S512">
        <v>7</v>
      </c>
      <c r="T512">
        <v>4</v>
      </c>
      <c r="U512">
        <v>5</v>
      </c>
      <c r="V512">
        <v>7</v>
      </c>
      <c r="W512" t="s">
        <v>66</v>
      </c>
      <c r="X512" t="s">
        <v>60</v>
      </c>
      <c r="Y512" t="s">
        <v>37</v>
      </c>
      <c r="Z512">
        <v>30</v>
      </c>
      <c r="AA512" t="s">
        <v>50</v>
      </c>
      <c r="AB512" t="s">
        <v>124</v>
      </c>
      <c r="AC512" t="s">
        <v>46</v>
      </c>
    </row>
    <row r="513" spans="1:29" x14ac:dyDescent="0.35">
      <c r="A513" t="s">
        <v>597</v>
      </c>
      <c r="B513" t="s">
        <v>29</v>
      </c>
      <c r="C513" s="1">
        <v>44725</v>
      </c>
      <c r="D513" s="2">
        <v>0.22569444444444445</v>
      </c>
      <c r="E513" s="2">
        <v>2.4189814814814816E-3</v>
      </c>
      <c r="K513" t="s">
        <v>30</v>
      </c>
      <c r="L513" t="s">
        <v>31</v>
      </c>
      <c r="M513" t="s">
        <v>49</v>
      </c>
      <c r="N513">
        <v>20</v>
      </c>
      <c r="O513" t="s">
        <v>50</v>
      </c>
      <c r="P513" t="s">
        <v>34</v>
      </c>
      <c r="Q513">
        <v>5</v>
      </c>
      <c r="R513">
        <v>5</v>
      </c>
      <c r="S513">
        <v>7</v>
      </c>
      <c r="T513">
        <v>7</v>
      </c>
      <c r="U513">
        <v>7</v>
      </c>
      <c r="V513">
        <v>8</v>
      </c>
      <c r="W513" t="s">
        <v>66</v>
      </c>
      <c r="X513" t="s">
        <v>52</v>
      </c>
      <c r="Y513" t="s">
        <v>37</v>
      </c>
      <c r="Z513">
        <v>32</v>
      </c>
      <c r="AA513" t="s">
        <v>50</v>
      </c>
      <c r="AB513" t="s">
        <v>126</v>
      </c>
      <c r="AC513" t="s">
        <v>39</v>
      </c>
    </row>
    <row r="514" spans="1:29" x14ac:dyDescent="0.35">
      <c r="A514" t="s">
        <v>598</v>
      </c>
      <c r="B514" t="s">
        <v>29</v>
      </c>
      <c r="C514" s="1">
        <v>44725</v>
      </c>
      <c r="D514" s="2">
        <v>0.23124999999999998</v>
      </c>
      <c r="E514" s="2">
        <v>1.2731481481481483E-3</v>
      </c>
      <c r="K514" t="s">
        <v>30</v>
      </c>
      <c r="L514" t="s">
        <v>31</v>
      </c>
      <c r="M514" t="s">
        <v>49</v>
      </c>
      <c r="N514">
        <v>20</v>
      </c>
      <c r="O514" t="s">
        <v>76</v>
      </c>
      <c r="P514" t="s">
        <v>34</v>
      </c>
      <c r="Q514">
        <v>0</v>
      </c>
      <c r="R514">
        <v>3</v>
      </c>
      <c r="S514">
        <v>0</v>
      </c>
      <c r="T514">
        <v>1</v>
      </c>
      <c r="U514">
        <v>0</v>
      </c>
      <c r="V514">
        <v>0</v>
      </c>
      <c r="W514" t="s">
        <v>51</v>
      </c>
      <c r="X514" t="s">
        <v>82</v>
      </c>
      <c r="Y514" t="s">
        <v>57</v>
      </c>
      <c r="Z514">
        <v>30</v>
      </c>
      <c r="AA514" t="s">
        <v>50</v>
      </c>
      <c r="AB514" t="s">
        <v>126</v>
      </c>
      <c r="AC514" t="s">
        <v>50</v>
      </c>
    </row>
    <row r="515" spans="1:29" x14ac:dyDescent="0.35">
      <c r="A515" t="s">
        <v>599</v>
      </c>
      <c r="B515" t="s">
        <v>29</v>
      </c>
      <c r="C515" s="1">
        <v>44725</v>
      </c>
      <c r="D515" s="2">
        <v>0.25208333333333333</v>
      </c>
      <c r="E515" s="2">
        <v>1.9560185185185184E-3</v>
      </c>
      <c r="K515" t="s">
        <v>30</v>
      </c>
      <c r="L515" t="s">
        <v>31</v>
      </c>
      <c r="M515" t="s">
        <v>49</v>
      </c>
      <c r="N515">
        <v>20</v>
      </c>
      <c r="O515" t="s">
        <v>50</v>
      </c>
      <c r="P515" t="s">
        <v>34</v>
      </c>
      <c r="Q515">
        <v>4</v>
      </c>
      <c r="R515">
        <v>2</v>
      </c>
      <c r="S515">
        <v>5</v>
      </c>
      <c r="T515">
        <v>2</v>
      </c>
      <c r="U515">
        <v>4</v>
      </c>
      <c r="V515">
        <v>4</v>
      </c>
      <c r="W515" t="s">
        <v>66</v>
      </c>
      <c r="X515" t="s">
        <v>52</v>
      </c>
      <c r="Y515" t="s">
        <v>57</v>
      </c>
      <c r="Z515">
        <v>35</v>
      </c>
      <c r="AA515" t="s">
        <v>50</v>
      </c>
      <c r="AB515" t="s">
        <v>126</v>
      </c>
      <c r="AC515" t="s">
        <v>39</v>
      </c>
    </row>
    <row r="516" spans="1:29" x14ac:dyDescent="0.35">
      <c r="A516" t="s">
        <v>600</v>
      </c>
      <c r="B516" t="s">
        <v>29</v>
      </c>
      <c r="C516" s="1">
        <v>44725</v>
      </c>
      <c r="D516" s="2">
        <v>0.29305555555555557</v>
      </c>
      <c r="E516" s="2">
        <v>2.2337962962962967E-3</v>
      </c>
      <c r="K516" t="s">
        <v>86</v>
      </c>
      <c r="L516" t="s">
        <v>31</v>
      </c>
      <c r="M516" t="s">
        <v>49</v>
      </c>
      <c r="N516">
        <v>20</v>
      </c>
      <c r="O516" t="s">
        <v>76</v>
      </c>
      <c r="P516" t="s">
        <v>44</v>
      </c>
      <c r="Q516" t="s">
        <v>128</v>
      </c>
      <c r="V516">
        <v>10</v>
      </c>
      <c r="W516" t="s">
        <v>51</v>
      </c>
      <c r="X516" t="s">
        <v>36</v>
      </c>
      <c r="Y516" t="s">
        <v>57</v>
      </c>
      <c r="Z516">
        <v>38</v>
      </c>
      <c r="AA516" t="s">
        <v>79</v>
      </c>
      <c r="AB516" t="s">
        <v>126</v>
      </c>
      <c r="AC516" t="s">
        <v>53</v>
      </c>
    </row>
    <row r="517" spans="1:29" x14ac:dyDescent="0.35">
      <c r="A517" t="s">
        <v>601</v>
      </c>
      <c r="B517" t="s">
        <v>29</v>
      </c>
      <c r="C517" s="1">
        <v>44725</v>
      </c>
      <c r="D517" s="2">
        <v>0.39097222222222222</v>
      </c>
      <c r="E517" s="2">
        <v>7.9861111111111105E-4</v>
      </c>
      <c r="K517" t="s">
        <v>50</v>
      </c>
      <c r="L517" t="s">
        <v>31</v>
      </c>
      <c r="M517" t="s">
        <v>73</v>
      </c>
      <c r="N517">
        <v>76</v>
      </c>
      <c r="O517" t="s">
        <v>50</v>
      </c>
      <c r="P517" t="s">
        <v>34</v>
      </c>
      <c r="Q517">
        <v>6</v>
      </c>
      <c r="R517">
        <v>6</v>
      </c>
      <c r="S517">
        <v>7</v>
      </c>
      <c r="T517">
        <v>7</v>
      </c>
      <c r="U517">
        <v>6</v>
      </c>
      <c r="V517">
        <v>7</v>
      </c>
      <c r="W517" t="s">
        <v>51</v>
      </c>
      <c r="X517" t="s">
        <v>82</v>
      </c>
      <c r="Y517" t="s">
        <v>57</v>
      </c>
      <c r="Z517">
        <v>30</v>
      </c>
      <c r="AA517" t="s">
        <v>38</v>
      </c>
      <c r="AB517" t="s">
        <v>126</v>
      </c>
      <c r="AC517" t="s">
        <v>46</v>
      </c>
    </row>
    <row r="518" spans="1:29" x14ac:dyDescent="0.35">
      <c r="A518" t="s">
        <v>602</v>
      </c>
      <c r="B518" t="s">
        <v>29</v>
      </c>
      <c r="C518" s="1">
        <v>44725</v>
      </c>
      <c r="D518" s="2">
        <v>0.39166666666666666</v>
      </c>
      <c r="E518" s="2">
        <v>9.9537037037037042E-4</v>
      </c>
      <c r="K518" t="s">
        <v>30</v>
      </c>
      <c r="L518" t="s">
        <v>31</v>
      </c>
      <c r="M518" t="s">
        <v>42</v>
      </c>
      <c r="N518">
        <v>53</v>
      </c>
      <c r="O518" t="s">
        <v>76</v>
      </c>
      <c r="P518" t="s">
        <v>34</v>
      </c>
      <c r="Q518">
        <v>3</v>
      </c>
      <c r="R518">
        <v>3</v>
      </c>
      <c r="S518">
        <v>5</v>
      </c>
      <c r="T518">
        <v>4</v>
      </c>
      <c r="U518">
        <v>4</v>
      </c>
      <c r="V518">
        <v>4</v>
      </c>
      <c r="W518" t="s">
        <v>66</v>
      </c>
      <c r="X518" t="s">
        <v>60</v>
      </c>
      <c r="Y518" t="s">
        <v>37</v>
      </c>
      <c r="Z518">
        <v>48</v>
      </c>
      <c r="AA518" t="s">
        <v>38</v>
      </c>
      <c r="AB518" t="s">
        <v>124</v>
      </c>
      <c r="AC518" t="s">
        <v>39</v>
      </c>
    </row>
    <row r="519" spans="1:29" x14ac:dyDescent="0.35">
      <c r="A519" t="s">
        <v>603</v>
      </c>
      <c r="B519" t="s">
        <v>29</v>
      </c>
      <c r="C519" s="1">
        <v>44725</v>
      </c>
      <c r="D519" s="2">
        <v>0.3972222222222222</v>
      </c>
      <c r="E519" s="2">
        <v>9.9537037037037042E-4</v>
      </c>
      <c r="K519" t="s">
        <v>30</v>
      </c>
      <c r="L519" t="s">
        <v>31</v>
      </c>
      <c r="M519" t="s">
        <v>73</v>
      </c>
      <c r="N519">
        <v>76</v>
      </c>
      <c r="O519" t="s">
        <v>43</v>
      </c>
      <c r="P519" t="s">
        <v>50</v>
      </c>
      <c r="Q519">
        <v>5</v>
      </c>
      <c r="R519">
        <v>8</v>
      </c>
      <c r="S519">
        <v>5</v>
      </c>
      <c r="T519">
        <v>5</v>
      </c>
      <c r="U519">
        <v>5</v>
      </c>
      <c r="V519">
        <v>4</v>
      </c>
      <c r="W519" t="s">
        <v>51</v>
      </c>
      <c r="X519" t="s">
        <v>36</v>
      </c>
      <c r="Y519" t="s">
        <v>37</v>
      </c>
      <c r="Z519">
        <v>32</v>
      </c>
      <c r="AA519" t="s">
        <v>45</v>
      </c>
      <c r="AB519" t="s">
        <v>126</v>
      </c>
      <c r="AC519" t="s">
        <v>46</v>
      </c>
    </row>
    <row r="520" spans="1:29" x14ac:dyDescent="0.35">
      <c r="A520" t="s">
        <v>604</v>
      </c>
      <c r="B520" t="s">
        <v>29</v>
      </c>
      <c r="C520" s="1">
        <v>44725</v>
      </c>
      <c r="D520" s="2">
        <v>0.4375</v>
      </c>
      <c r="E520" s="2">
        <v>8.3333333333333339E-4</v>
      </c>
      <c r="K520" t="s">
        <v>50</v>
      </c>
      <c r="L520" t="s">
        <v>31</v>
      </c>
      <c r="M520" t="s">
        <v>42</v>
      </c>
      <c r="N520">
        <v>53</v>
      </c>
      <c r="O520" t="s">
        <v>70</v>
      </c>
      <c r="P520" t="s">
        <v>34</v>
      </c>
      <c r="Q520">
        <v>4</v>
      </c>
      <c r="R520">
        <v>5</v>
      </c>
      <c r="S520">
        <v>4</v>
      </c>
      <c r="T520">
        <v>5</v>
      </c>
      <c r="U520">
        <v>5</v>
      </c>
      <c r="V520">
        <v>6</v>
      </c>
      <c r="W520" t="s">
        <v>59</v>
      </c>
      <c r="X520" t="s">
        <v>52</v>
      </c>
      <c r="Y520" t="s">
        <v>37</v>
      </c>
      <c r="Z520">
        <v>27</v>
      </c>
      <c r="AA520" t="s">
        <v>95</v>
      </c>
      <c r="AB520" t="s">
        <v>124</v>
      </c>
      <c r="AC520" t="s">
        <v>550</v>
      </c>
    </row>
    <row r="521" spans="1:29" x14ac:dyDescent="0.35">
      <c r="A521" t="s">
        <v>605</v>
      </c>
      <c r="B521" t="s">
        <v>29</v>
      </c>
      <c r="C521" s="1">
        <v>44725</v>
      </c>
      <c r="D521" s="2">
        <v>0.45</v>
      </c>
      <c r="E521" s="2">
        <v>1.0879629629629629E-3</v>
      </c>
      <c r="K521" t="s">
        <v>50</v>
      </c>
      <c r="L521" t="s">
        <v>41</v>
      </c>
      <c r="M521" t="s">
        <v>42</v>
      </c>
      <c r="N521">
        <v>53</v>
      </c>
      <c r="O521" t="s">
        <v>76</v>
      </c>
      <c r="P521" t="s">
        <v>34</v>
      </c>
      <c r="Q521">
        <v>7</v>
      </c>
      <c r="R521">
        <v>9</v>
      </c>
      <c r="S521">
        <v>5</v>
      </c>
      <c r="T521">
        <v>6</v>
      </c>
      <c r="U521">
        <v>6</v>
      </c>
      <c r="V521">
        <v>7</v>
      </c>
      <c r="W521" t="s">
        <v>51</v>
      </c>
      <c r="X521" t="s">
        <v>50</v>
      </c>
      <c r="Y521" t="s">
        <v>37</v>
      </c>
      <c r="Z521">
        <v>27</v>
      </c>
      <c r="AA521" t="s">
        <v>79</v>
      </c>
      <c r="AB521" t="s">
        <v>126</v>
      </c>
      <c r="AC521" t="s">
        <v>39</v>
      </c>
    </row>
    <row r="522" spans="1:29" x14ac:dyDescent="0.35">
      <c r="A522" t="s">
        <v>606</v>
      </c>
      <c r="B522" t="s">
        <v>29</v>
      </c>
      <c r="C522" s="1">
        <v>44725</v>
      </c>
      <c r="D522" s="2">
        <v>0.47916666666666669</v>
      </c>
      <c r="E522" s="2">
        <v>1.9097222222222222E-3</v>
      </c>
      <c r="K522" t="s">
        <v>86</v>
      </c>
      <c r="L522" t="s">
        <v>41</v>
      </c>
      <c r="M522" t="s">
        <v>49</v>
      </c>
      <c r="N522">
        <v>20</v>
      </c>
      <c r="O522" t="s">
        <v>43</v>
      </c>
      <c r="P522" t="s">
        <v>34</v>
      </c>
      <c r="Q522">
        <v>8</v>
      </c>
      <c r="R522">
        <v>7</v>
      </c>
      <c r="S522">
        <v>6</v>
      </c>
      <c r="T522">
        <v>7</v>
      </c>
      <c r="U522">
        <v>8</v>
      </c>
      <c r="V522">
        <v>10</v>
      </c>
      <c r="W522" t="s">
        <v>66</v>
      </c>
      <c r="X522" t="s">
        <v>36</v>
      </c>
      <c r="Y522" t="s">
        <v>37</v>
      </c>
      <c r="Z522">
        <v>24</v>
      </c>
      <c r="AA522" t="s">
        <v>50</v>
      </c>
      <c r="AB522" t="s">
        <v>124</v>
      </c>
      <c r="AC522" t="s">
        <v>50</v>
      </c>
    </row>
    <row r="523" spans="1:29" x14ac:dyDescent="0.35">
      <c r="A523" t="s">
        <v>607</v>
      </c>
      <c r="B523" t="s">
        <v>29</v>
      </c>
      <c r="C523" s="1">
        <v>44725</v>
      </c>
      <c r="D523" s="2">
        <v>0.4861111111111111</v>
      </c>
      <c r="E523" s="2">
        <v>4.9768518518518521E-4</v>
      </c>
      <c r="K523" t="s">
        <v>63</v>
      </c>
      <c r="L523" t="s">
        <v>31</v>
      </c>
      <c r="M523" t="s">
        <v>55</v>
      </c>
      <c r="N523">
        <v>188</v>
      </c>
      <c r="O523" t="s">
        <v>43</v>
      </c>
      <c r="P523" t="s">
        <v>44</v>
      </c>
      <c r="Q523">
        <v>9</v>
      </c>
      <c r="R523">
        <v>9</v>
      </c>
      <c r="S523">
        <v>9</v>
      </c>
      <c r="T523">
        <v>9</v>
      </c>
      <c r="U523">
        <v>8</v>
      </c>
      <c r="V523">
        <v>8</v>
      </c>
      <c r="W523" t="s">
        <v>59</v>
      </c>
      <c r="X523" t="s">
        <v>60</v>
      </c>
      <c r="Y523" t="s">
        <v>37</v>
      </c>
      <c r="Z523">
        <v>42</v>
      </c>
      <c r="AA523" t="s">
        <v>38</v>
      </c>
      <c r="AB523" t="s">
        <v>153</v>
      </c>
      <c r="AC523" t="s">
        <v>46</v>
      </c>
    </row>
    <row r="524" spans="1:29" x14ac:dyDescent="0.35">
      <c r="A524" t="s">
        <v>608</v>
      </c>
      <c r="B524" t="s">
        <v>29</v>
      </c>
      <c r="C524" s="1">
        <v>44725</v>
      </c>
      <c r="D524" s="2">
        <v>0.4993055555555555</v>
      </c>
      <c r="E524" s="2">
        <v>2.0601851851851853E-3</v>
      </c>
      <c r="K524" t="s">
        <v>50</v>
      </c>
      <c r="L524" t="s">
        <v>41</v>
      </c>
      <c r="M524" t="s">
        <v>42</v>
      </c>
      <c r="N524">
        <v>53</v>
      </c>
      <c r="O524" t="s">
        <v>76</v>
      </c>
      <c r="P524" t="s">
        <v>34</v>
      </c>
      <c r="Q524">
        <v>8</v>
      </c>
      <c r="R524">
        <v>6</v>
      </c>
      <c r="S524">
        <v>6</v>
      </c>
      <c r="T524">
        <v>8</v>
      </c>
      <c r="U524">
        <v>7</v>
      </c>
      <c r="V524">
        <v>8</v>
      </c>
      <c r="W524" t="s">
        <v>66</v>
      </c>
      <c r="X524" t="s">
        <v>60</v>
      </c>
      <c r="Y524" t="s">
        <v>37</v>
      </c>
      <c r="Z524">
        <v>24</v>
      </c>
      <c r="AA524" t="s">
        <v>38</v>
      </c>
      <c r="AB524" t="s">
        <v>124</v>
      </c>
      <c r="AC524" t="s">
        <v>71</v>
      </c>
    </row>
    <row r="525" spans="1:29" x14ac:dyDescent="0.35">
      <c r="A525" t="s">
        <v>609</v>
      </c>
      <c r="B525" t="s">
        <v>29</v>
      </c>
      <c r="C525" s="1">
        <v>44725</v>
      </c>
      <c r="D525" s="2">
        <v>0.5</v>
      </c>
      <c r="E525" s="2">
        <v>7.8703703703703705E-4</v>
      </c>
      <c r="K525" t="s">
        <v>325</v>
      </c>
      <c r="L525" t="s">
        <v>31</v>
      </c>
      <c r="M525" t="s">
        <v>49</v>
      </c>
      <c r="N525">
        <v>20</v>
      </c>
      <c r="O525" t="s">
        <v>76</v>
      </c>
      <c r="P525" t="s">
        <v>34</v>
      </c>
      <c r="Q525">
        <v>5</v>
      </c>
      <c r="R525">
        <v>9</v>
      </c>
      <c r="S525">
        <v>7</v>
      </c>
      <c r="T525">
        <v>7</v>
      </c>
      <c r="U525">
        <v>6</v>
      </c>
      <c r="V525">
        <v>9</v>
      </c>
      <c r="W525" t="s">
        <v>51</v>
      </c>
      <c r="X525" t="s">
        <v>60</v>
      </c>
      <c r="Y525" t="s">
        <v>37</v>
      </c>
      <c r="Z525">
        <v>23</v>
      </c>
      <c r="AA525" t="s">
        <v>95</v>
      </c>
      <c r="AB525" t="s">
        <v>124</v>
      </c>
      <c r="AC525" t="s">
        <v>46</v>
      </c>
    </row>
    <row r="526" spans="1:29" x14ac:dyDescent="0.35">
      <c r="A526" t="s">
        <v>610</v>
      </c>
      <c r="B526" t="s">
        <v>29</v>
      </c>
      <c r="C526" s="1">
        <v>44725</v>
      </c>
      <c r="D526" s="2">
        <v>0.51736111111111105</v>
      </c>
      <c r="E526" s="2">
        <v>9.3750000000000007E-4</v>
      </c>
      <c r="K526" t="s">
        <v>30</v>
      </c>
      <c r="L526" t="s">
        <v>41</v>
      </c>
      <c r="M526" t="s">
        <v>49</v>
      </c>
      <c r="N526">
        <v>20</v>
      </c>
      <c r="O526" t="s">
        <v>76</v>
      </c>
      <c r="P526" t="s">
        <v>34</v>
      </c>
      <c r="Q526">
        <v>7</v>
      </c>
      <c r="R526">
        <v>9</v>
      </c>
      <c r="S526">
        <v>8</v>
      </c>
      <c r="T526">
        <v>8</v>
      </c>
      <c r="U526">
        <v>4</v>
      </c>
      <c r="V526">
        <v>2</v>
      </c>
      <c r="W526" t="s">
        <v>66</v>
      </c>
      <c r="X526" t="s">
        <v>60</v>
      </c>
      <c r="Y526" t="s">
        <v>37</v>
      </c>
      <c r="Z526">
        <v>26</v>
      </c>
      <c r="AA526" t="s">
        <v>95</v>
      </c>
      <c r="AB526" t="s">
        <v>124</v>
      </c>
      <c r="AC526" t="s">
        <v>46</v>
      </c>
    </row>
    <row r="527" spans="1:29" x14ac:dyDescent="0.35">
      <c r="A527" t="s">
        <v>611</v>
      </c>
      <c r="B527" t="s">
        <v>29</v>
      </c>
      <c r="C527" s="1">
        <v>44725</v>
      </c>
      <c r="D527" s="2">
        <v>0.5395833333333333</v>
      </c>
      <c r="E527" s="2">
        <v>1.4004629629629629E-3</v>
      </c>
      <c r="K527" t="s">
        <v>30</v>
      </c>
      <c r="L527" t="s">
        <v>41</v>
      </c>
      <c r="M527" t="s">
        <v>42</v>
      </c>
      <c r="N527">
        <v>53</v>
      </c>
      <c r="O527" t="s">
        <v>50</v>
      </c>
      <c r="P527" t="s">
        <v>50</v>
      </c>
      <c r="Q527">
        <v>5</v>
      </c>
      <c r="R527">
        <v>6</v>
      </c>
      <c r="S527">
        <v>6</v>
      </c>
      <c r="T527">
        <v>2</v>
      </c>
      <c r="U527">
        <v>2</v>
      </c>
      <c r="V527">
        <v>3</v>
      </c>
      <c r="W527" t="s">
        <v>66</v>
      </c>
      <c r="X527" t="s">
        <v>60</v>
      </c>
      <c r="Y527" t="s">
        <v>37</v>
      </c>
      <c r="Z527">
        <v>32</v>
      </c>
      <c r="AA527" t="s">
        <v>50</v>
      </c>
      <c r="AB527" t="s">
        <v>124</v>
      </c>
      <c r="AC527" t="s">
        <v>53</v>
      </c>
    </row>
    <row r="528" spans="1:29" x14ac:dyDescent="0.35">
      <c r="A528" t="s">
        <v>612</v>
      </c>
      <c r="B528" t="s">
        <v>29</v>
      </c>
      <c r="C528" s="1">
        <v>44725</v>
      </c>
      <c r="D528" s="2">
        <v>0.55833333333333335</v>
      </c>
      <c r="E528" s="2">
        <v>1.9907407407407408E-3</v>
      </c>
      <c r="K528" t="s">
        <v>50</v>
      </c>
      <c r="L528" t="s">
        <v>41</v>
      </c>
      <c r="M528" t="s">
        <v>49</v>
      </c>
      <c r="N528">
        <v>20</v>
      </c>
      <c r="O528" t="s">
        <v>70</v>
      </c>
      <c r="P528" t="s">
        <v>34</v>
      </c>
      <c r="Q528">
        <v>4</v>
      </c>
      <c r="R528">
        <v>3</v>
      </c>
      <c r="S528">
        <v>2</v>
      </c>
      <c r="T528">
        <v>0</v>
      </c>
      <c r="U528">
        <v>0</v>
      </c>
      <c r="V528">
        <v>0</v>
      </c>
      <c r="W528" t="s">
        <v>66</v>
      </c>
      <c r="X528" t="s">
        <v>52</v>
      </c>
      <c r="Y528" t="s">
        <v>37</v>
      </c>
      <c r="Z528">
        <v>35</v>
      </c>
      <c r="AA528" t="s">
        <v>50</v>
      </c>
      <c r="AB528" t="s">
        <v>124</v>
      </c>
      <c r="AC528" t="s">
        <v>39</v>
      </c>
    </row>
    <row r="529" spans="1:29" x14ac:dyDescent="0.35">
      <c r="A529" t="s">
        <v>613</v>
      </c>
      <c r="B529" t="s">
        <v>29</v>
      </c>
      <c r="C529" s="1">
        <v>44725</v>
      </c>
      <c r="D529" s="2">
        <v>0.56041666666666667</v>
      </c>
      <c r="E529" s="2">
        <v>9.0277777777777784E-4</v>
      </c>
      <c r="K529" t="s">
        <v>30</v>
      </c>
      <c r="L529" t="s">
        <v>31</v>
      </c>
      <c r="M529" t="s">
        <v>32</v>
      </c>
      <c r="N529">
        <v>116</v>
      </c>
      <c r="O529" t="s">
        <v>33</v>
      </c>
      <c r="P529" t="s">
        <v>34</v>
      </c>
      <c r="Q529">
        <v>4</v>
      </c>
      <c r="R529">
        <v>3</v>
      </c>
      <c r="S529">
        <v>4</v>
      </c>
      <c r="T529">
        <v>2</v>
      </c>
      <c r="U529">
        <v>2</v>
      </c>
      <c r="V529">
        <v>2</v>
      </c>
      <c r="W529" t="s">
        <v>51</v>
      </c>
      <c r="X529" t="s">
        <v>52</v>
      </c>
      <c r="Y529" t="s">
        <v>37</v>
      </c>
      <c r="Z529">
        <v>41</v>
      </c>
      <c r="AA529" t="s">
        <v>38</v>
      </c>
      <c r="AB529" t="s">
        <v>120</v>
      </c>
      <c r="AC529" t="s">
        <v>39</v>
      </c>
    </row>
    <row r="530" spans="1:29" x14ac:dyDescent="0.35">
      <c r="A530" t="s">
        <v>614</v>
      </c>
      <c r="B530" t="s">
        <v>29</v>
      </c>
      <c r="C530" s="1">
        <v>44725</v>
      </c>
      <c r="D530" s="2">
        <v>0.57777777777777783</v>
      </c>
      <c r="E530" s="2">
        <v>6.8287037037037025E-4</v>
      </c>
      <c r="K530" t="s">
        <v>50</v>
      </c>
      <c r="L530" t="s">
        <v>41</v>
      </c>
      <c r="M530" t="s">
        <v>42</v>
      </c>
      <c r="N530">
        <v>53</v>
      </c>
      <c r="O530" t="s">
        <v>78</v>
      </c>
      <c r="P530" t="s">
        <v>34</v>
      </c>
      <c r="Q530">
        <v>4</v>
      </c>
      <c r="R530">
        <v>9</v>
      </c>
      <c r="S530">
        <v>8</v>
      </c>
      <c r="T530">
        <v>8</v>
      </c>
      <c r="U530">
        <v>6</v>
      </c>
      <c r="V530">
        <v>7</v>
      </c>
      <c r="W530" t="s">
        <v>66</v>
      </c>
      <c r="X530" t="s">
        <v>60</v>
      </c>
      <c r="Y530" t="s">
        <v>37</v>
      </c>
      <c r="Z530">
        <v>25</v>
      </c>
      <c r="AA530" t="s">
        <v>38</v>
      </c>
      <c r="AB530" t="s">
        <v>126</v>
      </c>
      <c r="AC530" t="s">
        <v>39</v>
      </c>
    </row>
    <row r="531" spans="1:29" x14ac:dyDescent="0.35">
      <c r="A531" t="s">
        <v>615</v>
      </c>
      <c r="B531" t="s">
        <v>29</v>
      </c>
      <c r="C531" s="1">
        <v>44725</v>
      </c>
      <c r="D531" s="2">
        <v>0.5805555555555556</v>
      </c>
      <c r="E531" s="2">
        <v>7.407407407407407E-4</v>
      </c>
      <c r="K531" t="s">
        <v>30</v>
      </c>
      <c r="L531" t="s">
        <v>31</v>
      </c>
      <c r="M531" t="s">
        <v>49</v>
      </c>
      <c r="N531">
        <v>20</v>
      </c>
      <c r="O531" t="s">
        <v>81</v>
      </c>
      <c r="P531" t="s">
        <v>34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 t="s">
        <v>35</v>
      </c>
      <c r="X531" t="s">
        <v>60</v>
      </c>
      <c r="Y531" t="s">
        <v>57</v>
      </c>
      <c r="Z531">
        <v>28</v>
      </c>
      <c r="AA531" t="s">
        <v>38</v>
      </c>
      <c r="AB531" t="s">
        <v>126</v>
      </c>
      <c r="AC531" t="s">
        <v>46</v>
      </c>
    </row>
    <row r="532" spans="1:29" x14ac:dyDescent="0.35">
      <c r="A532" t="s">
        <v>616</v>
      </c>
      <c r="B532" t="s">
        <v>29</v>
      </c>
      <c r="C532" s="1">
        <v>44725</v>
      </c>
      <c r="D532" s="2">
        <v>0.58750000000000002</v>
      </c>
      <c r="E532" s="2">
        <v>5.7870370370370378E-4</v>
      </c>
      <c r="K532" t="s">
        <v>30</v>
      </c>
      <c r="L532" t="s">
        <v>31</v>
      </c>
      <c r="M532" t="s">
        <v>42</v>
      </c>
      <c r="N532">
        <v>53</v>
      </c>
      <c r="O532" t="s">
        <v>327</v>
      </c>
      <c r="P532" t="s">
        <v>34</v>
      </c>
      <c r="Q532">
        <v>3</v>
      </c>
      <c r="R532">
        <v>6</v>
      </c>
      <c r="S532">
        <v>5</v>
      </c>
      <c r="T532">
        <v>5</v>
      </c>
      <c r="U532">
        <v>5</v>
      </c>
      <c r="V532">
        <v>6</v>
      </c>
      <c r="W532" t="s">
        <v>66</v>
      </c>
      <c r="X532" t="s">
        <v>60</v>
      </c>
      <c r="Y532" t="s">
        <v>37</v>
      </c>
      <c r="Z532">
        <v>29</v>
      </c>
      <c r="AA532" t="s">
        <v>38</v>
      </c>
      <c r="AB532" t="s">
        <v>124</v>
      </c>
      <c r="AC532" t="s">
        <v>39</v>
      </c>
    </row>
    <row r="533" spans="1:29" x14ac:dyDescent="0.35">
      <c r="A533" t="s">
        <v>617</v>
      </c>
      <c r="B533" t="s">
        <v>29</v>
      </c>
      <c r="C533" s="1">
        <v>44725</v>
      </c>
      <c r="D533" s="2">
        <v>0.61875000000000002</v>
      </c>
      <c r="E533" s="2">
        <v>1.0416666666666667E-3</v>
      </c>
      <c r="K533" t="s">
        <v>86</v>
      </c>
      <c r="L533" t="s">
        <v>41</v>
      </c>
      <c r="M533" t="s">
        <v>49</v>
      </c>
      <c r="N533">
        <v>20</v>
      </c>
      <c r="O533" t="s">
        <v>70</v>
      </c>
      <c r="P533" t="s">
        <v>34</v>
      </c>
      <c r="Q533">
        <v>8</v>
      </c>
      <c r="R533">
        <v>10</v>
      </c>
      <c r="S533">
        <v>6</v>
      </c>
      <c r="T533">
        <v>7</v>
      </c>
      <c r="U533">
        <v>8</v>
      </c>
      <c r="V533">
        <v>8</v>
      </c>
      <c r="W533" t="s">
        <v>66</v>
      </c>
      <c r="X533" t="s">
        <v>60</v>
      </c>
      <c r="Y533" t="s">
        <v>37</v>
      </c>
      <c r="Z533">
        <v>19</v>
      </c>
      <c r="AA533" t="s">
        <v>38</v>
      </c>
      <c r="AB533" t="s">
        <v>120</v>
      </c>
      <c r="AC533" t="s">
        <v>39</v>
      </c>
    </row>
    <row r="534" spans="1:29" x14ac:dyDescent="0.35">
      <c r="A534" t="s">
        <v>618</v>
      </c>
      <c r="B534" t="s">
        <v>29</v>
      </c>
      <c r="C534" s="1">
        <v>44725</v>
      </c>
      <c r="D534" s="2">
        <v>0.62430555555555556</v>
      </c>
      <c r="E534" s="2">
        <v>9.8379629629629642E-4</v>
      </c>
      <c r="K534" t="s">
        <v>30</v>
      </c>
      <c r="L534" t="s">
        <v>31</v>
      </c>
      <c r="M534" t="s">
        <v>42</v>
      </c>
      <c r="N534">
        <v>53</v>
      </c>
      <c r="O534" t="s">
        <v>50</v>
      </c>
      <c r="P534" t="s">
        <v>34</v>
      </c>
      <c r="Q534">
        <v>5</v>
      </c>
      <c r="R534">
        <v>6</v>
      </c>
      <c r="S534">
        <v>9</v>
      </c>
      <c r="T534">
        <v>6</v>
      </c>
      <c r="U534">
        <v>7</v>
      </c>
      <c r="V534">
        <v>10</v>
      </c>
      <c r="W534" t="s">
        <v>66</v>
      </c>
      <c r="X534" t="s">
        <v>60</v>
      </c>
      <c r="Y534" t="s">
        <v>37</v>
      </c>
      <c r="Z534">
        <v>27</v>
      </c>
      <c r="AA534" t="s">
        <v>95</v>
      </c>
      <c r="AB534" t="s">
        <v>124</v>
      </c>
      <c r="AC534" t="s">
        <v>46</v>
      </c>
    </row>
    <row r="535" spans="1:29" x14ac:dyDescent="0.35">
      <c r="A535" t="s">
        <v>619</v>
      </c>
      <c r="B535" t="s">
        <v>29</v>
      </c>
      <c r="C535" s="1">
        <v>44725</v>
      </c>
      <c r="D535" s="2">
        <v>0.64236111111111105</v>
      </c>
      <c r="E535" s="2">
        <v>1.0763888888888889E-3</v>
      </c>
      <c r="K535" t="s">
        <v>86</v>
      </c>
      <c r="L535" t="s">
        <v>31</v>
      </c>
      <c r="M535" t="s">
        <v>49</v>
      </c>
      <c r="N535">
        <v>20</v>
      </c>
      <c r="O535" t="s">
        <v>43</v>
      </c>
      <c r="P535" t="s">
        <v>34</v>
      </c>
      <c r="Q535">
        <v>8</v>
      </c>
      <c r="R535">
        <v>9</v>
      </c>
      <c r="S535">
        <v>9</v>
      </c>
      <c r="T535">
        <v>7</v>
      </c>
      <c r="U535">
        <v>8</v>
      </c>
      <c r="V535">
        <v>8</v>
      </c>
      <c r="W535" t="s">
        <v>66</v>
      </c>
      <c r="X535" t="s">
        <v>60</v>
      </c>
      <c r="Y535" t="s">
        <v>37</v>
      </c>
      <c r="Z535">
        <v>25</v>
      </c>
      <c r="AA535" t="s">
        <v>50</v>
      </c>
      <c r="AB535" t="s">
        <v>124</v>
      </c>
      <c r="AC535" t="s">
        <v>39</v>
      </c>
    </row>
    <row r="536" spans="1:29" x14ac:dyDescent="0.35">
      <c r="A536" t="s">
        <v>620</v>
      </c>
      <c r="B536" t="s">
        <v>29</v>
      </c>
      <c r="C536" s="1">
        <v>44725</v>
      </c>
      <c r="D536" s="2">
        <v>0.67013888888888884</v>
      </c>
      <c r="E536" s="2">
        <v>1.2268518518518518E-3</v>
      </c>
      <c r="K536" t="s">
        <v>30</v>
      </c>
      <c r="L536" t="s">
        <v>31</v>
      </c>
      <c r="M536" t="s">
        <v>42</v>
      </c>
      <c r="N536">
        <v>53</v>
      </c>
      <c r="O536" t="s">
        <v>50</v>
      </c>
      <c r="P536" t="s">
        <v>34</v>
      </c>
      <c r="Q536">
        <v>6</v>
      </c>
      <c r="R536">
        <v>10</v>
      </c>
      <c r="S536">
        <v>10</v>
      </c>
      <c r="T536">
        <v>10</v>
      </c>
      <c r="U536">
        <v>10</v>
      </c>
      <c r="V536">
        <v>8</v>
      </c>
      <c r="W536" t="s">
        <v>59</v>
      </c>
      <c r="X536" t="s">
        <v>60</v>
      </c>
      <c r="Y536" t="s">
        <v>57</v>
      </c>
      <c r="Z536">
        <v>26</v>
      </c>
      <c r="AA536" t="s">
        <v>45</v>
      </c>
      <c r="AB536" t="s">
        <v>126</v>
      </c>
      <c r="AC536" t="s">
        <v>46</v>
      </c>
    </row>
    <row r="537" spans="1:29" x14ac:dyDescent="0.35">
      <c r="A537" t="s">
        <v>621</v>
      </c>
      <c r="B537" t="s">
        <v>29</v>
      </c>
      <c r="C537" s="1">
        <v>44725</v>
      </c>
      <c r="D537" s="2">
        <v>0.68194444444444446</v>
      </c>
      <c r="E537" s="2">
        <v>1.8750000000000001E-3</v>
      </c>
      <c r="K537" t="s">
        <v>30</v>
      </c>
      <c r="L537" t="s">
        <v>31</v>
      </c>
      <c r="M537" t="s">
        <v>49</v>
      </c>
      <c r="N537">
        <v>20</v>
      </c>
      <c r="O537" t="s">
        <v>33</v>
      </c>
      <c r="P537" t="s">
        <v>34</v>
      </c>
      <c r="Q537">
        <v>3</v>
      </c>
      <c r="R537">
        <v>4</v>
      </c>
      <c r="S537">
        <v>5</v>
      </c>
      <c r="T537">
        <v>5</v>
      </c>
      <c r="U537">
        <v>4</v>
      </c>
      <c r="V537">
        <v>5</v>
      </c>
      <c r="W537" t="s">
        <v>59</v>
      </c>
      <c r="X537" t="s">
        <v>52</v>
      </c>
      <c r="Y537" t="s">
        <v>37</v>
      </c>
      <c r="Z537">
        <v>25</v>
      </c>
      <c r="AA537" t="s">
        <v>50</v>
      </c>
      <c r="AB537" t="s">
        <v>124</v>
      </c>
      <c r="AC537" t="s">
        <v>39</v>
      </c>
    </row>
    <row r="538" spans="1:29" x14ac:dyDescent="0.35">
      <c r="A538" t="s">
        <v>622</v>
      </c>
      <c r="B538" t="s">
        <v>29</v>
      </c>
      <c r="C538" s="1">
        <v>44725</v>
      </c>
      <c r="D538" s="2">
        <v>0.7416666666666667</v>
      </c>
      <c r="E538" s="2">
        <v>5.7870370370370378E-4</v>
      </c>
      <c r="K538" t="s">
        <v>30</v>
      </c>
      <c r="L538" t="s">
        <v>31</v>
      </c>
      <c r="M538" t="s">
        <v>49</v>
      </c>
      <c r="N538">
        <v>20</v>
      </c>
      <c r="O538" t="s">
        <v>50</v>
      </c>
      <c r="P538" t="s">
        <v>34</v>
      </c>
      <c r="Q538">
        <v>6</v>
      </c>
      <c r="R538">
        <v>6</v>
      </c>
      <c r="S538">
        <v>9</v>
      </c>
      <c r="T538">
        <v>9</v>
      </c>
      <c r="U538">
        <v>10</v>
      </c>
      <c r="V538">
        <v>10</v>
      </c>
      <c r="W538" t="s">
        <v>66</v>
      </c>
      <c r="X538" t="s">
        <v>36</v>
      </c>
      <c r="Y538" t="s">
        <v>37</v>
      </c>
      <c r="Z538">
        <v>25</v>
      </c>
      <c r="AA538" t="s">
        <v>50</v>
      </c>
      <c r="AB538" t="s">
        <v>124</v>
      </c>
      <c r="AC538" t="s">
        <v>39</v>
      </c>
    </row>
    <row r="539" spans="1:29" x14ac:dyDescent="0.35">
      <c r="A539" t="s">
        <v>623</v>
      </c>
      <c r="B539" t="s">
        <v>29</v>
      </c>
      <c r="C539" s="1">
        <v>44725</v>
      </c>
      <c r="D539" s="2">
        <v>0.74722222222222223</v>
      </c>
      <c r="E539" s="2">
        <v>1.3541666666666667E-3</v>
      </c>
      <c r="K539" t="s">
        <v>30</v>
      </c>
      <c r="L539" t="s">
        <v>31</v>
      </c>
      <c r="M539" t="s">
        <v>49</v>
      </c>
      <c r="N539">
        <v>20</v>
      </c>
      <c r="O539" t="s">
        <v>33</v>
      </c>
      <c r="P539" t="s">
        <v>44</v>
      </c>
      <c r="Q539">
        <v>2</v>
      </c>
      <c r="R539">
        <v>3</v>
      </c>
      <c r="S539">
        <v>4</v>
      </c>
      <c r="T539">
        <v>3</v>
      </c>
      <c r="U539">
        <v>3</v>
      </c>
      <c r="V539">
        <v>5</v>
      </c>
      <c r="W539" t="s">
        <v>66</v>
      </c>
      <c r="X539" t="s">
        <v>52</v>
      </c>
      <c r="Y539" t="s">
        <v>37</v>
      </c>
      <c r="Z539">
        <v>26</v>
      </c>
      <c r="AA539" t="s">
        <v>50</v>
      </c>
      <c r="AB539" t="s">
        <v>124</v>
      </c>
      <c r="AC539" t="s">
        <v>53</v>
      </c>
    </row>
    <row r="540" spans="1:29" x14ac:dyDescent="0.35">
      <c r="A540" t="s">
        <v>624</v>
      </c>
      <c r="B540" t="s">
        <v>29</v>
      </c>
      <c r="C540" s="1">
        <v>44725</v>
      </c>
      <c r="D540" s="2">
        <v>0.74722222222222223</v>
      </c>
      <c r="E540" s="2">
        <v>7.7546296296296304E-4</v>
      </c>
      <c r="K540" t="s">
        <v>30</v>
      </c>
      <c r="L540" t="s">
        <v>31</v>
      </c>
      <c r="M540" t="s">
        <v>65</v>
      </c>
      <c r="N540">
        <v>138</v>
      </c>
      <c r="O540" t="s">
        <v>78</v>
      </c>
      <c r="P540" t="s">
        <v>34</v>
      </c>
      <c r="Q540">
        <v>8</v>
      </c>
      <c r="R540">
        <v>8</v>
      </c>
      <c r="S540">
        <v>7</v>
      </c>
      <c r="T540">
        <v>6</v>
      </c>
      <c r="U540">
        <v>7</v>
      </c>
      <c r="V540">
        <v>9</v>
      </c>
      <c r="W540" t="s">
        <v>66</v>
      </c>
      <c r="X540" t="s">
        <v>82</v>
      </c>
      <c r="Y540" t="s">
        <v>37</v>
      </c>
      <c r="Z540">
        <v>35</v>
      </c>
      <c r="AA540" t="s">
        <v>38</v>
      </c>
      <c r="AB540" t="s">
        <v>124</v>
      </c>
      <c r="AC540" t="s">
        <v>39</v>
      </c>
    </row>
    <row r="541" spans="1:29" x14ac:dyDescent="0.35">
      <c r="A541" t="s">
        <v>625</v>
      </c>
      <c r="B541" t="s">
        <v>29</v>
      </c>
      <c r="C541" s="1">
        <v>44725</v>
      </c>
      <c r="D541" s="2">
        <v>0.77847222222222223</v>
      </c>
      <c r="E541" s="2">
        <v>9.6064814814814808E-4</v>
      </c>
      <c r="K541" t="s">
        <v>30</v>
      </c>
      <c r="L541" t="s">
        <v>31</v>
      </c>
      <c r="M541" t="s">
        <v>68</v>
      </c>
      <c r="N541">
        <v>96</v>
      </c>
      <c r="O541" t="s">
        <v>50</v>
      </c>
      <c r="P541" t="s">
        <v>34</v>
      </c>
      <c r="Q541">
        <v>6</v>
      </c>
      <c r="R541">
        <v>7</v>
      </c>
      <c r="S541">
        <v>7</v>
      </c>
      <c r="T541">
        <v>6</v>
      </c>
      <c r="U541">
        <v>7</v>
      </c>
      <c r="V541">
        <v>6</v>
      </c>
      <c r="W541" t="s">
        <v>59</v>
      </c>
      <c r="X541" t="s">
        <v>36</v>
      </c>
      <c r="Y541" t="s">
        <v>37</v>
      </c>
      <c r="Z541">
        <v>29</v>
      </c>
      <c r="AA541" t="s">
        <v>38</v>
      </c>
      <c r="AB541" t="s">
        <v>126</v>
      </c>
      <c r="AC541" t="s">
        <v>53</v>
      </c>
    </row>
    <row r="542" spans="1:29" x14ac:dyDescent="0.35">
      <c r="A542" t="s">
        <v>626</v>
      </c>
      <c r="B542" t="s">
        <v>29</v>
      </c>
      <c r="C542" s="1">
        <v>44725</v>
      </c>
      <c r="D542" s="2">
        <v>0.78194444444444444</v>
      </c>
      <c r="E542" s="2">
        <v>1.2152777777777778E-3</v>
      </c>
      <c r="K542" t="s">
        <v>30</v>
      </c>
      <c r="L542" t="s">
        <v>31</v>
      </c>
      <c r="M542" t="s">
        <v>68</v>
      </c>
      <c r="N542">
        <v>96</v>
      </c>
      <c r="O542" t="s">
        <v>76</v>
      </c>
      <c r="P542" t="s">
        <v>34</v>
      </c>
      <c r="Q542">
        <v>7</v>
      </c>
      <c r="R542">
        <v>6</v>
      </c>
      <c r="S542">
        <v>5</v>
      </c>
      <c r="T542">
        <v>4</v>
      </c>
      <c r="U542">
        <v>3</v>
      </c>
      <c r="V542">
        <v>6</v>
      </c>
      <c r="W542" t="s">
        <v>66</v>
      </c>
      <c r="X542" t="s">
        <v>60</v>
      </c>
      <c r="Y542" t="s">
        <v>57</v>
      </c>
      <c r="Z542">
        <v>41</v>
      </c>
      <c r="AA542" t="s">
        <v>38</v>
      </c>
      <c r="AB542" t="s">
        <v>133</v>
      </c>
      <c r="AC542" t="s">
        <v>71</v>
      </c>
    </row>
    <row r="543" spans="1:29" x14ac:dyDescent="0.35">
      <c r="A543" t="s">
        <v>627</v>
      </c>
      <c r="B543" t="s">
        <v>29</v>
      </c>
      <c r="C543" s="1">
        <v>44725</v>
      </c>
      <c r="D543" s="2">
        <v>0.82916666666666661</v>
      </c>
      <c r="E543" s="2">
        <v>8.6805555555555551E-4</v>
      </c>
      <c r="K543" t="s">
        <v>86</v>
      </c>
      <c r="L543" t="s">
        <v>41</v>
      </c>
      <c r="M543" t="s">
        <v>49</v>
      </c>
      <c r="N543">
        <v>20</v>
      </c>
      <c r="O543" t="s">
        <v>78</v>
      </c>
      <c r="P543" t="s">
        <v>34</v>
      </c>
      <c r="Q543">
        <v>0</v>
      </c>
      <c r="R543">
        <v>6</v>
      </c>
      <c r="S543">
        <v>4</v>
      </c>
      <c r="T543">
        <v>5</v>
      </c>
      <c r="U543">
        <v>2</v>
      </c>
      <c r="V543">
        <v>4</v>
      </c>
      <c r="W543" t="s">
        <v>35</v>
      </c>
      <c r="X543" t="s">
        <v>36</v>
      </c>
      <c r="Y543" t="s">
        <v>57</v>
      </c>
      <c r="Z543">
        <v>22</v>
      </c>
      <c r="AA543" t="s">
        <v>38</v>
      </c>
      <c r="AB543" t="s">
        <v>124</v>
      </c>
      <c r="AC543" t="s">
        <v>71</v>
      </c>
    </row>
    <row r="544" spans="1:29" x14ac:dyDescent="0.35">
      <c r="A544" t="s">
        <v>628</v>
      </c>
      <c r="B544" t="s">
        <v>29</v>
      </c>
      <c r="C544" s="1">
        <v>44725</v>
      </c>
      <c r="D544" s="2">
        <v>0.88541666666666663</v>
      </c>
      <c r="E544" s="2">
        <v>1.736111111111111E-3</v>
      </c>
      <c r="K544" t="s">
        <v>30</v>
      </c>
      <c r="L544" t="s">
        <v>31</v>
      </c>
      <c r="M544" t="s">
        <v>73</v>
      </c>
      <c r="N544">
        <v>76</v>
      </c>
      <c r="O544" t="s">
        <v>33</v>
      </c>
      <c r="P544" t="s">
        <v>50</v>
      </c>
      <c r="Q544">
        <v>2</v>
      </c>
      <c r="R544">
        <v>6</v>
      </c>
      <c r="S544">
        <v>6</v>
      </c>
      <c r="T544">
        <v>4</v>
      </c>
      <c r="U544">
        <v>3</v>
      </c>
      <c r="V544">
        <v>3</v>
      </c>
      <c r="W544" t="s">
        <v>59</v>
      </c>
      <c r="X544" t="s">
        <v>60</v>
      </c>
      <c r="Y544" t="s">
        <v>37</v>
      </c>
      <c r="Z544">
        <v>35</v>
      </c>
      <c r="AA544" t="s">
        <v>38</v>
      </c>
      <c r="AB544" t="s">
        <v>124</v>
      </c>
      <c r="AC544" t="s">
        <v>71</v>
      </c>
    </row>
    <row r="545" spans="1:29" x14ac:dyDescent="0.35">
      <c r="A545" t="s">
        <v>629</v>
      </c>
      <c r="B545" t="s">
        <v>29</v>
      </c>
      <c r="C545" s="1">
        <v>44725</v>
      </c>
      <c r="D545" s="2">
        <v>0.89027777777777783</v>
      </c>
      <c r="E545" s="2">
        <v>1.4351851851851854E-3</v>
      </c>
      <c r="K545" t="s">
        <v>30</v>
      </c>
      <c r="L545" t="s">
        <v>31</v>
      </c>
      <c r="M545" t="s">
        <v>73</v>
      </c>
      <c r="N545">
        <v>76</v>
      </c>
      <c r="O545" t="s">
        <v>43</v>
      </c>
      <c r="P545" t="s">
        <v>34</v>
      </c>
      <c r="Q545">
        <v>4</v>
      </c>
      <c r="R545">
        <v>3</v>
      </c>
      <c r="S545">
        <v>4</v>
      </c>
      <c r="T545">
        <v>4</v>
      </c>
      <c r="U545">
        <v>4</v>
      </c>
      <c r="V545">
        <v>6</v>
      </c>
      <c r="W545" t="s">
        <v>35</v>
      </c>
      <c r="X545" t="s">
        <v>60</v>
      </c>
      <c r="Y545" t="s">
        <v>37</v>
      </c>
      <c r="Z545">
        <v>30</v>
      </c>
      <c r="AA545" t="s">
        <v>50</v>
      </c>
      <c r="AB545" t="s">
        <v>124</v>
      </c>
      <c r="AC545" t="s">
        <v>46</v>
      </c>
    </row>
    <row r="546" spans="1:29" x14ac:dyDescent="0.35">
      <c r="A546" t="s">
        <v>630</v>
      </c>
      <c r="B546" t="s">
        <v>29</v>
      </c>
      <c r="C546" s="1">
        <v>44725</v>
      </c>
      <c r="D546" s="2">
        <v>0.92222222222222217</v>
      </c>
      <c r="E546" s="2">
        <v>8.449074074074075E-4</v>
      </c>
      <c r="K546" t="s">
        <v>48</v>
      </c>
      <c r="L546" t="s">
        <v>41</v>
      </c>
      <c r="M546" t="s">
        <v>55</v>
      </c>
      <c r="N546">
        <v>188</v>
      </c>
      <c r="O546" t="s">
        <v>294</v>
      </c>
      <c r="P546" t="s">
        <v>34</v>
      </c>
      <c r="Q546">
        <v>4</v>
      </c>
      <c r="R546">
        <v>6</v>
      </c>
      <c r="S546">
        <v>3</v>
      </c>
      <c r="T546">
        <v>2</v>
      </c>
      <c r="U546">
        <v>3</v>
      </c>
      <c r="V546">
        <v>3</v>
      </c>
      <c r="W546" t="s">
        <v>66</v>
      </c>
      <c r="X546" t="s">
        <v>82</v>
      </c>
      <c r="Y546" t="s">
        <v>37</v>
      </c>
      <c r="Z546">
        <v>37</v>
      </c>
      <c r="AA546" t="s">
        <v>45</v>
      </c>
      <c r="AB546" t="s">
        <v>124</v>
      </c>
      <c r="AC546" t="s">
        <v>46</v>
      </c>
    </row>
    <row r="547" spans="1:29" x14ac:dyDescent="0.35">
      <c r="A547" t="s">
        <v>631</v>
      </c>
      <c r="B547" t="s">
        <v>29</v>
      </c>
      <c r="C547" s="1">
        <v>44725</v>
      </c>
      <c r="D547" s="2">
        <v>0.93125000000000002</v>
      </c>
      <c r="E547" s="2">
        <v>2.2569444444444447E-3</v>
      </c>
      <c r="K547" t="s">
        <v>30</v>
      </c>
      <c r="L547" t="s">
        <v>31</v>
      </c>
      <c r="M547" t="s">
        <v>73</v>
      </c>
      <c r="N547">
        <v>76</v>
      </c>
      <c r="O547" t="s">
        <v>50</v>
      </c>
      <c r="P547" t="s">
        <v>34</v>
      </c>
      <c r="Q547">
        <v>6</v>
      </c>
      <c r="R547">
        <v>7</v>
      </c>
      <c r="S547">
        <v>7</v>
      </c>
      <c r="T547">
        <v>5</v>
      </c>
      <c r="U547">
        <v>5</v>
      </c>
      <c r="V547">
        <v>9</v>
      </c>
      <c r="W547" t="s">
        <v>59</v>
      </c>
      <c r="X547" t="s">
        <v>60</v>
      </c>
      <c r="Y547" t="s">
        <v>57</v>
      </c>
      <c r="Z547">
        <v>28</v>
      </c>
      <c r="AA547" t="s">
        <v>38</v>
      </c>
      <c r="AB547" t="s">
        <v>126</v>
      </c>
      <c r="AC547" t="s">
        <v>53</v>
      </c>
    </row>
    <row r="548" spans="1:29" x14ac:dyDescent="0.35">
      <c r="A548" t="s">
        <v>632</v>
      </c>
      <c r="B548" t="s">
        <v>29</v>
      </c>
      <c r="C548" s="1">
        <v>44725</v>
      </c>
      <c r="D548" s="2">
        <v>0.96180555555555547</v>
      </c>
      <c r="E548" s="2">
        <v>6.7129629629629625E-4</v>
      </c>
      <c r="K548" t="s">
        <v>30</v>
      </c>
      <c r="L548" t="s">
        <v>41</v>
      </c>
      <c r="M548" t="s">
        <v>68</v>
      </c>
      <c r="N548">
        <v>96</v>
      </c>
      <c r="O548" t="s">
        <v>294</v>
      </c>
      <c r="P548" t="s">
        <v>34</v>
      </c>
      <c r="Q548">
        <v>7</v>
      </c>
      <c r="R548">
        <v>5</v>
      </c>
      <c r="S548">
        <v>6</v>
      </c>
      <c r="T548">
        <v>6</v>
      </c>
      <c r="U548">
        <v>4</v>
      </c>
      <c r="V548">
        <v>6</v>
      </c>
      <c r="W548" t="s">
        <v>66</v>
      </c>
      <c r="X548" t="s">
        <v>82</v>
      </c>
      <c r="Y548" t="s">
        <v>37</v>
      </c>
      <c r="Z548">
        <v>23</v>
      </c>
      <c r="AA548" t="s">
        <v>38</v>
      </c>
      <c r="AB548" t="s">
        <v>120</v>
      </c>
      <c r="AC548" t="s">
        <v>39</v>
      </c>
    </row>
    <row r="549" spans="1:29" x14ac:dyDescent="0.35">
      <c r="A549" t="s">
        <v>633</v>
      </c>
      <c r="B549" t="s">
        <v>29</v>
      </c>
      <c r="C549" s="1">
        <v>44726</v>
      </c>
      <c r="D549" s="2">
        <v>4.3750000000000004E-2</v>
      </c>
      <c r="E549" s="2">
        <v>1.3194444444444443E-3</v>
      </c>
      <c r="K549" t="s">
        <v>86</v>
      </c>
      <c r="L549" t="s">
        <v>41</v>
      </c>
      <c r="M549" t="s">
        <v>49</v>
      </c>
      <c r="N549">
        <v>20</v>
      </c>
      <c r="O549" t="s">
        <v>43</v>
      </c>
      <c r="P549" t="s">
        <v>34</v>
      </c>
      <c r="Q549">
        <v>3</v>
      </c>
      <c r="R549">
        <v>4</v>
      </c>
      <c r="S549">
        <v>8</v>
      </c>
      <c r="T549">
        <v>5</v>
      </c>
      <c r="U549">
        <v>5</v>
      </c>
      <c r="V549">
        <v>3</v>
      </c>
      <c r="W549" t="s">
        <v>66</v>
      </c>
      <c r="X549" t="s">
        <v>60</v>
      </c>
      <c r="Y549" t="s">
        <v>37</v>
      </c>
      <c r="Z549">
        <v>26</v>
      </c>
      <c r="AA549" t="s">
        <v>38</v>
      </c>
      <c r="AB549" t="s">
        <v>120</v>
      </c>
      <c r="AC549" t="s">
        <v>46</v>
      </c>
    </row>
    <row r="550" spans="1:29" x14ac:dyDescent="0.35">
      <c r="A550" t="s">
        <v>634</v>
      </c>
      <c r="B550" t="s">
        <v>29</v>
      </c>
      <c r="C550" s="1">
        <v>44726</v>
      </c>
      <c r="D550" s="2">
        <v>0.18819444444444444</v>
      </c>
      <c r="E550" s="2">
        <v>9.4907407407407408E-4</v>
      </c>
      <c r="K550" t="s">
        <v>30</v>
      </c>
      <c r="L550" t="s">
        <v>41</v>
      </c>
      <c r="M550" t="s">
        <v>73</v>
      </c>
      <c r="N550">
        <v>76</v>
      </c>
      <c r="O550" t="s">
        <v>50</v>
      </c>
      <c r="P550" t="s">
        <v>34</v>
      </c>
      <c r="Q550">
        <v>2</v>
      </c>
      <c r="R550">
        <v>4</v>
      </c>
      <c r="S550">
        <v>4</v>
      </c>
      <c r="T550">
        <v>3</v>
      </c>
      <c r="U550">
        <v>4</v>
      </c>
      <c r="V550">
        <v>4</v>
      </c>
      <c r="W550" t="s">
        <v>66</v>
      </c>
      <c r="X550" t="s">
        <v>52</v>
      </c>
      <c r="Y550" t="s">
        <v>37</v>
      </c>
      <c r="Z550">
        <v>25</v>
      </c>
      <c r="AA550" t="s">
        <v>50</v>
      </c>
      <c r="AB550" t="s">
        <v>124</v>
      </c>
      <c r="AC550" t="s">
        <v>305</v>
      </c>
    </row>
    <row r="551" spans="1:29" x14ac:dyDescent="0.35">
      <c r="A551" t="s">
        <v>635</v>
      </c>
      <c r="B551" t="s">
        <v>29</v>
      </c>
      <c r="C551" s="1">
        <v>44726</v>
      </c>
      <c r="D551" s="2">
        <v>0.21249999999999999</v>
      </c>
      <c r="E551" s="2">
        <v>1.0069444444444444E-3</v>
      </c>
      <c r="K551" t="s">
        <v>30</v>
      </c>
      <c r="L551" t="s">
        <v>41</v>
      </c>
      <c r="M551" t="s">
        <v>49</v>
      </c>
      <c r="N551">
        <v>20</v>
      </c>
      <c r="O551" t="s">
        <v>76</v>
      </c>
      <c r="P551" t="s">
        <v>34</v>
      </c>
      <c r="Q551">
        <v>0</v>
      </c>
      <c r="R551">
        <v>1</v>
      </c>
      <c r="S551">
        <v>2</v>
      </c>
      <c r="T551">
        <v>1</v>
      </c>
      <c r="U551">
        <v>1</v>
      </c>
      <c r="V551">
        <v>1</v>
      </c>
      <c r="W551" t="s">
        <v>66</v>
      </c>
      <c r="X551" t="s">
        <v>36</v>
      </c>
      <c r="Y551" t="s">
        <v>37</v>
      </c>
      <c r="Z551">
        <v>23</v>
      </c>
      <c r="AA551" t="s">
        <v>95</v>
      </c>
      <c r="AB551" t="s">
        <v>124</v>
      </c>
      <c r="AC551" t="s">
        <v>46</v>
      </c>
    </row>
    <row r="552" spans="1:29" x14ac:dyDescent="0.35">
      <c r="A552" t="s">
        <v>636</v>
      </c>
      <c r="B552" t="s">
        <v>29</v>
      </c>
      <c r="C552" s="1">
        <v>44726</v>
      </c>
      <c r="D552" s="2">
        <v>0.23750000000000002</v>
      </c>
      <c r="E552" s="2">
        <v>2.0023148148148148E-3</v>
      </c>
      <c r="K552" t="s">
        <v>86</v>
      </c>
      <c r="L552" t="s">
        <v>31</v>
      </c>
      <c r="M552" t="s">
        <v>49</v>
      </c>
      <c r="N552">
        <v>20</v>
      </c>
      <c r="O552" t="s">
        <v>50</v>
      </c>
      <c r="P552" t="s">
        <v>50</v>
      </c>
      <c r="Q552">
        <v>0</v>
      </c>
      <c r="R552">
        <v>1</v>
      </c>
      <c r="S552">
        <v>0</v>
      </c>
      <c r="T552">
        <v>0</v>
      </c>
      <c r="U552">
        <v>0</v>
      </c>
      <c r="V552">
        <v>0</v>
      </c>
      <c r="W552" t="s">
        <v>66</v>
      </c>
      <c r="X552" t="s">
        <v>82</v>
      </c>
      <c r="Y552" t="s">
        <v>37</v>
      </c>
      <c r="Z552">
        <v>53</v>
      </c>
      <c r="AA552" t="s">
        <v>50</v>
      </c>
      <c r="AB552" t="s">
        <v>124</v>
      </c>
      <c r="AC552" t="s">
        <v>53</v>
      </c>
    </row>
    <row r="553" spans="1:29" x14ac:dyDescent="0.35">
      <c r="A553" t="s">
        <v>637</v>
      </c>
      <c r="B553" t="s">
        <v>29</v>
      </c>
      <c r="C553" s="1">
        <v>44726</v>
      </c>
      <c r="D553" s="2">
        <v>0.24097222222222223</v>
      </c>
      <c r="E553" s="2">
        <v>1.1226851851851851E-3</v>
      </c>
      <c r="K553" t="s">
        <v>48</v>
      </c>
      <c r="L553" t="s">
        <v>31</v>
      </c>
      <c r="M553" t="s">
        <v>49</v>
      </c>
      <c r="N553">
        <v>20</v>
      </c>
      <c r="O553" t="s">
        <v>76</v>
      </c>
      <c r="P553" t="s">
        <v>34</v>
      </c>
      <c r="Q553">
        <v>4</v>
      </c>
      <c r="R553">
        <v>6</v>
      </c>
      <c r="S553">
        <v>6</v>
      </c>
      <c r="T553">
        <v>3</v>
      </c>
      <c r="U553">
        <v>7</v>
      </c>
      <c r="V553">
        <v>9</v>
      </c>
      <c r="W553" t="s">
        <v>66</v>
      </c>
      <c r="X553" t="s">
        <v>60</v>
      </c>
      <c r="Y553" t="s">
        <v>57</v>
      </c>
      <c r="Z553">
        <v>33</v>
      </c>
      <c r="AA553" t="s">
        <v>50</v>
      </c>
      <c r="AB553" t="s">
        <v>124</v>
      </c>
      <c r="AC553" t="s">
        <v>39</v>
      </c>
    </row>
    <row r="554" spans="1:29" x14ac:dyDescent="0.35">
      <c r="A554" t="s">
        <v>638</v>
      </c>
      <c r="B554" t="s">
        <v>29</v>
      </c>
      <c r="C554" s="1">
        <v>44726</v>
      </c>
      <c r="D554" s="2">
        <v>0.27361111111111108</v>
      </c>
      <c r="E554" s="2">
        <v>3.1134259259259257E-3</v>
      </c>
      <c r="K554" t="s">
        <v>86</v>
      </c>
      <c r="L554" t="s">
        <v>31</v>
      </c>
      <c r="M554" t="s">
        <v>49</v>
      </c>
      <c r="N554">
        <v>20</v>
      </c>
      <c r="O554" t="s">
        <v>43</v>
      </c>
      <c r="P554" t="s">
        <v>44</v>
      </c>
      <c r="Q554">
        <v>3</v>
      </c>
      <c r="R554">
        <v>5</v>
      </c>
      <c r="S554">
        <v>5</v>
      </c>
      <c r="T554">
        <v>4</v>
      </c>
      <c r="U554">
        <v>5</v>
      </c>
      <c r="V554">
        <v>6</v>
      </c>
      <c r="W554" t="s">
        <v>59</v>
      </c>
      <c r="X554" t="s">
        <v>60</v>
      </c>
      <c r="Y554" t="s">
        <v>37</v>
      </c>
      <c r="Z554">
        <v>39</v>
      </c>
      <c r="AA554" t="s">
        <v>50</v>
      </c>
      <c r="AB554" t="s">
        <v>120</v>
      </c>
      <c r="AC554" t="s">
        <v>53</v>
      </c>
    </row>
    <row r="555" spans="1:29" x14ac:dyDescent="0.35">
      <c r="A555" t="s">
        <v>639</v>
      </c>
      <c r="B555" t="s">
        <v>29</v>
      </c>
      <c r="C555" s="1">
        <v>44726</v>
      </c>
      <c r="D555" s="2">
        <v>0.27986111111111112</v>
      </c>
      <c r="E555" s="2">
        <v>7.5231481481481471E-4</v>
      </c>
      <c r="K555" t="s">
        <v>30</v>
      </c>
      <c r="L555" t="s">
        <v>31</v>
      </c>
      <c r="M555" t="s">
        <v>49</v>
      </c>
      <c r="N555">
        <v>20</v>
      </c>
      <c r="O555" t="s">
        <v>33</v>
      </c>
      <c r="P555" t="s">
        <v>50</v>
      </c>
      <c r="Q555">
        <v>6</v>
      </c>
      <c r="R555">
        <v>7</v>
      </c>
      <c r="S555">
        <v>5</v>
      </c>
      <c r="T555">
        <v>7</v>
      </c>
      <c r="U555">
        <v>7</v>
      </c>
      <c r="V555">
        <v>9</v>
      </c>
      <c r="W555" t="s">
        <v>59</v>
      </c>
      <c r="X555" t="s">
        <v>60</v>
      </c>
      <c r="Y555" t="s">
        <v>57</v>
      </c>
      <c r="Z555">
        <v>22</v>
      </c>
      <c r="AA555" t="s">
        <v>79</v>
      </c>
      <c r="AB555" t="s">
        <v>124</v>
      </c>
      <c r="AC555" t="s">
        <v>39</v>
      </c>
    </row>
    <row r="556" spans="1:29" x14ac:dyDescent="0.35">
      <c r="A556" t="s">
        <v>640</v>
      </c>
      <c r="B556" t="s">
        <v>29</v>
      </c>
      <c r="C556" s="1">
        <v>44726</v>
      </c>
      <c r="D556" s="2">
        <v>0.28680555555555554</v>
      </c>
      <c r="E556" s="2">
        <v>1.0879629629629629E-3</v>
      </c>
      <c r="K556" t="s">
        <v>30</v>
      </c>
      <c r="L556" t="s">
        <v>41</v>
      </c>
      <c r="M556" t="s">
        <v>42</v>
      </c>
      <c r="N556">
        <v>53</v>
      </c>
      <c r="O556" t="s">
        <v>43</v>
      </c>
      <c r="P556" t="s">
        <v>34</v>
      </c>
      <c r="Q556">
        <v>4</v>
      </c>
      <c r="R556">
        <v>7</v>
      </c>
      <c r="S556">
        <v>7</v>
      </c>
      <c r="T556">
        <v>7</v>
      </c>
      <c r="U556">
        <v>5</v>
      </c>
      <c r="V556">
        <v>5</v>
      </c>
      <c r="W556" t="s">
        <v>51</v>
      </c>
      <c r="X556" t="s">
        <v>60</v>
      </c>
      <c r="Y556" t="s">
        <v>37</v>
      </c>
      <c r="Z556">
        <v>24</v>
      </c>
      <c r="AA556" t="s">
        <v>50</v>
      </c>
      <c r="AB556" t="s">
        <v>124</v>
      </c>
      <c r="AC556" t="s">
        <v>39</v>
      </c>
    </row>
    <row r="557" spans="1:29" x14ac:dyDescent="0.35">
      <c r="A557" t="s">
        <v>641</v>
      </c>
      <c r="B557" t="s">
        <v>29</v>
      </c>
      <c r="C557" s="1">
        <v>44726</v>
      </c>
      <c r="D557" s="2">
        <v>0.39930555555555558</v>
      </c>
      <c r="E557" s="2">
        <v>1.1111111111111111E-3</v>
      </c>
      <c r="K557" t="s">
        <v>300</v>
      </c>
      <c r="L557" t="s">
        <v>41</v>
      </c>
      <c r="M557" t="s">
        <v>68</v>
      </c>
      <c r="N557">
        <v>96</v>
      </c>
      <c r="O557" t="s">
        <v>50</v>
      </c>
      <c r="P557" t="s">
        <v>34</v>
      </c>
      <c r="Q557">
        <v>5</v>
      </c>
      <c r="R557">
        <v>1</v>
      </c>
      <c r="S557">
        <v>3</v>
      </c>
      <c r="T557">
        <v>1</v>
      </c>
      <c r="U557">
        <v>4</v>
      </c>
      <c r="V557">
        <v>5</v>
      </c>
      <c r="W557" t="s">
        <v>59</v>
      </c>
      <c r="X557" t="s">
        <v>52</v>
      </c>
      <c r="Y557" t="s">
        <v>37</v>
      </c>
      <c r="Z557">
        <v>31</v>
      </c>
      <c r="AA557" t="s">
        <v>45</v>
      </c>
      <c r="AB557" t="s">
        <v>120</v>
      </c>
      <c r="AC557" t="s">
        <v>39</v>
      </c>
    </row>
    <row r="558" spans="1:29" x14ac:dyDescent="0.35">
      <c r="A558" t="s">
        <v>642</v>
      </c>
      <c r="B558" t="s">
        <v>29</v>
      </c>
      <c r="C558" s="1">
        <v>44726</v>
      </c>
      <c r="D558" s="2">
        <v>0.44513888888888892</v>
      </c>
      <c r="E558" s="2">
        <v>6.134259259259259E-4</v>
      </c>
      <c r="K558" t="s">
        <v>30</v>
      </c>
      <c r="L558" t="s">
        <v>31</v>
      </c>
      <c r="M558" t="s">
        <v>49</v>
      </c>
      <c r="N558">
        <v>20</v>
      </c>
      <c r="O558" t="s">
        <v>50</v>
      </c>
      <c r="P558" t="s">
        <v>34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 t="s">
        <v>35</v>
      </c>
      <c r="X558" t="s">
        <v>60</v>
      </c>
      <c r="Y558" t="s">
        <v>37</v>
      </c>
      <c r="Z558">
        <v>25</v>
      </c>
      <c r="AA558" t="s">
        <v>50</v>
      </c>
      <c r="AB558" t="s">
        <v>124</v>
      </c>
      <c r="AC558" t="s">
        <v>46</v>
      </c>
    </row>
    <row r="559" spans="1:29" x14ac:dyDescent="0.35">
      <c r="A559" t="s">
        <v>643</v>
      </c>
      <c r="B559" t="s">
        <v>29</v>
      </c>
      <c r="C559" s="1">
        <v>44726</v>
      </c>
      <c r="D559" s="2">
        <v>0.51874999999999993</v>
      </c>
      <c r="E559" s="2">
        <v>1.4699074074074074E-3</v>
      </c>
      <c r="K559" t="s">
        <v>86</v>
      </c>
      <c r="L559" t="s">
        <v>41</v>
      </c>
      <c r="M559" t="s">
        <v>49</v>
      </c>
      <c r="N559">
        <v>20</v>
      </c>
      <c r="O559" t="s">
        <v>76</v>
      </c>
      <c r="P559" t="s">
        <v>44</v>
      </c>
      <c r="Q559">
        <v>4</v>
      </c>
      <c r="R559">
        <v>7</v>
      </c>
      <c r="S559">
        <v>7</v>
      </c>
      <c r="T559">
        <v>6</v>
      </c>
      <c r="U559">
        <v>6</v>
      </c>
      <c r="V559">
        <v>6</v>
      </c>
      <c r="W559" t="s">
        <v>66</v>
      </c>
      <c r="X559" t="s">
        <v>60</v>
      </c>
      <c r="Y559" t="s">
        <v>37</v>
      </c>
      <c r="Z559">
        <v>25</v>
      </c>
      <c r="AA559" t="s">
        <v>95</v>
      </c>
      <c r="AB559" t="s">
        <v>124</v>
      </c>
      <c r="AC559" t="s">
        <v>46</v>
      </c>
    </row>
    <row r="560" spans="1:29" x14ac:dyDescent="0.35">
      <c r="A560" t="s">
        <v>644</v>
      </c>
      <c r="B560" t="s">
        <v>29</v>
      </c>
      <c r="C560" s="1">
        <v>44726</v>
      </c>
      <c r="D560" s="2">
        <v>0.5444444444444444</v>
      </c>
      <c r="E560" s="2">
        <v>1.4699074074074074E-3</v>
      </c>
      <c r="K560" t="s">
        <v>30</v>
      </c>
      <c r="L560" t="s">
        <v>41</v>
      </c>
      <c r="M560" t="s">
        <v>49</v>
      </c>
      <c r="N560">
        <v>20</v>
      </c>
      <c r="O560" t="s">
        <v>76</v>
      </c>
      <c r="P560" t="s">
        <v>34</v>
      </c>
      <c r="Q560">
        <v>3</v>
      </c>
      <c r="R560">
        <v>4</v>
      </c>
      <c r="S560">
        <v>4</v>
      </c>
      <c r="T560">
        <v>4</v>
      </c>
      <c r="U560">
        <v>2</v>
      </c>
      <c r="V560">
        <v>0</v>
      </c>
      <c r="W560" t="s">
        <v>66</v>
      </c>
      <c r="X560" t="s">
        <v>52</v>
      </c>
      <c r="Y560" t="s">
        <v>37</v>
      </c>
      <c r="Z560">
        <v>23</v>
      </c>
      <c r="AA560" t="s">
        <v>95</v>
      </c>
      <c r="AB560" t="s">
        <v>124</v>
      </c>
      <c r="AC560" t="s">
        <v>46</v>
      </c>
    </row>
    <row r="561" spans="1:29" x14ac:dyDescent="0.35">
      <c r="A561" t="s">
        <v>645</v>
      </c>
      <c r="B561" t="s">
        <v>29</v>
      </c>
      <c r="C561" s="1">
        <v>44726</v>
      </c>
      <c r="D561" s="2">
        <v>0.58472222222222225</v>
      </c>
      <c r="E561" s="2">
        <v>1.3425925925925925E-3</v>
      </c>
      <c r="K561" t="s">
        <v>50</v>
      </c>
      <c r="L561" t="s">
        <v>31</v>
      </c>
      <c r="M561" t="s">
        <v>42</v>
      </c>
      <c r="N561">
        <v>53</v>
      </c>
      <c r="O561" t="s">
        <v>50</v>
      </c>
      <c r="P561" t="s">
        <v>50</v>
      </c>
      <c r="Q561">
        <v>6</v>
      </c>
      <c r="R561">
        <v>7</v>
      </c>
      <c r="S561">
        <v>7</v>
      </c>
      <c r="T561">
        <v>7</v>
      </c>
      <c r="U561">
        <v>7</v>
      </c>
      <c r="V561">
        <v>6</v>
      </c>
      <c r="W561" t="s">
        <v>66</v>
      </c>
      <c r="X561" t="s">
        <v>50</v>
      </c>
      <c r="Y561" t="s">
        <v>37</v>
      </c>
      <c r="Z561">
        <v>23</v>
      </c>
      <c r="AA561" t="s">
        <v>95</v>
      </c>
      <c r="AB561" t="s">
        <v>124</v>
      </c>
      <c r="AC561" t="s">
        <v>46</v>
      </c>
    </row>
    <row r="562" spans="1:29" x14ac:dyDescent="0.35">
      <c r="A562" t="s">
        <v>646</v>
      </c>
      <c r="B562" t="s">
        <v>29</v>
      </c>
      <c r="C562" s="1">
        <v>44726</v>
      </c>
      <c r="D562" s="2">
        <v>0.7006944444444444</v>
      </c>
      <c r="E562" s="2">
        <v>1.0995370370370371E-3</v>
      </c>
      <c r="K562" t="s">
        <v>30</v>
      </c>
      <c r="L562" t="s">
        <v>41</v>
      </c>
      <c r="M562" t="s">
        <v>68</v>
      </c>
      <c r="N562">
        <v>96</v>
      </c>
      <c r="O562" t="s">
        <v>33</v>
      </c>
      <c r="P562" t="s">
        <v>34</v>
      </c>
      <c r="Q562">
        <v>8</v>
      </c>
      <c r="R562">
        <v>9</v>
      </c>
      <c r="S562">
        <v>8</v>
      </c>
      <c r="T562">
        <v>8</v>
      </c>
      <c r="U562">
        <v>8</v>
      </c>
      <c r="V562">
        <v>9</v>
      </c>
      <c r="W562" t="s">
        <v>59</v>
      </c>
      <c r="X562" t="s">
        <v>60</v>
      </c>
      <c r="Y562" t="s">
        <v>37</v>
      </c>
      <c r="Z562">
        <v>40</v>
      </c>
      <c r="AA562" t="s">
        <v>38</v>
      </c>
      <c r="AB562" t="s">
        <v>120</v>
      </c>
      <c r="AC562" t="s">
        <v>39</v>
      </c>
    </row>
    <row r="563" spans="1:29" x14ac:dyDescent="0.35">
      <c r="A563" t="s">
        <v>647</v>
      </c>
      <c r="B563" t="s">
        <v>29</v>
      </c>
      <c r="C563" s="1">
        <v>44726</v>
      </c>
      <c r="D563" s="2">
        <v>0.72638888888888886</v>
      </c>
      <c r="E563" s="2">
        <v>1.4120370370370369E-3</v>
      </c>
      <c r="K563" t="s">
        <v>30</v>
      </c>
      <c r="L563" t="s">
        <v>41</v>
      </c>
      <c r="M563" t="s">
        <v>42</v>
      </c>
      <c r="N563">
        <v>53</v>
      </c>
      <c r="O563" t="s">
        <v>50</v>
      </c>
      <c r="P563" t="s">
        <v>131</v>
      </c>
      <c r="Q563">
        <v>5</v>
      </c>
      <c r="R563">
        <v>6</v>
      </c>
      <c r="S563">
        <v>6</v>
      </c>
      <c r="T563">
        <v>2</v>
      </c>
      <c r="U563">
        <v>0</v>
      </c>
      <c r="V563">
        <v>4</v>
      </c>
      <c r="W563" t="s">
        <v>66</v>
      </c>
      <c r="X563" t="s">
        <v>60</v>
      </c>
      <c r="Y563" t="s">
        <v>37</v>
      </c>
      <c r="Z563">
        <v>29</v>
      </c>
      <c r="AA563" t="s">
        <v>38</v>
      </c>
      <c r="AB563" t="s">
        <v>124</v>
      </c>
      <c r="AC563" t="s">
        <v>71</v>
      </c>
    </row>
    <row r="564" spans="1:29" x14ac:dyDescent="0.35">
      <c r="A564" t="s">
        <v>648</v>
      </c>
      <c r="B564" t="s">
        <v>29</v>
      </c>
      <c r="C564" s="1">
        <v>44726</v>
      </c>
      <c r="D564" s="2">
        <v>0.73125000000000007</v>
      </c>
      <c r="E564" s="2">
        <v>2.2685185185185182E-3</v>
      </c>
      <c r="K564" t="s">
        <v>30</v>
      </c>
      <c r="L564" t="s">
        <v>31</v>
      </c>
      <c r="M564" t="s">
        <v>49</v>
      </c>
      <c r="N564">
        <v>20</v>
      </c>
      <c r="O564" t="s">
        <v>76</v>
      </c>
      <c r="P564" t="s">
        <v>34</v>
      </c>
      <c r="Q564">
        <v>1</v>
      </c>
      <c r="R564">
        <v>7</v>
      </c>
      <c r="S564">
        <v>5</v>
      </c>
      <c r="T564">
        <v>5</v>
      </c>
      <c r="U564">
        <v>4</v>
      </c>
      <c r="V564">
        <v>4</v>
      </c>
      <c r="W564" t="s">
        <v>59</v>
      </c>
      <c r="X564" t="s">
        <v>60</v>
      </c>
      <c r="Y564" t="s">
        <v>37</v>
      </c>
      <c r="Z564">
        <v>28</v>
      </c>
      <c r="AA564" t="s">
        <v>95</v>
      </c>
      <c r="AB564" t="s">
        <v>124</v>
      </c>
      <c r="AC564" t="s">
        <v>50</v>
      </c>
    </row>
    <row r="565" spans="1:29" x14ac:dyDescent="0.35">
      <c r="A565" t="s">
        <v>649</v>
      </c>
      <c r="B565" t="s">
        <v>29</v>
      </c>
      <c r="C565" s="1">
        <v>44726</v>
      </c>
      <c r="D565" s="2">
        <v>0.74236111111111114</v>
      </c>
      <c r="E565" s="2">
        <v>1.2037037037037038E-3</v>
      </c>
      <c r="K565" t="s">
        <v>30</v>
      </c>
      <c r="L565" t="s">
        <v>31</v>
      </c>
      <c r="M565" t="s">
        <v>49</v>
      </c>
      <c r="N565">
        <v>20</v>
      </c>
      <c r="O565" t="s">
        <v>33</v>
      </c>
      <c r="P565" t="s">
        <v>44</v>
      </c>
      <c r="Q565">
        <v>3</v>
      </c>
      <c r="R565">
        <v>6</v>
      </c>
      <c r="S565">
        <v>6</v>
      </c>
      <c r="T565">
        <v>4</v>
      </c>
      <c r="U565">
        <v>6</v>
      </c>
      <c r="V565">
        <v>3</v>
      </c>
      <c r="W565" t="s">
        <v>56</v>
      </c>
      <c r="X565" t="s">
        <v>60</v>
      </c>
      <c r="Y565" t="s">
        <v>57</v>
      </c>
      <c r="Z565">
        <v>28</v>
      </c>
      <c r="AA565" t="s">
        <v>79</v>
      </c>
      <c r="AB565" t="s">
        <v>126</v>
      </c>
      <c r="AC565" t="s">
        <v>53</v>
      </c>
    </row>
    <row r="566" spans="1:29" x14ac:dyDescent="0.35">
      <c r="A566" t="s">
        <v>650</v>
      </c>
      <c r="B566" t="s">
        <v>29</v>
      </c>
      <c r="C566" s="1">
        <v>44726</v>
      </c>
      <c r="D566" s="2">
        <v>0.97916666666666663</v>
      </c>
      <c r="E566" s="2">
        <v>7.175925925925927E-4</v>
      </c>
      <c r="K566" t="s">
        <v>86</v>
      </c>
      <c r="L566" t="s">
        <v>31</v>
      </c>
      <c r="M566" t="s">
        <v>49</v>
      </c>
      <c r="N566">
        <v>20</v>
      </c>
      <c r="O566" t="s">
        <v>70</v>
      </c>
      <c r="P566" t="s">
        <v>34</v>
      </c>
      <c r="Q566">
        <v>0</v>
      </c>
      <c r="R566">
        <v>3</v>
      </c>
      <c r="S566">
        <v>3</v>
      </c>
      <c r="T566">
        <v>4</v>
      </c>
      <c r="U566">
        <v>5</v>
      </c>
      <c r="V566">
        <v>5</v>
      </c>
      <c r="W566" t="s">
        <v>59</v>
      </c>
      <c r="X566" t="s">
        <v>52</v>
      </c>
      <c r="Y566" t="s">
        <v>57</v>
      </c>
      <c r="Z566">
        <v>26</v>
      </c>
      <c r="AA566" t="s">
        <v>95</v>
      </c>
      <c r="AB566" t="s">
        <v>126</v>
      </c>
      <c r="AC566" t="s">
        <v>46</v>
      </c>
    </row>
    <row r="567" spans="1:29" x14ac:dyDescent="0.35">
      <c r="A567" t="s">
        <v>651</v>
      </c>
      <c r="B567" t="s">
        <v>29</v>
      </c>
      <c r="C567" s="1">
        <v>44727</v>
      </c>
      <c r="D567" s="2">
        <v>2.0833333333333332E-2</v>
      </c>
      <c r="E567" s="2">
        <v>1.8865740740740742E-3</v>
      </c>
      <c r="K567" t="s">
        <v>48</v>
      </c>
      <c r="L567" t="s">
        <v>41</v>
      </c>
      <c r="M567" t="s">
        <v>42</v>
      </c>
      <c r="N567">
        <v>53</v>
      </c>
      <c r="O567" t="s">
        <v>81</v>
      </c>
      <c r="P567" t="s">
        <v>34</v>
      </c>
      <c r="Q567">
        <v>6</v>
      </c>
      <c r="R567">
        <v>8</v>
      </c>
      <c r="S567">
        <v>8</v>
      </c>
      <c r="T567">
        <v>5</v>
      </c>
      <c r="U567">
        <v>5</v>
      </c>
      <c r="V567">
        <v>5</v>
      </c>
      <c r="W567" t="s">
        <v>66</v>
      </c>
      <c r="X567" t="s">
        <v>60</v>
      </c>
      <c r="Y567" t="s">
        <v>37</v>
      </c>
      <c r="Z567">
        <v>30</v>
      </c>
      <c r="AA567" t="s">
        <v>50</v>
      </c>
      <c r="AB567" t="s">
        <v>126</v>
      </c>
      <c r="AC567" t="s">
        <v>39</v>
      </c>
    </row>
    <row r="568" spans="1:29" x14ac:dyDescent="0.35">
      <c r="A568" t="s">
        <v>652</v>
      </c>
      <c r="B568" t="s">
        <v>29</v>
      </c>
      <c r="C568" s="1">
        <v>44727</v>
      </c>
      <c r="D568" s="2">
        <v>2.2916666666666669E-2</v>
      </c>
      <c r="E568" s="2">
        <v>9.9537037037037042E-4</v>
      </c>
      <c r="K568" t="s">
        <v>30</v>
      </c>
      <c r="L568" t="s">
        <v>31</v>
      </c>
      <c r="M568" t="s">
        <v>73</v>
      </c>
      <c r="N568">
        <v>76</v>
      </c>
      <c r="O568" t="s">
        <v>78</v>
      </c>
      <c r="P568" t="s">
        <v>50</v>
      </c>
      <c r="Q568">
        <v>5</v>
      </c>
      <c r="R568">
        <v>9</v>
      </c>
      <c r="S568">
        <v>7</v>
      </c>
      <c r="T568">
        <v>9</v>
      </c>
      <c r="U568">
        <v>8</v>
      </c>
      <c r="V568">
        <v>9</v>
      </c>
      <c r="W568" t="s">
        <v>66</v>
      </c>
      <c r="X568" t="s">
        <v>60</v>
      </c>
      <c r="Y568" t="s">
        <v>37</v>
      </c>
      <c r="Z568">
        <v>27</v>
      </c>
      <c r="AA568" t="s">
        <v>50</v>
      </c>
      <c r="AB568" t="s">
        <v>124</v>
      </c>
      <c r="AC568" t="s">
        <v>46</v>
      </c>
    </row>
    <row r="569" spans="1:29" x14ac:dyDescent="0.35">
      <c r="A569" t="s">
        <v>653</v>
      </c>
      <c r="B569" t="s">
        <v>29</v>
      </c>
      <c r="C569" s="1">
        <v>44727</v>
      </c>
      <c r="D569" s="2">
        <v>2.6388888888888889E-2</v>
      </c>
      <c r="E569" s="2">
        <v>9.7222222222222209E-4</v>
      </c>
      <c r="K569" t="s">
        <v>30</v>
      </c>
      <c r="L569" t="s">
        <v>31</v>
      </c>
      <c r="M569" t="s">
        <v>49</v>
      </c>
      <c r="N569">
        <v>20</v>
      </c>
      <c r="O569" t="s">
        <v>50</v>
      </c>
      <c r="P569" t="s">
        <v>50</v>
      </c>
      <c r="Q569">
        <v>2</v>
      </c>
      <c r="R569">
        <v>0</v>
      </c>
      <c r="S569">
        <v>5</v>
      </c>
      <c r="T569">
        <v>3</v>
      </c>
      <c r="U569">
        <v>0</v>
      </c>
      <c r="V569">
        <v>3</v>
      </c>
      <c r="W569" t="s">
        <v>35</v>
      </c>
      <c r="X569" t="s">
        <v>36</v>
      </c>
      <c r="Y569" t="s">
        <v>37</v>
      </c>
      <c r="Z569">
        <v>28</v>
      </c>
      <c r="AA569" t="s">
        <v>50</v>
      </c>
      <c r="AB569" t="s">
        <v>124</v>
      </c>
      <c r="AC569" t="s">
        <v>53</v>
      </c>
    </row>
    <row r="570" spans="1:29" x14ac:dyDescent="0.35">
      <c r="A570" t="s">
        <v>654</v>
      </c>
      <c r="B570" t="s">
        <v>29</v>
      </c>
      <c r="C570" s="1">
        <v>44727</v>
      </c>
      <c r="D570" s="2">
        <v>0.17152777777777775</v>
      </c>
      <c r="E570" s="2">
        <v>1.4814814814814814E-3</v>
      </c>
      <c r="K570" t="s">
        <v>30</v>
      </c>
      <c r="L570" t="s">
        <v>41</v>
      </c>
      <c r="M570" t="s">
        <v>73</v>
      </c>
      <c r="N570">
        <v>76</v>
      </c>
      <c r="O570" t="s">
        <v>78</v>
      </c>
      <c r="P570" t="s">
        <v>34</v>
      </c>
      <c r="Q570">
        <v>3</v>
      </c>
      <c r="R570">
        <v>3</v>
      </c>
      <c r="S570">
        <v>5</v>
      </c>
      <c r="T570">
        <v>3</v>
      </c>
      <c r="U570">
        <v>3</v>
      </c>
      <c r="V570">
        <v>4</v>
      </c>
      <c r="W570" t="s">
        <v>66</v>
      </c>
      <c r="X570" t="s">
        <v>52</v>
      </c>
      <c r="Y570" t="s">
        <v>57</v>
      </c>
      <c r="Z570">
        <v>38</v>
      </c>
      <c r="AA570" t="s">
        <v>50</v>
      </c>
      <c r="AB570" t="s">
        <v>126</v>
      </c>
      <c r="AC570" t="s">
        <v>53</v>
      </c>
    </row>
    <row r="571" spans="1:29" x14ac:dyDescent="0.35">
      <c r="A571" t="s">
        <v>655</v>
      </c>
      <c r="B571" t="s">
        <v>29</v>
      </c>
      <c r="C571" s="1">
        <v>44727</v>
      </c>
      <c r="D571" s="2">
        <v>0.29097222222222224</v>
      </c>
      <c r="E571" s="2">
        <v>1.3425925925925925E-3</v>
      </c>
      <c r="K571" t="s">
        <v>30</v>
      </c>
      <c r="L571" t="s">
        <v>41</v>
      </c>
      <c r="M571" t="s">
        <v>49</v>
      </c>
      <c r="N571">
        <v>20</v>
      </c>
      <c r="O571" t="s">
        <v>43</v>
      </c>
      <c r="P571" t="s">
        <v>34</v>
      </c>
      <c r="Q571">
        <v>2</v>
      </c>
      <c r="R571">
        <v>6</v>
      </c>
      <c r="S571">
        <v>5</v>
      </c>
      <c r="T571">
        <v>5</v>
      </c>
      <c r="U571">
        <v>6</v>
      </c>
      <c r="V571">
        <v>6</v>
      </c>
      <c r="W571" t="s">
        <v>51</v>
      </c>
      <c r="X571" t="s">
        <v>82</v>
      </c>
      <c r="Y571" t="s">
        <v>37</v>
      </c>
      <c r="Z571">
        <v>22</v>
      </c>
      <c r="AA571" t="s">
        <v>50</v>
      </c>
      <c r="AB571" t="s">
        <v>124</v>
      </c>
      <c r="AC571" t="s">
        <v>39</v>
      </c>
    </row>
    <row r="572" spans="1:29" x14ac:dyDescent="0.35">
      <c r="A572" t="s">
        <v>656</v>
      </c>
      <c r="B572" t="s">
        <v>29</v>
      </c>
      <c r="C572" s="1">
        <v>44727</v>
      </c>
      <c r="D572" s="2">
        <v>0.32916666666666666</v>
      </c>
      <c r="E572" s="2">
        <v>1.0648148148148147E-3</v>
      </c>
      <c r="K572" t="s">
        <v>30</v>
      </c>
      <c r="L572" t="s">
        <v>31</v>
      </c>
      <c r="M572" t="s">
        <v>68</v>
      </c>
      <c r="N572">
        <v>96</v>
      </c>
      <c r="O572" t="s">
        <v>50</v>
      </c>
      <c r="P572" t="s">
        <v>34</v>
      </c>
      <c r="Q572">
        <v>7</v>
      </c>
      <c r="R572">
        <v>8</v>
      </c>
      <c r="S572">
        <v>9</v>
      </c>
      <c r="T572">
        <v>9</v>
      </c>
      <c r="U572">
        <v>9</v>
      </c>
      <c r="V572">
        <v>9</v>
      </c>
      <c r="W572" t="s">
        <v>59</v>
      </c>
      <c r="X572" t="s">
        <v>60</v>
      </c>
      <c r="Y572" t="s">
        <v>37</v>
      </c>
      <c r="Z572">
        <v>34</v>
      </c>
      <c r="AA572" t="s">
        <v>38</v>
      </c>
      <c r="AB572" t="s">
        <v>124</v>
      </c>
      <c r="AC572" t="s">
        <v>71</v>
      </c>
    </row>
    <row r="573" spans="1:29" x14ac:dyDescent="0.35">
      <c r="A573" t="s">
        <v>657</v>
      </c>
      <c r="B573" t="s">
        <v>29</v>
      </c>
      <c r="C573" s="1">
        <v>44727</v>
      </c>
      <c r="D573" s="2">
        <v>0.40486111111111112</v>
      </c>
      <c r="E573" s="2">
        <v>1.4699074074074074E-3</v>
      </c>
      <c r="K573" t="s">
        <v>30</v>
      </c>
      <c r="L573" t="s">
        <v>41</v>
      </c>
      <c r="M573" t="s">
        <v>49</v>
      </c>
      <c r="N573">
        <v>20</v>
      </c>
      <c r="O573" t="s">
        <v>76</v>
      </c>
      <c r="P573" t="s">
        <v>34</v>
      </c>
      <c r="Q573">
        <v>3</v>
      </c>
      <c r="R573">
        <v>8</v>
      </c>
      <c r="S573">
        <v>8</v>
      </c>
      <c r="T573">
        <v>5</v>
      </c>
      <c r="U573">
        <v>7</v>
      </c>
      <c r="V573">
        <v>9</v>
      </c>
      <c r="W573" t="s">
        <v>51</v>
      </c>
      <c r="X573" t="s">
        <v>60</v>
      </c>
      <c r="Y573" t="s">
        <v>37</v>
      </c>
      <c r="Z573">
        <v>26</v>
      </c>
      <c r="AA573" t="s">
        <v>50</v>
      </c>
      <c r="AB573" t="s">
        <v>124</v>
      </c>
      <c r="AC573" t="s">
        <v>46</v>
      </c>
    </row>
    <row r="574" spans="1:29" x14ac:dyDescent="0.35">
      <c r="A574" t="s">
        <v>658</v>
      </c>
      <c r="B574" t="s">
        <v>29</v>
      </c>
      <c r="C574" s="1">
        <v>44727</v>
      </c>
      <c r="D574" s="2">
        <v>0.4465277777777778</v>
      </c>
      <c r="E574" s="2">
        <v>7.6388888888888893E-4</v>
      </c>
      <c r="K574" t="s">
        <v>30</v>
      </c>
      <c r="L574" t="s">
        <v>31</v>
      </c>
      <c r="M574" t="s">
        <v>73</v>
      </c>
      <c r="N574">
        <v>76</v>
      </c>
      <c r="O574" t="s">
        <v>76</v>
      </c>
      <c r="P574" t="s">
        <v>34</v>
      </c>
      <c r="Q574">
        <v>5</v>
      </c>
      <c r="R574">
        <v>9</v>
      </c>
      <c r="S574">
        <v>7</v>
      </c>
      <c r="T574">
        <v>7</v>
      </c>
      <c r="U574">
        <v>8</v>
      </c>
      <c r="V574">
        <v>9</v>
      </c>
      <c r="W574" t="s">
        <v>66</v>
      </c>
      <c r="X574" t="s">
        <v>60</v>
      </c>
      <c r="Y574" t="s">
        <v>57</v>
      </c>
      <c r="Z574">
        <v>26</v>
      </c>
      <c r="AA574" t="s">
        <v>45</v>
      </c>
      <c r="AB574" t="s">
        <v>124</v>
      </c>
      <c r="AC574" t="s">
        <v>46</v>
      </c>
    </row>
    <row r="575" spans="1:29" x14ac:dyDescent="0.35">
      <c r="A575" t="s">
        <v>659</v>
      </c>
      <c r="B575" t="s">
        <v>29</v>
      </c>
      <c r="C575" s="1">
        <v>44727</v>
      </c>
      <c r="D575" s="2">
        <v>0.47222222222222227</v>
      </c>
      <c r="E575" s="2">
        <v>9.6064814814814808E-4</v>
      </c>
      <c r="K575" t="s">
        <v>48</v>
      </c>
      <c r="L575" t="s">
        <v>41</v>
      </c>
      <c r="M575" t="s">
        <v>73</v>
      </c>
      <c r="N575">
        <v>76</v>
      </c>
      <c r="O575" t="s">
        <v>78</v>
      </c>
      <c r="P575" t="s">
        <v>34</v>
      </c>
      <c r="Q575">
        <v>10</v>
      </c>
      <c r="R575">
        <v>10</v>
      </c>
      <c r="S575">
        <v>10</v>
      </c>
      <c r="T575">
        <v>9</v>
      </c>
      <c r="U575">
        <v>9</v>
      </c>
      <c r="V575">
        <v>10</v>
      </c>
      <c r="W575" t="s">
        <v>59</v>
      </c>
      <c r="X575" t="s">
        <v>36</v>
      </c>
      <c r="Y575" t="s">
        <v>37</v>
      </c>
      <c r="Z575">
        <v>25</v>
      </c>
      <c r="AA575" t="s">
        <v>50</v>
      </c>
      <c r="AB575" t="s">
        <v>124</v>
      </c>
      <c r="AC575" t="s">
        <v>50</v>
      </c>
    </row>
    <row r="576" spans="1:29" x14ac:dyDescent="0.35">
      <c r="A576" t="s">
        <v>660</v>
      </c>
      <c r="B576" t="s">
        <v>29</v>
      </c>
      <c r="C576" s="1">
        <v>44727</v>
      </c>
      <c r="D576" s="2">
        <v>0.54722222222222217</v>
      </c>
      <c r="E576" s="2">
        <v>2.3495370370370371E-3</v>
      </c>
      <c r="K576" t="s">
        <v>63</v>
      </c>
      <c r="L576" t="s">
        <v>31</v>
      </c>
      <c r="M576" t="s">
        <v>65</v>
      </c>
      <c r="N576">
        <v>138</v>
      </c>
      <c r="O576" t="s">
        <v>76</v>
      </c>
      <c r="P576" t="s">
        <v>34</v>
      </c>
      <c r="Q576">
        <v>5</v>
      </c>
      <c r="R576">
        <v>3</v>
      </c>
      <c r="S576">
        <v>7</v>
      </c>
      <c r="T576">
        <v>4</v>
      </c>
      <c r="U576">
        <v>5</v>
      </c>
      <c r="V576">
        <v>3</v>
      </c>
      <c r="W576" t="s">
        <v>51</v>
      </c>
      <c r="X576" t="s">
        <v>50</v>
      </c>
      <c r="Y576" t="s">
        <v>37</v>
      </c>
      <c r="Z576">
        <v>34</v>
      </c>
      <c r="AA576" t="s">
        <v>38</v>
      </c>
      <c r="AB576" t="s">
        <v>124</v>
      </c>
      <c r="AC576" t="s">
        <v>53</v>
      </c>
    </row>
    <row r="577" spans="1:29" x14ac:dyDescent="0.35">
      <c r="A577" t="s">
        <v>661</v>
      </c>
      <c r="B577" t="s">
        <v>29</v>
      </c>
      <c r="C577" s="1">
        <v>44727</v>
      </c>
      <c r="D577" s="2">
        <v>0.5625</v>
      </c>
      <c r="E577" s="2">
        <v>2.673611111111111E-3</v>
      </c>
      <c r="K577" t="s">
        <v>50</v>
      </c>
      <c r="L577" t="s">
        <v>31</v>
      </c>
      <c r="M577" t="s">
        <v>42</v>
      </c>
      <c r="N577">
        <v>53</v>
      </c>
      <c r="O577" t="s">
        <v>43</v>
      </c>
      <c r="P577" t="s">
        <v>50</v>
      </c>
      <c r="Q577">
        <v>7</v>
      </c>
      <c r="R577">
        <v>10</v>
      </c>
      <c r="S577">
        <v>10</v>
      </c>
      <c r="T577">
        <v>10</v>
      </c>
      <c r="U577">
        <v>4</v>
      </c>
      <c r="V577">
        <v>5</v>
      </c>
      <c r="W577" t="s">
        <v>66</v>
      </c>
      <c r="X577" t="s">
        <v>52</v>
      </c>
      <c r="Y577" t="s">
        <v>57</v>
      </c>
      <c r="Z577">
        <v>32</v>
      </c>
      <c r="AA577" t="s">
        <v>50</v>
      </c>
      <c r="AB577" t="s">
        <v>124</v>
      </c>
      <c r="AC577" t="s">
        <v>71</v>
      </c>
    </row>
    <row r="578" spans="1:29" x14ac:dyDescent="0.35">
      <c r="A578" t="s">
        <v>662</v>
      </c>
      <c r="B578" t="s">
        <v>29</v>
      </c>
      <c r="C578" s="1">
        <v>44727</v>
      </c>
      <c r="D578" s="2">
        <v>0.59444444444444444</v>
      </c>
      <c r="E578" s="2">
        <v>8.6805555555555551E-4</v>
      </c>
      <c r="K578" t="s">
        <v>86</v>
      </c>
      <c r="L578" t="s">
        <v>41</v>
      </c>
      <c r="M578" t="s">
        <v>49</v>
      </c>
      <c r="N578">
        <v>20</v>
      </c>
      <c r="O578" t="s">
        <v>81</v>
      </c>
      <c r="P578" t="s">
        <v>44</v>
      </c>
      <c r="Q578">
        <v>2</v>
      </c>
      <c r="R578">
        <v>2</v>
      </c>
      <c r="S578">
        <v>2</v>
      </c>
      <c r="T578">
        <v>2</v>
      </c>
      <c r="U578">
        <v>2</v>
      </c>
      <c r="V578">
        <v>2</v>
      </c>
      <c r="W578" t="s">
        <v>59</v>
      </c>
      <c r="X578" t="s">
        <v>60</v>
      </c>
      <c r="Y578" t="s">
        <v>37</v>
      </c>
      <c r="Z578">
        <v>24</v>
      </c>
      <c r="AA578" t="s">
        <v>38</v>
      </c>
      <c r="AB578" t="s">
        <v>133</v>
      </c>
      <c r="AC578" t="s">
        <v>53</v>
      </c>
    </row>
    <row r="579" spans="1:29" x14ac:dyDescent="0.35">
      <c r="A579" t="s">
        <v>663</v>
      </c>
      <c r="B579" t="s">
        <v>29</v>
      </c>
      <c r="C579" s="1">
        <v>44727</v>
      </c>
      <c r="D579" s="2">
        <v>0.6166666666666667</v>
      </c>
      <c r="E579" s="2">
        <v>4.3981481481481484E-3</v>
      </c>
      <c r="K579" t="s">
        <v>48</v>
      </c>
      <c r="L579" t="s">
        <v>31</v>
      </c>
      <c r="M579" t="s">
        <v>49</v>
      </c>
      <c r="N579">
        <v>20</v>
      </c>
      <c r="O579" t="s">
        <v>76</v>
      </c>
      <c r="P579" t="s">
        <v>34</v>
      </c>
      <c r="Q579">
        <v>7</v>
      </c>
      <c r="R579">
        <v>3</v>
      </c>
      <c r="S579">
        <v>3</v>
      </c>
      <c r="T579">
        <v>2</v>
      </c>
      <c r="U579">
        <v>5</v>
      </c>
      <c r="V579">
        <v>9</v>
      </c>
      <c r="W579" t="s">
        <v>59</v>
      </c>
      <c r="X579" t="s">
        <v>60</v>
      </c>
      <c r="Y579" t="s">
        <v>37</v>
      </c>
      <c r="Z579">
        <v>26</v>
      </c>
      <c r="AA579" t="s">
        <v>50</v>
      </c>
      <c r="AB579" t="s">
        <v>124</v>
      </c>
      <c r="AC579" t="s">
        <v>71</v>
      </c>
    </row>
    <row r="580" spans="1:29" x14ac:dyDescent="0.35">
      <c r="A580" t="s">
        <v>664</v>
      </c>
      <c r="B580" t="s">
        <v>29</v>
      </c>
      <c r="C580" s="1">
        <v>44727</v>
      </c>
      <c r="D580" s="2">
        <v>0.63402777777777775</v>
      </c>
      <c r="E580" s="2">
        <v>1.3888888888888889E-3</v>
      </c>
      <c r="K580" t="s">
        <v>30</v>
      </c>
      <c r="L580" t="s">
        <v>31</v>
      </c>
      <c r="M580" t="s">
        <v>42</v>
      </c>
      <c r="N580">
        <v>53</v>
      </c>
      <c r="O580" t="s">
        <v>70</v>
      </c>
      <c r="P580" t="s">
        <v>50</v>
      </c>
      <c r="Q580">
        <v>4</v>
      </c>
      <c r="R580">
        <v>7</v>
      </c>
      <c r="S580">
        <v>5</v>
      </c>
      <c r="T580">
        <v>6</v>
      </c>
      <c r="U580">
        <v>4</v>
      </c>
      <c r="V580">
        <v>6</v>
      </c>
      <c r="W580" t="s">
        <v>59</v>
      </c>
      <c r="X580" t="s">
        <v>60</v>
      </c>
      <c r="Y580" t="s">
        <v>57</v>
      </c>
      <c r="Z580">
        <v>32</v>
      </c>
      <c r="AA580" t="s">
        <v>50</v>
      </c>
      <c r="AB580" t="s">
        <v>126</v>
      </c>
      <c r="AC580" t="s">
        <v>53</v>
      </c>
    </row>
    <row r="581" spans="1:29" x14ac:dyDescent="0.35">
      <c r="A581" t="s">
        <v>665</v>
      </c>
      <c r="B581" t="s">
        <v>29</v>
      </c>
      <c r="C581" s="1">
        <v>44727</v>
      </c>
      <c r="D581" s="2">
        <v>0.64861111111111114</v>
      </c>
      <c r="E581" s="2">
        <v>1.6666666666666668E-3</v>
      </c>
      <c r="K581" t="s">
        <v>63</v>
      </c>
      <c r="L581" t="s">
        <v>41</v>
      </c>
      <c r="M581" t="s">
        <v>42</v>
      </c>
      <c r="N581">
        <v>53</v>
      </c>
      <c r="O581" t="s">
        <v>76</v>
      </c>
      <c r="P581" t="s">
        <v>44</v>
      </c>
      <c r="Q581">
        <v>5</v>
      </c>
      <c r="R581">
        <v>1</v>
      </c>
      <c r="S581">
        <v>7</v>
      </c>
      <c r="T581">
        <v>1</v>
      </c>
      <c r="U581">
        <v>1</v>
      </c>
      <c r="V581">
        <v>2</v>
      </c>
      <c r="W581" t="s">
        <v>66</v>
      </c>
      <c r="X581" t="s">
        <v>52</v>
      </c>
      <c r="Y581" t="s">
        <v>37</v>
      </c>
      <c r="Z581">
        <v>40</v>
      </c>
      <c r="AA581" t="s">
        <v>50</v>
      </c>
      <c r="AB581" t="s">
        <v>126</v>
      </c>
      <c r="AC581" t="s">
        <v>39</v>
      </c>
    </row>
    <row r="582" spans="1:29" x14ac:dyDescent="0.35">
      <c r="A582" t="s">
        <v>666</v>
      </c>
      <c r="B582" t="s">
        <v>29</v>
      </c>
      <c r="C582" s="1">
        <v>44727</v>
      </c>
      <c r="D582" s="2">
        <v>0.65069444444444446</v>
      </c>
      <c r="E582" s="2">
        <v>1.261574074074074E-3</v>
      </c>
      <c r="K582" t="s">
        <v>30</v>
      </c>
      <c r="L582" t="s">
        <v>41</v>
      </c>
      <c r="M582" t="s">
        <v>49</v>
      </c>
      <c r="N582">
        <v>20</v>
      </c>
      <c r="O582" t="s">
        <v>50</v>
      </c>
      <c r="P582" t="s">
        <v>34</v>
      </c>
      <c r="Q582">
        <v>0</v>
      </c>
      <c r="R582">
        <v>7</v>
      </c>
      <c r="S582">
        <v>1</v>
      </c>
      <c r="T582">
        <v>6</v>
      </c>
      <c r="U582">
        <v>0</v>
      </c>
      <c r="V582">
        <v>0</v>
      </c>
      <c r="W582" t="s">
        <v>51</v>
      </c>
      <c r="X582" t="s">
        <v>60</v>
      </c>
      <c r="Y582" t="s">
        <v>37</v>
      </c>
      <c r="Z582">
        <v>27</v>
      </c>
      <c r="AA582" t="s">
        <v>38</v>
      </c>
      <c r="AB582" t="s">
        <v>124</v>
      </c>
      <c r="AC582" t="s">
        <v>53</v>
      </c>
    </row>
    <row r="583" spans="1:29" x14ac:dyDescent="0.35">
      <c r="A583" t="s">
        <v>667</v>
      </c>
      <c r="B583" t="s">
        <v>29</v>
      </c>
      <c r="C583" s="1">
        <v>44727</v>
      </c>
      <c r="D583" s="2">
        <v>0.65208333333333335</v>
      </c>
      <c r="E583" s="2">
        <v>7.291666666666667E-4</v>
      </c>
      <c r="K583" t="s">
        <v>30</v>
      </c>
      <c r="L583" t="s">
        <v>31</v>
      </c>
      <c r="M583" t="s">
        <v>73</v>
      </c>
      <c r="N583">
        <v>76</v>
      </c>
      <c r="O583" t="s">
        <v>76</v>
      </c>
      <c r="P583" t="s">
        <v>44</v>
      </c>
      <c r="Q583">
        <v>4</v>
      </c>
      <c r="R583">
        <v>3</v>
      </c>
      <c r="S583">
        <v>6</v>
      </c>
      <c r="T583">
        <v>7</v>
      </c>
      <c r="U583">
        <v>4</v>
      </c>
      <c r="V583">
        <v>7</v>
      </c>
      <c r="W583" t="s">
        <v>51</v>
      </c>
      <c r="X583" t="s">
        <v>60</v>
      </c>
      <c r="Y583" t="s">
        <v>37</v>
      </c>
      <c r="Z583">
        <v>28</v>
      </c>
      <c r="AA583" t="s">
        <v>38</v>
      </c>
      <c r="AB583" t="s">
        <v>126</v>
      </c>
      <c r="AC583" t="s">
        <v>53</v>
      </c>
    </row>
    <row r="584" spans="1:29" x14ac:dyDescent="0.35">
      <c r="A584" t="s">
        <v>668</v>
      </c>
      <c r="B584" t="s">
        <v>29</v>
      </c>
      <c r="C584" s="1">
        <v>44727</v>
      </c>
      <c r="D584" s="2">
        <v>0.67847222222222225</v>
      </c>
      <c r="E584" s="2">
        <v>1.5393518518518519E-3</v>
      </c>
      <c r="K584" t="s">
        <v>30</v>
      </c>
      <c r="L584" t="s">
        <v>31</v>
      </c>
      <c r="M584" t="s">
        <v>49</v>
      </c>
      <c r="N584">
        <v>20</v>
      </c>
      <c r="O584" t="s">
        <v>50</v>
      </c>
      <c r="P584" t="s">
        <v>34</v>
      </c>
      <c r="Q584">
        <v>1</v>
      </c>
      <c r="R584">
        <v>9</v>
      </c>
      <c r="S584">
        <v>5</v>
      </c>
      <c r="T584">
        <v>5</v>
      </c>
      <c r="U584">
        <v>1</v>
      </c>
      <c r="V584">
        <v>1</v>
      </c>
      <c r="W584" t="s">
        <v>59</v>
      </c>
      <c r="X584" t="s">
        <v>60</v>
      </c>
      <c r="Y584" t="s">
        <v>37</v>
      </c>
      <c r="Z584">
        <v>30</v>
      </c>
      <c r="AA584" t="s">
        <v>50</v>
      </c>
      <c r="AB584" t="s">
        <v>124</v>
      </c>
      <c r="AC584" t="s">
        <v>50</v>
      </c>
    </row>
    <row r="585" spans="1:29" x14ac:dyDescent="0.35">
      <c r="A585" t="s">
        <v>669</v>
      </c>
      <c r="B585" t="s">
        <v>29</v>
      </c>
      <c r="C585" s="1">
        <v>44727</v>
      </c>
      <c r="D585" s="2">
        <v>0.7055555555555556</v>
      </c>
      <c r="E585" s="2">
        <v>8.1018518518518516E-4</v>
      </c>
      <c r="K585" t="s">
        <v>30</v>
      </c>
      <c r="L585" t="s">
        <v>31</v>
      </c>
      <c r="M585" t="s">
        <v>49</v>
      </c>
      <c r="N585">
        <v>20</v>
      </c>
      <c r="O585" t="s">
        <v>50</v>
      </c>
      <c r="P585" t="s">
        <v>34</v>
      </c>
      <c r="Q585">
        <v>0</v>
      </c>
      <c r="R585">
        <v>6</v>
      </c>
      <c r="S585">
        <v>5</v>
      </c>
      <c r="T585">
        <v>5</v>
      </c>
      <c r="U585">
        <v>5</v>
      </c>
      <c r="V585">
        <v>6</v>
      </c>
      <c r="W585" t="s">
        <v>59</v>
      </c>
      <c r="X585" t="s">
        <v>36</v>
      </c>
      <c r="Y585" t="s">
        <v>37</v>
      </c>
      <c r="Z585">
        <v>37</v>
      </c>
      <c r="AA585" t="s">
        <v>38</v>
      </c>
      <c r="AB585" t="s">
        <v>124</v>
      </c>
      <c r="AC585" t="s">
        <v>39</v>
      </c>
    </row>
    <row r="586" spans="1:29" x14ac:dyDescent="0.35">
      <c r="A586" t="s">
        <v>670</v>
      </c>
      <c r="B586" t="s">
        <v>29</v>
      </c>
      <c r="C586" s="1">
        <v>44727</v>
      </c>
      <c r="D586" s="2">
        <v>0.75277777777777777</v>
      </c>
      <c r="E586" s="2">
        <v>1.7939814814814815E-3</v>
      </c>
      <c r="K586" t="s">
        <v>50</v>
      </c>
      <c r="L586" t="s">
        <v>41</v>
      </c>
      <c r="M586" t="s">
        <v>42</v>
      </c>
      <c r="N586">
        <v>53</v>
      </c>
      <c r="O586" t="s">
        <v>76</v>
      </c>
      <c r="P586" t="s">
        <v>112</v>
      </c>
      <c r="Q586">
        <v>7</v>
      </c>
      <c r="R586">
        <v>7</v>
      </c>
      <c r="S586">
        <v>5</v>
      </c>
      <c r="T586">
        <v>5</v>
      </c>
      <c r="U586">
        <v>0</v>
      </c>
      <c r="V586">
        <v>0</v>
      </c>
      <c r="W586" t="s">
        <v>59</v>
      </c>
      <c r="X586" t="s">
        <v>82</v>
      </c>
      <c r="Y586" t="s">
        <v>37</v>
      </c>
      <c r="Z586">
        <v>32</v>
      </c>
      <c r="AA586" t="s">
        <v>50</v>
      </c>
      <c r="AB586" t="s">
        <v>124</v>
      </c>
      <c r="AC586" t="s">
        <v>46</v>
      </c>
    </row>
    <row r="587" spans="1:29" x14ac:dyDescent="0.35">
      <c r="A587" t="s">
        <v>671</v>
      </c>
      <c r="B587" t="s">
        <v>29</v>
      </c>
      <c r="C587" s="1">
        <v>44727</v>
      </c>
      <c r="D587" s="2">
        <v>0.76666666666666661</v>
      </c>
      <c r="E587" s="2">
        <v>1.6203703703703703E-3</v>
      </c>
      <c r="K587" t="s">
        <v>30</v>
      </c>
      <c r="L587" t="s">
        <v>31</v>
      </c>
      <c r="M587" t="s">
        <v>42</v>
      </c>
      <c r="N587">
        <v>53</v>
      </c>
      <c r="O587" t="s">
        <v>76</v>
      </c>
      <c r="P587" t="s">
        <v>34</v>
      </c>
      <c r="Q587">
        <v>9</v>
      </c>
      <c r="R587">
        <v>7</v>
      </c>
      <c r="S587">
        <v>10</v>
      </c>
      <c r="T587">
        <v>10</v>
      </c>
      <c r="U587">
        <v>5</v>
      </c>
      <c r="V587">
        <v>8</v>
      </c>
      <c r="W587" t="s">
        <v>66</v>
      </c>
      <c r="X587" t="s">
        <v>60</v>
      </c>
      <c r="Y587" t="s">
        <v>37</v>
      </c>
      <c r="Z587">
        <v>24</v>
      </c>
      <c r="AA587" t="s">
        <v>50</v>
      </c>
      <c r="AB587" t="s">
        <v>124</v>
      </c>
      <c r="AC587" t="s">
        <v>50</v>
      </c>
    </row>
    <row r="588" spans="1:29" x14ac:dyDescent="0.35">
      <c r="A588" t="s">
        <v>672</v>
      </c>
      <c r="B588" t="s">
        <v>29</v>
      </c>
      <c r="C588" s="1">
        <v>44727</v>
      </c>
      <c r="D588" s="2">
        <v>0.93680555555555556</v>
      </c>
      <c r="E588" s="2">
        <v>1.9675925925925928E-3</v>
      </c>
      <c r="K588" t="s">
        <v>30</v>
      </c>
      <c r="L588" t="s">
        <v>31</v>
      </c>
      <c r="M588" t="s">
        <v>49</v>
      </c>
      <c r="N588">
        <v>20</v>
      </c>
      <c r="O588" t="s">
        <v>76</v>
      </c>
      <c r="P588" t="s">
        <v>34</v>
      </c>
      <c r="Q588">
        <v>6</v>
      </c>
      <c r="R588">
        <v>7</v>
      </c>
      <c r="S588">
        <v>7</v>
      </c>
      <c r="T588">
        <v>7</v>
      </c>
      <c r="U588">
        <v>5</v>
      </c>
      <c r="V588">
        <v>6</v>
      </c>
      <c r="W588" t="s">
        <v>66</v>
      </c>
      <c r="X588" t="s">
        <v>60</v>
      </c>
      <c r="Y588" t="s">
        <v>37</v>
      </c>
      <c r="Z588">
        <v>39</v>
      </c>
      <c r="AA588" t="s">
        <v>50</v>
      </c>
      <c r="AB588" t="s">
        <v>133</v>
      </c>
      <c r="AC588" t="s">
        <v>39</v>
      </c>
    </row>
    <row r="589" spans="1:29" x14ac:dyDescent="0.35">
      <c r="A589" t="s">
        <v>673</v>
      </c>
      <c r="B589" t="s">
        <v>29</v>
      </c>
      <c r="C589" s="1">
        <v>44727</v>
      </c>
      <c r="D589" s="2">
        <v>0.93680555555555556</v>
      </c>
      <c r="E589" s="2">
        <v>4.340277777777778E-3</v>
      </c>
      <c r="K589" t="s">
        <v>30</v>
      </c>
      <c r="L589" t="s">
        <v>31</v>
      </c>
      <c r="M589" t="s">
        <v>65</v>
      </c>
      <c r="N589">
        <v>138</v>
      </c>
      <c r="O589" t="s">
        <v>43</v>
      </c>
      <c r="P589" t="s">
        <v>34</v>
      </c>
      <c r="Q589">
        <v>6</v>
      </c>
      <c r="R589">
        <v>8</v>
      </c>
      <c r="S589">
        <v>7</v>
      </c>
      <c r="T589">
        <v>4</v>
      </c>
      <c r="U589">
        <v>4</v>
      </c>
      <c r="V589">
        <v>2</v>
      </c>
      <c r="W589" t="s">
        <v>51</v>
      </c>
      <c r="X589" t="s">
        <v>50</v>
      </c>
      <c r="Y589" t="s">
        <v>37</v>
      </c>
      <c r="Z589">
        <v>34</v>
      </c>
      <c r="AA589" t="s">
        <v>50</v>
      </c>
      <c r="AB589" t="s">
        <v>124</v>
      </c>
      <c r="AC589" t="s">
        <v>46</v>
      </c>
    </row>
    <row r="590" spans="1:29" x14ac:dyDescent="0.35">
      <c r="A590" t="s">
        <v>674</v>
      </c>
      <c r="B590" t="s">
        <v>29</v>
      </c>
      <c r="C590" s="1">
        <v>44727</v>
      </c>
      <c r="D590" s="2">
        <v>0.94652777777777775</v>
      </c>
      <c r="E590" s="2">
        <v>1.1342592592592591E-3</v>
      </c>
      <c r="K590" t="s">
        <v>30</v>
      </c>
      <c r="L590" t="s">
        <v>41</v>
      </c>
      <c r="M590" t="s">
        <v>42</v>
      </c>
      <c r="N590">
        <v>53</v>
      </c>
      <c r="O590" t="s">
        <v>50</v>
      </c>
      <c r="P590" t="s">
        <v>34</v>
      </c>
      <c r="Q590">
        <v>5</v>
      </c>
      <c r="R590">
        <v>6</v>
      </c>
      <c r="S590">
        <v>10</v>
      </c>
      <c r="T590">
        <v>7</v>
      </c>
      <c r="U590">
        <v>3</v>
      </c>
      <c r="V590">
        <v>3</v>
      </c>
      <c r="W590" t="s">
        <v>66</v>
      </c>
      <c r="X590" t="s">
        <v>36</v>
      </c>
      <c r="Y590" t="s">
        <v>37</v>
      </c>
      <c r="Z590">
        <v>27</v>
      </c>
      <c r="AA590" t="s">
        <v>38</v>
      </c>
      <c r="AB590" t="s">
        <v>124</v>
      </c>
      <c r="AC590" t="s">
        <v>53</v>
      </c>
    </row>
    <row r="591" spans="1:29" x14ac:dyDescent="0.35">
      <c r="A591" t="s">
        <v>675</v>
      </c>
      <c r="B591" t="s">
        <v>29</v>
      </c>
      <c r="C591" s="1">
        <v>44727</v>
      </c>
      <c r="D591" s="2">
        <v>0.9784722222222223</v>
      </c>
      <c r="E591" s="2">
        <v>8.9120370370370362E-4</v>
      </c>
      <c r="K591" t="s">
        <v>30</v>
      </c>
      <c r="L591" t="s">
        <v>31</v>
      </c>
      <c r="M591" t="s">
        <v>73</v>
      </c>
      <c r="N591">
        <v>76</v>
      </c>
      <c r="O591" t="s">
        <v>33</v>
      </c>
      <c r="P591" t="s">
        <v>50</v>
      </c>
      <c r="Q591">
        <v>7</v>
      </c>
      <c r="R591">
        <v>7</v>
      </c>
      <c r="S591">
        <v>4</v>
      </c>
      <c r="T591">
        <v>7</v>
      </c>
      <c r="U591">
        <v>7</v>
      </c>
      <c r="V591">
        <v>7</v>
      </c>
      <c r="W591" t="s">
        <v>59</v>
      </c>
      <c r="X591" t="s">
        <v>60</v>
      </c>
      <c r="Y591" t="s">
        <v>37</v>
      </c>
      <c r="Z591">
        <v>54</v>
      </c>
      <c r="AA591" t="s">
        <v>38</v>
      </c>
      <c r="AB591" t="s">
        <v>120</v>
      </c>
      <c r="AC591" t="s">
        <v>39</v>
      </c>
    </row>
    <row r="592" spans="1:29" x14ac:dyDescent="0.35">
      <c r="A592" t="s">
        <v>676</v>
      </c>
      <c r="B592" t="s">
        <v>29</v>
      </c>
      <c r="C592" s="1">
        <v>44727</v>
      </c>
      <c r="D592" s="2">
        <v>0.99305555555555547</v>
      </c>
      <c r="E592" s="2">
        <v>1.2731481481481483E-3</v>
      </c>
      <c r="K592" t="s">
        <v>86</v>
      </c>
      <c r="L592" t="s">
        <v>41</v>
      </c>
      <c r="M592" t="s">
        <v>49</v>
      </c>
      <c r="N592">
        <v>20</v>
      </c>
      <c r="O592" t="s">
        <v>76</v>
      </c>
      <c r="P592" t="s">
        <v>34</v>
      </c>
      <c r="Q592">
        <v>0</v>
      </c>
      <c r="W592" t="s">
        <v>59</v>
      </c>
      <c r="X592" t="s">
        <v>36</v>
      </c>
      <c r="Y592" t="s">
        <v>57</v>
      </c>
      <c r="Z592">
        <v>20</v>
      </c>
      <c r="AA592" t="s">
        <v>95</v>
      </c>
      <c r="AB592" t="s">
        <v>124</v>
      </c>
      <c r="AC592" t="s">
        <v>46</v>
      </c>
    </row>
    <row r="593" spans="1:29" x14ac:dyDescent="0.35">
      <c r="A593" t="s">
        <v>677</v>
      </c>
      <c r="B593" t="s">
        <v>29</v>
      </c>
      <c r="C593" s="1">
        <v>44728</v>
      </c>
      <c r="D593" s="2">
        <v>0.10277777777777779</v>
      </c>
      <c r="E593" s="2">
        <v>9.4907407407407408E-4</v>
      </c>
      <c r="K593" t="s">
        <v>86</v>
      </c>
      <c r="L593" t="s">
        <v>31</v>
      </c>
      <c r="M593" t="s">
        <v>49</v>
      </c>
      <c r="N593">
        <v>20</v>
      </c>
      <c r="O593" t="s">
        <v>43</v>
      </c>
      <c r="P593" t="s">
        <v>50</v>
      </c>
      <c r="Q593">
        <v>3</v>
      </c>
      <c r="R593">
        <v>3</v>
      </c>
      <c r="S593">
        <v>3</v>
      </c>
      <c r="T593">
        <v>3</v>
      </c>
      <c r="U593">
        <v>3</v>
      </c>
      <c r="V593">
        <v>3</v>
      </c>
      <c r="W593" t="s">
        <v>66</v>
      </c>
      <c r="X593" t="s">
        <v>52</v>
      </c>
      <c r="Y593" t="s">
        <v>37</v>
      </c>
      <c r="Z593">
        <v>25</v>
      </c>
      <c r="AA593" t="s">
        <v>95</v>
      </c>
      <c r="AB593" t="s">
        <v>126</v>
      </c>
      <c r="AC593" t="s">
        <v>46</v>
      </c>
    </row>
    <row r="594" spans="1:29" x14ac:dyDescent="0.35">
      <c r="A594" t="s">
        <v>678</v>
      </c>
      <c r="B594" t="s">
        <v>29</v>
      </c>
      <c r="C594" s="1">
        <v>44728</v>
      </c>
      <c r="D594" s="2">
        <v>0.20138888888888887</v>
      </c>
      <c r="E594" s="2">
        <v>1.1805555555555556E-3</v>
      </c>
      <c r="K594" t="s">
        <v>86</v>
      </c>
      <c r="L594" t="s">
        <v>41</v>
      </c>
      <c r="M594" t="s">
        <v>49</v>
      </c>
      <c r="N594">
        <v>20</v>
      </c>
      <c r="O594" t="s">
        <v>76</v>
      </c>
      <c r="P594" t="s">
        <v>34</v>
      </c>
      <c r="Q594">
        <v>7</v>
      </c>
      <c r="R594">
        <v>7</v>
      </c>
      <c r="S594">
        <v>2</v>
      </c>
      <c r="T594">
        <v>2</v>
      </c>
      <c r="U594">
        <v>7</v>
      </c>
      <c r="V594">
        <v>9</v>
      </c>
      <c r="W594" t="s">
        <v>51</v>
      </c>
      <c r="X594" t="s">
        <v>52</v>
      </c>
      <c r="Y594" t="s">
        <v>37</v>
      </c>
      <c r="Z594">
        <v>33</v>
      </c>
      <c r="AA594" t="s">
        <v>95</v>
      </c>
      <c r="AB594" t="s">
        <v>124</v>
      </c>
      <c r="AC594" t="s">
        <v>46</v>
      </c>
    </row>
    <row r="595" spans="1:29" x14ac:dyDescent="0.35">
      <c r="A595" t="s">
        <v>679</v>
      </c>
      <c r="B595" t="s">
        <v>29</v>
      </c>
      <c r="C595" s="1">
        <v>44728</v>
      </c>
      <c r="D595" s="2">
        <v>0.22916666666666666</v>
      </c>
      <c r="E595" s="2">
        <v>8.9120370370370362E-4</v>
      </c>
      <c r="K595" t="s">
        <v>30</v>
      </c>
      <c r="L595" t="s">
        <v>31</v>
      </c>
      <c r="M595" t="s">
        <v>42</v>
      </c>
      <c r="N595">
        <v>53</v>
      </c>
      <c r="O595" t="s">
        <v>76</v>
      </c>
      <c r="P595" t="s">
        <v>34</v>
      </c>
      <c r="Q595">
        <v>4</v>
      </c>
      <c r="R595">
        <v>8</v>
      </c>
      <c r="S595">
        <v>8</v>
      </c>
      <c r="T595">
        <v>8</v>
      </c>
      <c r="U595">
        <v>10</v>
      </c>
      <c r="V595">
        <v>10</v>
      </c>
      <c r="W595" t="s">
        <v>56</v>
      </c>
      <c r="X595" t="s">
        <v>36</v>
      </c>
      <c r="Y595" t="s">
        <v>37</v>
      </c>
      <c r="Z595">
        <v>30</v>
      </c>
      <c r="AA595" t="s">
        <v>79</v>
      </c>
      <c r="AB595" t="s">
        <v>126</v>
      </c>
      <c r="AC595" t="s">
        <v>39</v>
      </c>
    </row>
    <row r="596" spans="1:29" x14ac:dyDescent="0.35">
      <c r="A596" t="s">
        <v>680</v>
      </c>
      <c r="B596" t="s">
        <v>29</v>
      </c>
      <c r="C596" s="1">
        <v>44728</v>
      </c>
      <c r="D596" s="2">
        <v>0.25</v>
      </c>
      <c r="E596" s="2">
        <v>8.518518518518519E-3</v>
      </c>
      <c r="K596" t="s">
        <v>86</v>
      </c>
      <c r="L596" t="s">
        <v>31</v>
      </c>
      <c r="M596" t="s">
        <v>49</v>
      </c>
      <c r="N596">
        <v>20</v>
      </c>
      <c r="O596" t="s">
        <v>76</v>
      </c>
      <c r="P596" t="s">
        <v>34</v>
      </c>
      <c r="Q596">
        <v>0</v>
      </c>
      <c r="R596">
        <v>4</v>
      </c>
      <c r="S596">
        <v>2</v>
      </c>
      <c r="T596">
        <v>0</v>
      </c>
      <c r="U596">
        <v>1</v>
      </c>
      <c r="V596">
        <v>3</v>
      </c>
      <c r="W596" t="s">
        <v>66</v>
      </c>
      <c r="X596" t="s">
        <v>60</v>
      </c>
      <c r="Y596" t="s">
        <v>37</v>
      </c>
      <c r="Z596">
        <v>31</v>
      </c>
      <c r="AA596" t="s">
        <v>50</v>
      </c>
      <c r="AB596" t="s">
        <v>120</v>
      </c>
      <c r="AC596" t="s">
        <v>53</v>
      </c>
    </row>
    <row r="597" spans="1:29" x14ac:dyDescent="0.35">
      <c r="A597" t="s">
        <v>681</v>
      </c>
      <c r="B597" t="s">
        <v>29</v>
      </c>
      <c r="C597" s="1">
        <v>44728</v>
      </c>
      <c r="D597" s="2">
        <v>0.28750000000000003</v>
      </c>
      <c r="E597" s="2">
        <v>1.5162037037037036E-3</v>
      </c>
      <c r="K597" t="s">
        <v>86</v>
      </c>
      <c r="L597" t="s">
        <v>31</v>
      </c>
      <c r="M597" t="s">
        <v>49</v>
      </c>
      <c r="N597">
        <v>20</v>
      </c>
      <c r="O597" t="s">
        <v>50</v>
      </c>
      <c r="P597" t="s">
        <v>34</v>
      </c>
      <c r="Q597">
        <v>5</v>
      </c>
      <c r="R597">
        <v>6</v>
      </c>
      <c r="S597">
        <v>5</v>
      </c>
      <c r="T597">
        <v>6</v>
      </c>
      <c r="U597">
        <v>2</v>
      </c>
      <c r="V597">
        <v>1</v>
      </c>
      <c r="W597" t="s">
        <v>59</v>
      </c>
      <c r="X597" t="s">
        <v>36</v>
      </c>
      <c r="Y597" t="s">
        <v>37</v>
      </c>
      <c r="Z597">
        <v>22</v>
      </c>
      <c r="AA597" t="s">
        <v>50</v>
      </c>
      <c r="AB597" t="s">
        <v>126</v>
      </c>
      <c r="AC597" t="s">
        <v>50</v>
      </c>
    </row>
    <row r="598" spans="1:29" x14ac:dyDescent="0.35">
      <c r="A598" t="s">
        <v>682</v>
      </c>
      <c r="B598" t="s">
        <v>29</v>
      </c>
      <c r="C598" s="1">
        <v>44728</v>
      </c>
      <c r="D598" s="2">
        <v>0.33749999999999997</v>
      </c>
      <c r="E598" s="2">
        <v>1.0300925925925926E-3</v>
      </c>
      <c r="K598" t="s">
        <v>30</v>
      </c>
      <c r="L598" t="s">
        <v>31</v>
      </c>
      <c r="M598" t="s">
        <v>73</v>
      </c>
      <c r="N598">
        <v>76</v>
      </c>
      <c r="O598" t="s">
        <v>76</v>
      </c>
      <c r="P598" t="s">
        <v>44</v>
      </c>
      <c r="Q598">
        <v>8</v>
      </c>
      <c r="R598">
        <v>10</v>
      </c>
      <c r="S598">
        <v>10</v>
      </c>
      <c r="T598">
        <v>10</v>
      </c>
      <c r="U598">
        <v>8</v>
      </c>
      <c r="V598">
        <v>9</v>
      </c>
      <c r="W598" t="s">
        <v>66</v>
      </c>
      <c r="X598" t="s">
        <v>36</v>
      </c>
      <c r="Y598" t="s">
        <v>57</v>
      </c>
      <c r="Z598">
        <v>38</v>
      </c>
      <c r="AA598" t="s">
        <v>38</v>
      </c>
      <c r="AB598" t="s">
        <v>124</v>
      </c>
      <c r="AC598" t="s">
        <v>53</v>
      </c>
    </row>
    <row r="599" spans="1:29" x14ac:dyDescent="0.35">
      <c r="A599" t="s">
        <v>683</v>
      </c>
      <c r="B599" t="s">
        <v>29</v>
      </c>
      <c r="C599" s="1">
        <v>44728</v>
      </c>
      <c r="D599" s="2">
        <v>0.4368055555555555</v>
      </c>
      <c r="E599" s="2">
        <v>1.8634259259259261E-3</v>
      </c>
      <c r="K599" t="s">
        <v>30</v>
      </c>
      <c r="L599" t="s">
        <v>41</v>
      </c>
      <c r="M599" t="s">
        <v>49</v>
      </c>
      <c r="N599">
        <v>20</v>
      </c>
      <c r="O599" t="s">
        <v>50</v>
      </c>
      <c r="P599" t="s">
        <v>34</v>
      </c>
      <c r="Q599">
        <v>6</v>
      </c>
      <c r="R599">
        <v>9</v>
      </c>
      <c r="S599">
        <v>7</v>
      </c>
      <c r="T599">
        <v>7</v>
      </c>
      <c r="U599">
        <v>5</v>
      </c>
      <c r="V599">
        <v>8</v>
      </c>
      <c r="W599" t="s">
        <v>66</v>
      </c>
      <c r="X599" t="s">
        <v>52</v>
      </c>
      <c r="Y599" t="s">
        <v>37</v>
      </c>
      <c r="Z599">
        <v>22</v>
      </c>
      <c r="AA599" t="s">
        <v>50</v>
      </c>
      <c r="AB599" t="s">
        <v>124</v>
      </c>
      <c r="AC599" t="s">
        <v>50</v>
      </c>
    </row>
    <row r="600" spans="1:29" x14ac:dyDescent="0.35">
      <c r="A600" t="s">
        <v>684</v>
      </c>
      <c r="B600" t="s">
        <v>29</v>
      </c>
      <c r="C600" s="1">
        <v>44728</v>
      </c>
      <c r="D600" s="2">
        <v>0.56805555555555554</v>
      </c>
      <c r="E600" s="2">
        <v>9.2592592592592585E-4</v>
      </c>
      <c r="K600" t="s">
        <v>63</v>
      </c>
      <c r="L600" t="s">
        <v>31</v>
      </c>
      <c r="M600" t="s">
        <v>49</v>
      </c>
      <c r="N600">
        <v>20</v>
      </c>
      <c r="O600" t="s">
        <v>294</v>
      </c>
      <c r="P600" t="s">
        <v>34</v>
      </c>
      <c r="Q600">
        <v>2</v>
      </c>
      <c r="R600">
        <v>3</v>
      </c>
      <c r="S600">
        <v>4</v>
      </c>
      <c r="T600">
        <v>5</v>
      </c>
      <c r="U600">
        <v>3</v>
      </c>
      <c r="V600">
        <v>6</v>
      </c>
      <c r="W600" t="s">
        <v>56</v>
      </c>
      <c r="X600" t="s">
        <v>60</v>
      </c>
      <c r="Y600" t="s">
        <v>37</v>
      </c>
      <c r="Z600">
        <v>33</v>
      </c>
      <c r="AA600" t="s">
        <v>95</v>
      </c>
      <c r="AB600" t="s">
        <v>124</v>
      </c>
      <c r="AC600" t="s">
        <v>46</v>
      </c>
    </row>
    <row r="601" spans="1:29" x14ac:dyDescent="0.35">
      <c r="A601" t="s">
        <v>685</v>
      </c>
      <c r="B601" t="s">
        <v>29</v>
      </c>
      <c r="C601" s="1">
        <v>44728</v>
      </c>
      <c r="D601" s="2">
        <v>0.64236111111111105</v>
      </c>
      <c r="E601" s="2">
        <v>8.2175925925925917E-4</v>
      </c>
      <c r="K601" t="s">
        <v>30</v>
      </c>
      <c r="L601" t="s">
        <v>31</v>
      </c>
      <c r="M601" t="s">
        <v>42</v>
      </c>
      <c r="N601">
        <v>53</v>
      </c>
      <c r="O601" t="s">
        <v>76</v>
      </c>
      <c r="P601" t="s">
        <v>34</v>
      </c>
      <c r="Q601">
        <v>3</v>
      </c>
      <c r="R601">
        <v>6</v>
      </c>
      <c r="S601">
        <v>6</v>
      </c>
      <c r="T601">
        <v>6</v>
      </c>
      <c r="U601">
        <v>5</v>
      </c>
      <c r="V601">
        <v>5</v>
      </c>
      <c r="W601" t="s">
        <v>66</v>
      </c>
      <c r="X601" t="s">
        <v>60</v>
      </c>
      <c r="Y601" t="s">
        <v>37</v>
      </c>
      <c r="Z601">
        <v>27</v>
      </c>
      <c r="AA601" t="s">
        <v>45</v>
      </c>
      <c r="AB601" t="s">
        <v>124</v>
      </c>
      <c r="AC601" t="s">
        <v>39</v>
      </c>
    </row>
    <row r="602" spans="1:29" x14ac:dyDescent="0.35">
      <c r="A602" t="s">
        <v>686</v>
      </c>
      <c r="B602" t="s">
        <v>29</v>
      </c>
      <c r="C602" s="1">
        <v>44728</v>
      </c>
      <c r="D602" s="2">
        <v>0.66666666666666663</v>
      </c>
      <c r="E602" s="2">
        <v>1.5509259259259261E-3</v>
      </c>
      <c r="K602" t="s">
        <v>30</v>
      </c>
      <c r="L602" t="s">
        <v>41</v>
      </c>
      <c r="M602" t="s">
        <v>49</v>
      </c>
      <c r="N602">
        <v>20</v>
      </c>
      <c r="O602" t="s">
        <v>76</v>
      </c>
      <c r="P602" t="s">
        <v>44</v>
      </c>
      <c r="Q602">
        <v>0</v>
      </c>
      <c r="R602">
        <v>6</v>
      </c>
      <c r="S602">
        <v>3</v>
      </c>
      <c r="T602">
        <v>0</v>
      </c>
      <c r="U602">
        <v>0</v>
      </c>
      <c r="V602">
        <v>10</v>
      </c>
      <c r="W602" t="s">
        <v>66</v>
      </c>
      <c r="X602" t="s">
        <v>36</v>
      </c>
      <c r="Y602" t="s">
        <v>37</v>
      </c>
      <c r="Z602">
        <v>19</v>
      </c>
      <c r="AA602" t="s">
        <v>50</v>
      </c>
      <c r="AB602" t="s">
        <v>124</v>
      </c>
      <c r="AC602" t="s">
        <v>39</v>
      </c>
    </row>
    <row r="603" spans="1:29" x14ac:dyDescent="0.35">
      <c r="A603" t="s">
        <v>687</v>
      </c>
      <c r="B603" t="s">
        <v>29</v>
      </c>
      <c r="C603" s="1">
        <v>44728</v>
      </c>
      <c r="D603" s="2">
        <v>0.95277777777777783</v>
      </c>
      <c r="E603" s="2">
        <v>9.7222222222222209E-4</v>
      </c>
      <c r="K603" t="s">
        <v>50</v>
      </c>
      <c r="L603" t="s">
        <v>41</v>
      </c>
      <c r="M603" t="s">
        <v>49</v>
      </c>
      <c r="N603">
        <v>20</v>
      </c>
      <c r="O603" t="s">
        <v>50</v>
      </c>
      <c r="P603" t="s">
        <v>34</v>
      </c>
      <c r="Q603">
        <v>1</v>
      </c>
      <c r="R603">
        <v>6</v>
      </c>
      <c r="S603">
        <v>2</v>
      </c>
      <c r="T603">
        <v>5</v>
      </c>
      <c r="U603">
        <v>1</v>
      </c>
      <c r="V603">
        <v>0</v>
      </c>
      <c r="W603" t="s">
        <v>66</v>
      </c>
      <c r="X603" t="s">
        <v>60</v>
      </c>
      <c r="Y603" t="s">
        <v>37</v>
      </c>
      <c r="Z603">
        <v>24</v>
      </c>
      <c r="AA603" t="s">
        <v>95</v>
      </c>
      <c r="AB603" t="s">
        <v>124</v>
      </c>
      <c r="AC603" t="s">
        <v>50</v>
      </c>
    </row>
    <row r="604" spans="1:29" x14ac:dyDescent="0.35">
      <c r="A604" t="s">
        <v>688</v>
      </c>
      <c r="B604" t="s">
        <v>29</v>
      </c>
      <c r="C604" s="1">
        <v>44728</v>
      </c>
      <c r="D604" s="2">
        <v>0.95763888888888893</v>
      </c>
      <c r="E604" s="2">
        <v>2.6620370370370374E-3</v>
      </c>
      <c r="K604" t="s">
        <v>50</v>
      </c>
      <c r="L604" t="s">
        <v>41</v>
      </c>
      <c r="M604" t="s">
        <v>55</v>
      </c>
      <c r="N604">
        <v>188</v>
      </c>
      <c r="O604" t="s">
        <v>43</v>
      </c>
      <c r="P604" t="s">
        <v>50</v>
      </c>
      <c r="Q604">
        <v>8</v>
      </c>
      <c r="R604">
        <v>10</v>
      </c>
      <c r="S604">
        <v>9</v>
      </c>
      <c r="T604">
        <v>10</v>
      </c>
      <c r="U604">
        <v>8</v>
      </c>
      <c r="V604">
        <v>10</v>
      </c>
      <c r="W604" t="s">
        <v>56</v>
      </c>
      <c r="X604" t="s">
        <v>82</v>
      </c>
      <c r="Y604" t="s">
        <v>57</v>
      </c>
      <c r="Z604">
        <v>58</v>
      </c>
      <c r="AA604" t="s">
        <v>38</v>
      </c>
      <c r="AB604" t="s">
        <v>126</v>
      </c>
      <c r="AC604" t="s">
        <v>39</v>
      </c>
    </row>
    <row r="605" spans="1:29" x14ac:dyDescent="0.35">
      <c r="A605" t="s">
        <v>689</v>
      </c>
      <c r="B605" t="s">
        <v>29</v>
      </c>
      <c r="C605" s="1">
        <v>44729</v>
      </c>
      <c r="D605" s="2">
        <v>0.5854166666666667</v>
      </c>
      <c r="E605" s="2">
        <v>1.1342592592592591E-3</v>
      </c>
      <c r="K605" t="s">
        <v>30</v>
      </c>
      <c r="L605" t="s">
        <v>41</v>
      </c>
      <c r="M605" t="s">
        <v>49</v>
      </c>
      <c r="N605">
        <v>20</v>
      </c>
      <c r="O605" t="s">
        <v>76</v>
      </c>
      <c r="P605" t="s">
        <v>34</v>
      </c>
      <c r="Q605">
        <v>2</v>
      </c>
      <c r="R605">
        <v>2</v>
      </c>
      <c r="S605">
        <v>5</v>
      </c>
      <c r="T605">
        <v>6</v>
      </c>
      <c r="U605">
        <v>6</v>
      </c>
      <c r="V605">
        <v>3</v>
      </c>
      <c r="W605" t="s">
        <v>66</v>
      </c>
      <c r="X605" t="s">
        <v>52</v>
      </c>
      <c r="Y605" t="s">
        <v>37</v>
      </c>
      <c r="Z605">
        <v>22</v>
      </c>
      <c r="AA605" t="s">
        <v>50</v>
      </c>
      <c r="AB605" t="s">
        <v>124</v>
      </c>
      <c r="AC605" t="s">
        <v>53</v>
      </c>
    </row>
    <row r="606" spans="1:29" x14ac:dyDescent="0.35">
      <c r="A606" t="s">
        <v>690</v>
      </c>
      <c r="B606" t="s">
        <v>29</v>
      </c>
      <c r="C606" s="1">
        <v>44729</v>
      </c>
      <c r="D606" s="2">
        <v>0.69236111111111109</v>
      </c>
      <c r="E606" s="2">
        <v>9.9537037037037042E-4</v>
      </c>
      <c r="K606" t="s">
        <v>30</v>
      </c>
      <c r="L606" t="s">
        <v>41</v>
      </c>
      <c r="M606" t="s">
        <v>68</v>
      </c>
      <c r="N606">
        <v>96</v>
      </c>
      <c r="O606" t="s">
        <v>76</v>
      </c>
      <c r="P606" t="s">
        <v>34</v>
      </c>
      <c r="Q606">
        <v>4</v>
      </c>
      <c r="R606">
        <v>4</v>
      </c>
      <c r="S606">
        <v>4</v>
      </c>
      <c r="T606">
        <v>4</v>
      </c>
      <c r="U606">
        <v>3</v>
      </c>
      <c r="V606">
        <v>4</v>
      </c>
      <c r="W606" t="s">
        <v>66</v>
      </c>
      <c r="X606" t="s">
        <v>60</v>
      </c>
      <c r="Y606" t="s">
        <v>37</v>
      </c>
      <c r="Z606">
        <v>26</v>
      </c>
      <c r="AA606" t="s">
        <v>50</v>
      </c>
      <c r="AB606" t="s">
        <v>126</v>
      </c>
      <c r="AC606" t="s">
        <v>46</v>
      </c>
    </row>
    <row r="607" spans="1:29" x14ac:dyDescent="0.35">
      <c r="A607" t="s">
        <v>691</v>
      </c>
      <c r="B607" t="s">
        <v>29</v>
      </c>
      <c r="C607" s="1">
        <v>44729</v>
      </c>
      <c r="D607" s="2">
        <v>0.72361111111111109</v>
      </c>
      <c r="E607" s="2">
        <v>1.4583333333333334E-3</v>
      </c>
      <c r="K607" t="s">
        <v>50</v>
      </c>
      <c r="L607" t="s">
        <v>41</v>
      </c>
      <c r="M607" t="s">
        <v>42</v>
      </c>
      <c r="N607">
        <v>53</v>
      </c>
      <c r="O607" t="s">
        <v>76</v>
      </c>
      <c r="P607" t="s">
        <v>50</v>
      </c>
      <c r="Q607">
        <v>4</v>
      </c>
      <c r="R607">
        <v>5</v>
      </c>
      <c r="S607">
        <v>4</v>
      </c>
      <c r="T607">
        <v>5</v>
      </c>
      <c r="U607">
        <v>5</v>
      </c>
      <c r="V607">
        <v>3</v>
      </c>
      <c r="W607" t="s">
        <v>51</v>
      </c>
      <c r="X607" t="s">
        <v>82</v>
      </c>
      <c r="Y607" t="s">
        <v>57</v>
      </c>
      <c r="Z607">
        <v>31</v>
      </c>
      <c r="AA607" t="s">
        <v>79</v>
      </c>
      <c r="AB607" t="s">
        <v>124</v>
      </c>
      <c r="AC607" t="s">
        <v>39</v>
      </c>
    </row>
    <row r="608" spans="1:29" x14ac:dyDescent="0.35">
      <c r="A608" t="s">
        <v>692</v>
      </c>
      <c r="B608" t="s">
        <v>29</v>
      </c>
      <c r="C608" s="1">
        <v>44730</v>
      </c>
      <c r="D608" s="2">
        <v>3.3333333333333333E-2</v>
      </c>
      <c r="E608" s="2">
        <v>1.0648148148148147E-3</v>
      </c>
      <c r="K608" t="s">
        <v>30</v>
      </c>
      <c r="L608" t="s">
        <v>41</v>
      </c>
      <c r="M608" t="s">
        <v>42</v>
      </c>
      <c r="N608">
        <v>53</v>
      </c>
      <c r="O608" t="s">
        <v>327</v>
      </c>
      <c r="P608" t="s">
        <v>34</v>
      </c>
      <c r="Q608">
        <v>2</v>
      </c>
      <c r="R608">
        <v>2</v>
      </c>
      <c r="S608">
        <v>4</v>
      </c>
      <c r="T608">
        <v>5</v>
      </c>
      <c r="U608">
        <v>1</v>
      </c>
      <c r="V608">
        <v>1</v>
      </c>
      <c r="W608" t="s">
        <v>66</v>
      </c>
      <c r="X608" t="s">
        <v>60</v>
      </c>
      <c r="Y608" t="s">
        <v>37</v>
      </c>
      <c r="Z608">
        <v>23</v>
      </c>
      <c r="AA608" t="s">
        <v>38</v>
      </c>
      <c r="AB608" t="s">
        <v>120</v>
      </c>
      <c r="AC608" t="s">
        <v>71</v>
      </c>
    </row>
    <row r="609" spans="1:29" x14ac:dyDescent="0.35">
      <c r="A609" t="s">
        <v>693</v>
      </c>
      <c r="B609" t="s">
        <v>29</v>
      </c>
      <c r="C609" s="1">
        <v>44730</v>
      </c>
      <c r="D609" s="2">
        <v>0.43958333333333338</v>
      </c>
      <c r="E609" s="2">
        <v>9.2592592592592585E-4</v>
      </c>
      <c r="K609" t="s">
        <v>30</v>
      </c>
      <c r="L609" t="s">
        <v>41</v>
      </c>
      <c r="M609" t="s">
        <v>68</v>
      </c>
      <c r="N609">
        <v>96</v>
      </c>
      <c r="O609" t="s">
        <v>33</v>
      </c>
      <c r="P609" t="s">
        <v>34</v>
      </c>
      <c r="Q609">
        <v>7</v>
      </c>
      <c r="R609">
        <v>10</v>
      </c>
      <c r="S609">
        <v>10</v>
      </c>
      <c r="T609">
        <v>10</v>
      </c>
      <c r="U609">
        <v>7</v>
      </c>
      <c r="V609">
        <v>8</v>
      </c>
      <c r="W609" t="s">
        <v>66</v>
      </c>
      <c r="X609" t="s">
        <v>36</v>
      </c>
      <c r="Y609" t="s">
        <v>57</v>
      </c>
      <c r="Z609">
        <v>31</v>
      </c>
      <c r="AA609" t="s">
        <v>38</v>
      </c>
      <c r="AB609" t="s">
        <v>126</v>
      </c>
      <c r="AC609" t="s">
        <v>46</v>
      </c>
    </row>
    <row r="610" spans="1:29" x14ac:dyDescent="0.35">
      <c r="A610" t="s">
        <v>694</v>
      </c>
      <c r="B610" t="s">
        <v>29</v>
      </c>
      <c r="C610" s="1">
        <v>44730</v>
      </c>
      <c r="D610" s="2">
        <v>0.48749999999999999</v>
      </c>
      <c r="E610" s="2">
        <v>1.2384259259259258E-3</v>
      </c>
      <c r="K610" t="s">
        <v>86</v>
      </c>
      <c r="L610" t="s">
        <v>41</v>
      </c>
      <c r="M610" t="s">
        <v>73</v>
      </c>
      <c r="N610">
        <v>76</v>
      </c>
      <c r="O610" t="s">
        <v>81</v>
      </c>
      <c r="P610" t="s">
        <v>50</v>
      </c>
      <c r="Q610">
        <v>5</v>
      </c>
      <c r="R610">
        <v>5</v>
      </c>
      <c r="S610">
        <v>7</v>
      </c>
      <c r="T610">
        <v>7</v>
      </c>
      <c r="U610">
        <v>9</v>
      </c>
      <c r="V610">
        <v>10</v>
      </c>
      <c r="W610" t="s">
        <v>59</v>
      </c>
      <c r="X610" t="s">
        <v>60</v>
      </c>
      <c r="Y610" t="s">
        <v>57</v>
      </c>
      <c r="Z610">
        <v>24</v>
      </c>
      <c r="AA610" t="s">
        <v>38</v>
      </c>
      <c r="AB610" t="s">
        <v>124</v>
      </c>
      <c r="AC610" t="s">
        <v>46</v>
      </c>
    </row>
    <row r="611" spans="1:29" x14ac:dyDescent="0.35">
      <c r="A611" t="s">
        <v>695</v>
      </c>
      <c r="B611" t="s">
        <v>29</v>
      </c>
      <c r="C611" s="1">
        <v>44730</v>
      </c>
      <c r="D611" s="2">
        <v>0.83611111111111114</v>
      </c>
      <c r="E611" s="2">
        <v>1.4467592592592594E-3</v>
      </c>
      <c r="K611" t="s">
        <v>50</v>
      </c>
      <c r="L611" t="s">
        <v>31</v>
      </c>
      <c r="M611" t="s">
        <v>42</v>
      </c>
      <c r="N611">
        <v>53</v>
      </c>
      <c r="O611" t="s">
        <v>43</v>
      </c>
      <c r="P611" t="s">
        <v>34</v>
      </c>
      <c r="Q611">
        <v>8</v>
      </c>
      <c r="R611">
        <v>10</v>
      </c>
      <c r="S611">
        <v>10</v>
      </c>
      <c r="T611">
        <v>10</v>
      </c>
      <c r="U611">
        <v>10</v>
      </c>
      <c r="V611">
        <v>10</v>
      </c>
      <c r="W611" t="s">
        <v>66</v>
      </c>
      <c r="X611" t="s">
        <v>60</v>
      </c>
      <c r="Y611" t="s">
        <v>37</v>
      </c>
      <c r="Z611">
        <v>29</v>
      </c>
      <c r="AA611" t="s">
        <v>50</v>
      </c>
      <c r="AB611" t="s">
        <v>124</v>
      </c>
      <c r="AC611" t="s">
        <v>71</v>
      </c>
    </row>
    <row r="612" spans="1:29" x14ac:dyDescent="0.35">
      <c r="A612" t="s">
        <v>696</v>
      </c>
      <c r="B612" t="s">
        <v>29</v>
      </c>
      <c r="C612" s="1">
        <v>44731</v>
      </c>
      <c r="D612" s="2">
        <v>0.19444444444444445</v>
      </c>
      <c r="E612" s="2">
        <v>9.2592592592592585E-4</v>
      </c>
      <c r="K612" t="s">
        <v>86</v>
      </c>
      <c r="L612" t="s">
        <v>31</v>
      </c>
      <c r="M612" t="s">
        <v>49</v>
      </c>
      <c r="N612">
        <v>20</v>
      </c>
      <c r="O612" t="s">
        <v>78</v>
      </c>
      <c r="P612" t="s">
        <v>34</v>
      </c>
      <c r="Q612">
        <v>7</v>
      </c>
      <c r="R612">
        <v>8</v>
      </c>
      <c r="S612">
        <v>9</v>
      </c>
      <c r="T612">
        <v>8</v>
      </c>
      <c r="U612">
        <v>9</v>
      </c>
      <c r="V612">
        <v>10</v>
      </c>
      <c r="W612" t="s">
        <v>59</v>
      </c>
      <c r="X612" t="s">
        <v>52</v>
      </c>
      <c r="Y612" t="s">
        <v>37</v>
      </c>
      <c r="Z612">
        <v>26</v>
      </c>
      <c r="AA612" t="s">
        <v>50</v>
      </c>
      <c r="AB612" t="s">
        <v>124</v>
      </c>
      <c r="AC612" t="s">
        <v>46</v>
      </c>
    </row>
    <row r="613" spans="1:29" x14ac:dyDescent="0.35">
      <c r="A613" t="s">
        <v>697</v>
      </c>
      <c r="B613" t="s">
        <v>29</v>
      </c>
      <c r="C613" s="1">
        <v>44731</v>
      </c>
      <c r="D613" s="2">
        <v>0.30902777777777779</v>
      </c>
      <c r="E613" s="2">
        <v>1.2962962962962963E-3</v>
      </c>
      <c r="K613" t="s">
        <v>86</v>
      </c>
      <c r="L613" t="s">
        <v>31</v>
      </c>
      <c r="M613" t="s">
        <v>49</v>
      </c>
      <c r="N613">
        <v>20</v>
      </c>
      <c r="O613" t="s">
        <v>50</v>
      </c>
      <c r="P613" t="s">
        <v>34</v>
      </c>
      <c r="Q613">
        <v>3</v>
      </c>
      <c r="R613">
        <v>9</v>
      </c>
      <c r="S613">
        <v>9</v>
      </c>
      <c r="T613">
        <v>9</v>
      </c>
      <c r="U613">
        <v>9</v>
      </c>
      <c r="V613">
        <v>9</v>
      </c>
      <c r="W613" t="s">
        <v>66</v>
      </c>
      <c r="X613" t="s">
        <v>60</v>
      </c>
      <c r="Y613" t="s">
        <v>37</v>
      </c>
      <c r="Z613">
        <v>20</v>
      </c>
      <c r="AA613" t="s">
        <v>95</v>
      </c>
      <c r="AB613" t="s">
        <v>120</v>
      </c>
      <c r="AC613" t="s">
        <v>46</v>
      </c>
    </row>
    <row r="614" spans="1:29" x14ac:dyDescent="0.35">
      <c r="A614" t="s">
        <v>698</v>
      </c>
      <c r="B614" t="s">
        <v>29</v>
      </c>
      <c r="C614" s="1">
        <v>44731</v>
      </c>
      <c r="D614" s="2">
        <v>0.33402777777777781</v>
      </c>
      <c r="E614" s="2">
        <v>9.7222222222222209E-4</v>
      </c>
      <c r="K614" t="s">
        <v>30</v>
      </c>
      <c r="L614" t="s">
        <v>31</v>
      </c>
      <c r="M614" t="s">
        <v>49</v>
      </c>
      <c r="N614">
        <v>20</v>
      </c>
      <c r="O614" t="s">
        <v>78</v>
      </c>
      <c r="P614" t="s">
        <v>34</v>
      </c>
      <c r="Q614">
        <v>0</v>
      </c>
      <c r="R614">
        <v>2</v>
      </c>
      <c r="S614">
        <v>3</v>
      </c>
      <c r="T614">
        <v>2</v>
      </c>
      <c r="U614">
        <v>4</v>
      </c>
      <c r="V614">
        <v>2</v>
      </c>
      <c r="W614" t="s">
        <v>66</v>
      </c>
      <c r="X614" t="s">
        <v>60</v>
      </c>
      <c r="Y614" t="s">
        <v>37</v>
      </c>
      <c r="Z614">
        <v>23</v>
      </c>
      <c r="AA614" t="s">
        <v>95</v>
      </c>
      <c r="AB614" t="s">
        <v>124</v>
      </c>
      <c r="AC614" t="s">
        <v>46</v>
      </c>
    </row>
    <row r="615" spans="1:29" x14ac:dyDescent="0.35">
      <c r="A615" t="s">
        <v>699</v>
      </c>
      <c r="B615" t="s">
        <v>29</v>
      </c>
      <c r="C615" s="1">
        <v>44731</v>
      </c>
      <c r="D615" s="2">
        <v>0.45347222222222222</v>
      </c>
      <c r="E615" s="2">
        <v>1.2384259259259258E-3</v>
      </c>
      <c r="K615" t="s">
        <v>30</v>
      </c>
      <c r="L615" t="s">
        <v>41</v>
      </c>
      <c r="M615" t="s">
        <v>32</v>
      </c>
      <c r="N615">
        <v>116</v>
      </c>
      <c r="O615" t="s">
        <v>76</v>
      </c>
      <c r="P615" t="s">
        <v>34</v>
      </c>
      <c r="Q615">
        <v>8</v>
      </c>
      <c r="R615">
        <v>8</v>
      </c>
      <c r="S615">
        <v>9</v>
      </c>
      <c r="T615">
        <v>8</v>
      </c>
      <c r="U615">
        <v>7</v>
      </c>
      <c r="V615">
        <v>7</v>
      </c>
      <c r="W615" t="s">
        <v>66</v>
      </c>
      <c r="X615" t="s">
        <v>52</v>
      </c>
      <c r="Y615" t="s">
        <v>37</v>
      </c>
      <c r="Z615">
        <v>33</v>
      </c>
      <c r="AA615" t="s">
        <v>38</v>
      </c>
      <c r="AB615" t="s">
        <v>126</v>
      </c>
      <c r="AC615" t="s">
        <v>39</v>
      </c>
    </row>
    <row r="616" spans="1:29" x14ac:dyDescent="0.35">
      <c r="A616" t="s">
        <v>700</v>
      </c>
      <c r="B616" t="s">
        <v>29</v>
      </c>
      <c r="C616" s="1">
        <v>44731</v>
      </c>
      <c r="D616" s="2">
        <v>0.50277777777777777</v>
      </c>
      <c r="E616" s="2">
        <v>1.1574074074074073E-3</v>
      </c>
      <c r="K616" t="s">
        <v>86</v>
      </c>
      <c r="L616" t="s">
        <v>31</v>
      </c>
      <c r="M616" t="s">
        <v>49</v>
      </c>
      <c r="N616">
        <v>20</v>
      </c>
      <c r="O616" t="s">
        <v>76</v>
      </c>
      <c r="P616" t="s">
        <v>34</v>
      </c>
      <c r="Q616">
        <v>2</v>
      </c>
      <c r="R616">
        <v>3</v>
      </c>
      <c r="S616">
        <v>3</v>
      </c>
      <c r="T616">
        <v>5</v>
      </c>
      <c r="U616">
        <v>5</v>
      </c>
      <c r="V616">
        <v>9</v>
      </c>
      <c r="W616" t="s">
        <v>51</v>
      </c>
      <c r="X616" t="s">
        <v>36</v>
      </c>
      <c r="Y616" t="s">
        <v>37</v>
      </c>
      <c r="Z616">
        <v>26</v>
      </c>
      <c r="AA616" t="s">
        <v>50</v>
      </c>
      <c r="AB616" t="s">
        <v>124</v>
      </c>
      <c r="AC616" t="s">
        <v>53</v>
      </c>
    </row>
    <row r="617" spans="1:29" x14ac:dyDescent="0.35">
      <c r="A617" t="s">
        <v>701</v>
      </c>
      <c r="B617" t="s">
        <v>29</v>
      </c>
      <c r="C617" s="1">
        <v>44731</v>
      </c>
      <c r="D617" s="2">
        <v>0.53472222222222221</v>
      </c>
      <c r="E617" s="2">
        <v>2.7430555555555559E-3</v>
      </c>
      <c r="K617" t="s">
        <v>30</v>
      </c>
      <c r="L617" t="s">
        <v>31</v>
      </c>
      <c r="M617" t="s">
        <v>49</v>
      </c>
      <c r="N617">
        <v>20</v>
      </c>
      <c r="O617" t="s">
        <v>50</v>
      </c>
      <c r="P617" t="s">
        <v>44</v>
      </c>
      <c r="Q617">
        <v>3</v>
      </c>
      <c r="R617">
        <v>9</v>
      </c>
      <c r="S617">
        <v>8</v>
      </c>
      <c r="T617">
        <v>8</v>
      </c>
      <c r="U617">
        <v>6</v>
      </c>
      <c r="V617">
        <v>6</v>
      </c>
      <c r="W617" t="s">
        <v>59</v>
      </c>
      <c r="X617" t="s">
        <v>60</v>
      </c>
      <c r="Y617" t="s">
        <v>37</v>
      </c>
      <c r="Z617">
        <v>27</v>
      </c>
      <c r="AA617" t="s">
        <v>95</v>
      </c>
      <c r="AB617" t="s">
        <v>124</v>
      </c>
      <c r="AC617" t="s">
        <v>46</v>
      </c>
    </row>
    <row r="618" spans="1:29" x14ac:dyDescent="0.35">
      <c r="A618" t="s">
        <v>702</v>
      </c>
      <c r="B618" t="s">
        <v>29</v>
      </c>
      <c r="C618" s="1">
        <v>44731</v>
      </c>
      <c r="D618" s="2">
        <v>0.58124999999999993</v>
      </c>
      <c r="E618" s="2">
        <v>1.6319444444444445E-3</v>
      </c>
      <c r="K618" t="s">
        <v>86</v>
      </c>
      <c r="L618" t="s">
        <v>41</v>
      </c>
      <c r="M618" t="s">
        <v>49</v>
      </c>
      <c r="N618">
        <v>20</v>
      </c>
      <c r="O618" t="s">
        <v>327</v>
      </c>
      <c r="P618" t="s">
        <v>50</v>
      </c>
      <c r="Q618">
        <v>0</v>
      </c>
      <c r="R618">
        <v>8</v>
      </c>
      <c r="S618">
        <v>8</v>
      </c>
      <c r="T618">
        <v>8</v>
      </c>
      <c r="U618">
        <v>8</v>
      </c>
      <c r="V618">
        <v>8</v>
      </c>
      <c r="W618" t="s">
        <v>66</v>
      </c>
      <c r="X618" t="s">
        <v>60</v>
      </c>
      <c r="Y618" t="s">
        <v>37</v>
      </c>
      <c r="Z618">
        <v>22</v>
      </c>
      <c r="AA618" t="s">
        <v>50</v>
      </c>
      <c r="AB618" t="s">
        <v>124</v>
      </c>
      <c r="AC618" t="s">
        <v>46</v>
      </c>
    </row>
    <row r="619" spans="1:29" x14ac:dyDescent="0.35">
      <c r="A619" t="s">
        <v>703</v>
      </c>
      <c r="B619" t="s">
        <v>29</v>
      </c>
      <c r="C619" s="1">
        <v>44731</v>
      </c>
      <c r="D619" s="2">
        <v>0.75694444444444453</v>
      </c>
      <c r="E619" s="2">
        <v>1.4583333333333334E-3</v>
      </c>
      <c r="K619" t="s">
        <v>30</v>
      </c>
      <c r="L619" t="s">
        <v>31</v>
      </c>
      <c r="M619" t="s">
        <v>49</v>
      </c>
      <c r="N619">
        <v>20</v>
      </c>
      <c r="O619" t="s">
        <v>76</v>
      </c>
      <c r="P619" t="s">
        <v>34</v>
      </c>
      <c r="Q619">
        <v>3</v>
      </c>
      <c r="R619">
        <v>9</v>
      </c>
      <c r="S619">
        <v>9</v>
      </c>
      <c r="T619">
        <v>6</v>
      </c>
      <c r="U619">
        <v>9</v>
      </c>
      <c r="V619">
        <v>4</v>
      </c>
      <c r="W619" t="s">
        <v>51</v>
      </c>
      <c r="X619" t="s">
        <v>60</v>
      </c>
      <c r="Y619" t="s">
        <v>37</v>
      </c>
      <c r="Z619">
        <v>23</v>
      </c>
      <c r="AA619" t="s">
        <v>50</v>
      </c>
      <c r="AB619" t="s">
        <v>126</v>
      </c>
      <c r="AC619" t="s">
        <v>39</v>
      </c>
    </row>
    <row r="620" spans="1:29" x14ac:dyDescent="0.35">
      <c r="A620" t="s">
        <v>704</v>
      </c>
      <c r="B620" t="s">
        <v>29</v>
      </c>
      <c r="C620" s="1">
        <v>44733</v>
      </c>
      <c r="D620" s="2">
        <v>4.7916666666666663E-2</v>
      </c>
      <c r="E620" s="2">
        <v>1.3194444444444443E-3</v>
      </c>
      <c r="K620" t="s">
        <v>50</v>
      </c>
      <c r="L620" t="s">
        <v>31</v>
      </c>
      <c r="M620" t="s">
        <v>49</v>
      </c>
      <c r="N620">
        <v>20</v>
      </c>
      <c r="O620" t="s">
        <v>50</v>
      </c>
      <c r="P620" t="s">
        <v>34</v>
      </c>
      <c r="Q620">
        <v>3</v>
      </c>
      <c r="R620">
        <v>6</v>
      </c>
      <c r="S620">
        <v>7</v>
      </c>
      <c r="T620">
        <v>5</v>
      </c>
      <c r="U620">
        <v>4</v>
      </c>
      <c r="V620">
        <v>4</v>
      </c>
      <c r="W620" t="s">
        <v>66</v>
      </c>
      <c r="X620" t="s">
        <v>60</v>
      </c>
      <c r="Y620" t="s">
        <v>37</v>
      </c>
      <c r="Z620">
        <v>28</v>
      </c>
      <c r="AA620" t="s">
        <v>50</v>
      </c>
      <c r="AB620" t="s">
        <v>124</v>
      </c>
      <c r="AC620" t="s">
        <v>71</v>
      </c>
    </row>
    <row r="621" spans="1:29" x14ac:dyDescent="0.35">
      <c r="A621" t="s">
        <v>705</v>
      </c>
      <c r="B621" t="s">
        <v>29</v>
      </c>
      <c r="C621" s="1">
        <v>44733</v>
      </c>
      <c r="D621" s="2">
        <v>0.11875000000000001</v>
      </c>
      <c r="E621" s="2">
        <v>1.712962962962963E-3</v>
      </c>
      <c r="K621" t="s">
        <v>30</v>
      </c>
      <c r="L621" t="s">
        <v>41</v>
      </c>
      <c r="M621" t="s">
        <v>42</v>
      </c>
      <c r="N621">
        <v>53</v>
      </c>
      <c r="O621" t="s">
        <v>43</v>
      </c>
      <c r="P621" t="s">
        <v>50</v>
      </c>
      <c r="Q621">
        <v>7</v>
      </c>
      <c r="R621">
        <v>5</v>
      </c>
      <c r="S621">
        <v>4</v>
      </c>
      <c r="T621">
        <v>6</v>
      </c>
      <c r="U621">
        <v>4</v>
      </c>
      <c r="V621">
        <v>5</v>
      </c>
      <c r="W621" t="s">
        <v>51</v>
      </c>
      <c r="X621" t="s">
        <v>52</v>
      </c>
      <c r="Y621" t="s">
        <v>57</v>
      </c>
      <c r="Z621">
        <v>39</v>
      </c>
      <c r="AA621" t="s">
        <v>50</v>
      </c>
      <c r="AB621" t="s">
        <v>126</v>
      </c>
      <c r="AC621" t="s">
        <v>39</v>
      </c>
    </row>
    <row r="622" spans="1:29" x14ac:dyDescent="0.35">
      <c r="A622" t="s">
        <v>706</v>
      </c>
      <c r="B622" t="s">
        <v>29</v>
      </c>
      <c r="C622" s="1">
        <v>44733</v>
      </c>
      <c r="D622" s="2">
        <v>0.64861111111111114</v>
      </c>
      <c r="E622" s="2">
        <v>2.3726851851851851E-3</v>
      </c>
      <c r="K622" t="s">
        <v>50</v>
      </c>
      <c r="L622" t="s">
        <v>41</v>
      </c>
      <c r="M622" t="s">
        <v>32</v>
      </c>
      <c r="N622">
        <v>116</v>
      </c>
      <c r="O622" t="s">
        <v>50</v>
      </c>
      <c r="P622" t="s">
        <v>34</v>
      </c>
      <c r="Q622">
        <v>3</v>
      </c>
      <c r="R622">
        <v>2</v>
      </c>
      <c r="S622">
        <v>5</v>
      </c>
      <c r="T622">
        <v>3</v>
      </c>
      <c r="U622">
        <v>3</v>
      </c>
      <c r="V622">
        <v>4</v>
      </c>
      <c r="W622" t="s">
        <v>66</v>
      </c>
      <c r="X622" t="s">
        <v>60</v>
      </c>
      <c r="Y622" t="s">
        <v>37</v>
      </c>
      <c r="Z622">
        <v>37</v>
      </c>
      <c r="AA622" t="s">
        <v>38</v>
      </c>
      <c r="AB622" t="s">
        <v>126</v>
      </c>
      <c r="AC622" t="s">
        <v>39</v>
      </c>
    </row>
    <row r="623" spans="1:29" x14ac:dyDescent="0.35">
      <c r="A623" t="s">
        <v>707</v>
      </c>
      <c r="B623" t="s">
        <v>29</v>
      </c>
      <c r="C623" s="1">
        <v>44733</v>
      </c>
      <c r="D623" s="2">
        <v>0.89374999999999993</v>
      </c>
      <c r="E623" s="2">
        <v>1.0763888888888889E-3</v>
      </c>
      <c r="K623" t="s">
        <v>325</v>
      </c>
      <c r="L623" t="s">
        <v>31</v>
      </c>
      <c r="M623" t="s">
        <v>42</v>
      </c>
      <c r="N623">
        <v>53</v>
      </c>
      <c r="O623" t="s">
        <v>78</v>
      </c>
      <c r="P623" t="s">
        <v>50</v>
      </c>
      <c r="Q623">
        <v>4</v>
      </c>
      <c r="R623">
        <v>7</v>
      </c>
      <c r="S623">
        <v>7</v>
      </c>
      <c r="T623">
        <v>7</v>
      </c>
      <c r="U623">
        <v>7</v>
      </c>
      <c r="V623">
        <v>7</v>
      </c>
      <c r="W623" t="s">
        <v>59</v>
      </c>
      <c r="X623" t="s">
        <v>60</v>
      </c>
      <c r="Y623" t="s">
        <v>57</v>
      </c>
      <c r="Z623">
        <v>29</v>
      </c>
      <c r="AA623" t="s">
        <v>38</v>
      </c>
      <c r="AB623" t="s">
        <v>126</v>
      </c>
      <c r="AC623" t="s">
        <v>39</v>
      </c>
    </row>
    <row r="624" spans="1:29" x14ac:dyDescent="0.35">
      <c r="A624" t="s">
        <v>708</v>
      </c>
      <c r="B624" t="s">
        <v>29</v>
      </c>
      <c r="C624" s="1">
        <v>44734</v>
      </c>
      <c r="D624" s="2">
        <v>0.25694444444444448</v>
      </c>
      <c r="E624" s="2">
        <v>9.7222222222222209E-4</v>
      </c>
      <c r="K624" t="s">
        <v>30</v>
      </c>
      <c r="L624" t="s">
        <v>31</v>
      </c>
      <c r="M624" t="s">
        <v>32</v>
      </c>
      <c r="N624">
        <v>116</v>
      </c>
      <c r="O624" t="s">
        <v>43</v>
      </c>
      <c r="P624" t="s">
        <v>34</v>
      </c>
      <c r="Q624">
        <v>5</v>
      </c>
      <c r="R624">
        <v>6</v>
      </c>
      <c r="S624">
        <v>6</v>
      </c>
      <c r="T624">
        <v>5</v>
      </c>
      <c r="U624">
        <v>4</v>
      </c>
      <c r="V624">
        <v>3</v>
      </c>
      <c r="W624" t="s">
        <v>51</v>
      </c>
      <c r="X624" t="s">
        <v>52</v>
      </c>
      <c r="Y624" t="s">
        <v>37</v>
      </c>
      <c r="Z624">
        <v>42</v>
      </c>
      <c r="AA624" t="s">
        <v>38</v>
      </c>
      <c r="AB624" t="s">
        <v>126</v>
      </c>
      <c r="AC624" t="s">
        <v>39</v>
      </c>
    </row>
    <row r="625" spans="1:29" x14ac:dyDescent="0.35">
      <c r="A625" t="s">
        <v>709</v>
      </c>
      <c r="B625" t="s">
        <v>29</v>
      </c>
      <c r="C625" s="1">
        <v>44734</v>
      </c>
      <c r="D625" s="2">
        <v>0.56458333333333333</v>
      </c>
      <c r="E625" s="2">
        <v>8.2175925925925917E-4</v>
      </c>
      <c r="K625" t="s">
        <v>86</v>
      </c>
      <c r="L625" t="s">
        <v>41</v>
      </c>
      <c r="M625" t="s">
        <v>49</v>
      </c>
      <c r="N625">
        <v>20</v>
      </c>
      <c r="O625" t="s">
        <v>76</v>
      </c>
      <c r="P625" t="s">
        <v>44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 t="s">
        <v>66</v>
      </c>
      <c r="X625" t="s">
        <v>82</v>
      </c>
      <c r="Y625" t="s">
        <v>57</v>
      </c>
      <c r="Z625">
        <v>25</v>
      </c>
      <c r="AA625" t="s">
        <v>45</v>
      </c>
      <c r="AB625" t="s">
        <v>124</v>
      </c>
      <c r="AC625" t="s">
        <v>46</v>
      </c>
    </row>
    <row r="626" spans="1:29" x14ac:dyDescent="0.35">
      <c r="A626" t="s">
        <v>710</v>
      </c>
      <c r="B626" t="s">
        <v>29</v>
      </c>
      <c r="C626" s="1">
        <v>44735</v>
      </c>
      <c r="D626" s="2">
        <v>0.26944444444444443</v>
      </c>
      <c r="E626" s="2">
        <v>9.2592592592592585E-4</v>
      </c>
      <c r="K626" t="s">
        <v>325</v>
      </c>
      <c r="L626" t="s">
        <v>31</v>
      </c>
      <c r="M626">
        <f ca="1">AVERAGE(M2:M631)</f>
        <v>0</v>
      </c>
      <c r="N626">
        <v>20</v>
      </c>
      <c r="O626" t="s">
        <v>70</v>
      </c>
      <c r="P626" t="s">
        <v>34</v>
      </c>
      <c r="Q626">
        <v>5</v>
      </c>
      <c r="R626">
        <v>5</v>
      </c>
      <c r="S626">
        <v>5</v>
      </c>
      <c r="T626">
        <v>5</v>
      </c>
      <c r="U626">
        <v>4</v>
      </c>
      <c r="V626">
        <v>5</v>
      </c>
      <c r="W626" t="s">
        <v>51</v>
      </c>
      <c r="X626" t="s">
        <v>60</v>
      </c>
      <c r="Y626" t="s">
        <v>37</v>
      </c>
      <c r="Z626">
        <v>66</v>
      </c>
      <c r="AA626" t="s">
        <v>50</v>
      </c>
      <c r="AB626" t="s">
        <v>120</v>
      </c>
      <c r="AC626" t="s">
        <v>53</v>
      </c>
    </row>
    <row r="627" spans="1:29" x14ac:dyDescent="0.35">
      <c r="A627" t="s">
        <v>711</v>
      </c>
      <c r="B627" t="s">
        <v>29</v>
      </c>
      <c r="C627" s="1">
        <v>44735</v>
      </c>
      <c r="D627" s="2">
        <v>0.94791666666666663</v>
      </c>
      <c r="E627" s="2">
        <v>5.7870370370370378E-4</v>
      </c>
      <c r="K627" t="s">
        <v>30</v>
      </c>
      <c r="L627" t="s">
        <v>31</v>
      </c>
      <c r="M627" t="s">
        <v>65</v>
      </c>
      <c r="N627">
        <v>138</v>
      </c>
      <c r="O627" t="s">
        <v>50</v>
      </c>
      <c r="P627" t="s">
        <v>44</v>
      </c>
      <c r="Q627">
        <v>8</v>
      </c>
      <c r="R627">
        <v>5</v>
      </c>
      <c r="S627">
        <v>6</v>
      </c>
      <c r="T627">
        <v>6</v>
      </c>
      <c r="U627">
        <v>5</v>
      </c>
      <c r="V627">
        <v>7</v>
      </c>
      <c r="W627" t="s">
        <v>51</v>
      </c>
      <c r="X627" t="s">
        <v>60</v>
      </c>
      <c r="Y627" t="s">
        <v>37</v>
      </c>
      <c r="Z627">
        <v>26</v>
      </c>
      <c r="AA627" t="s">
        <v>38</v>
      </c>
      <c r="AB627" t="s">
        <v>124</v>
      </c>
      <c r="AC627" t="s">
        <v>39</v>
      </c>
    </row>
    <row r="628" spans="1:29" x14ac:dyDescent="0.35">
      <c r="A628" t="s">
        <v>712</v>
      </c>
      <c r="B628" t="s">
        <v>29</v>
      </c>
      <c r="C628" s="1">
        <v>44736</v>
      </c>
      <c r="D628" s="2">
        <v>0.32291666666666669</v>
      </c>
      <c r="E628" s="2">
        <v>2.2222222222222222E-3</v>
      </c>
      <c r="K628" t="s">
        <v>50</v>
      </c>
      <c r="L628" t="s">
        <v>41</v>
      </c>
      <c r="M628" t="s">
        <v>49</v>
      </c>
      <c r="N628">
        <v>20</v>
      </c>
      <c r="O628" t="s">
        <v>50</v>
      </c>
      <c r="P628" t="s">
        <v>44</v>
      </c>
      <c r="Q628">
        <v>4</v>
      </c>
      <c r="R628">
        <v>6</v>
      </c>
      <c r="S628">
        <v>7</v>
      </c>
      <c r="T628">
        <v>7</v>
      </c>
      <c r="U628">
        <v>4</v>
      </c>
      <c r="V628">
        <v>6</v>
      </c>
      <c r="W628" t="s">
        <v>59</v>
      </c>
      <c r="X628" t="s">
        <v>60</v>
      </c>
      <c r="Y628" t="s">
        <v>37</v>
      </c>
      <c r="Z628">
        <v>21</v>
      </c>
      <c r="AA628" t="s">
        <v>38</v>
      </c>
      <c r="AB628" t="s">
        <v>124</v>
      </c>
      <c r="AC628" t="s">
        <v>39</v>
      </c>
    </row>
    <row r="629" spans="1:29" x14ac:dyDescent="0.35">
      <c r="A629" t="s">
        <v>713</v>
      </c>
      <c r="B629" t="s">
        <v>29</v>
      </c>
      <c r="C629" s="1">
        <v>44737</v>
      </c>
      <c r="D629" s="2">
        <v>0.40347222222222223</v>
      </c>
      <c r="E629" s="2">
        <v>3.2754629629629631E-3</v>
      </c>
      <c r="K629" t="s">
        <v>86</v>
      </c>
      <c r="L629" t="s">
        <v>31</v>
      </c>
      <c r="M629" t="s">
        <v>49</v>
      </c>
      <c r="N629">
        <v>20</v>
      </c>
      <c r="O629" t="s">
        <v>76</v>
      </c>
      <c r="P629" t="s">
        <v>34</v>
      </c>
      <c r="Q629">
        <v>1</v>
      </c>
      <c r="R629">
        <v>2</v>
      </c>
      <c r="S629">
        <v>1</v>
      </c>
      <c r="T629">
        <v>2</v>
      </c>
      <c r="U629">
        <v>1</v>
      </c>
      <c r="V629">
        <v>2</v>
      </c>
      <c r="W629" t="s">
        <v>59</v>
      </c>
      <c r="X629" t="s">
        <v>60</v>
      </c>
      <c r="Y629" t="s">
        <v>37</v>
      </c>
      <c r="Z629">
        <v>26</v>
      </c>
      <c r="AA629" t="s">
        <v>50</v>
      </c>
      <c r="AB629" t="s">
        <v>124</v>
      </c>
      <c r="AC629" t="s">
        <v>46</v>
      </c>
    </row>
    <row r="630" spans="1:29" x14ac:dyDescent="0.35">
      <c r="A630" t="s">
        <v>714</v>
      </c>
      <c r="B630" t="s">
        <v>29</v>
      </c>
      <c r="C630" s="1">
        <v>44737</v>
      </c>
      <c r="D630" s="2">
        <v>0.79583333333333339</v>
      </c>
      <c r="E630" s="2">
        <v>1.5856481481481479E-3</v>
      </c>
      <c r="K630" t="s">
        <v>48</v>
      </c>
      <c r="L630" t="s">
        <v>41</v>
      </c>
      <c r="M630" t="s">
        <v>49</v>
      </c>
      <c r="N630">
        <v>20</v>
      </c>
      <c r="O630" t="s">
        <v>76</v>
      </c>
      <c r="P630" t="s">
        <v>34</v>
      </c>
      <c r="Q630">
        <v>6</v>
      </c>
      <c r="R630">
        <v>6</v>
      </c>
      <c r="S630">
        <v>6</v>
      </c>
      <c r="T630">
        <v>6</v>
      </c>
      <c r="U630">
        <v>4</v>
      </c>
      <c r="V630">
        <v>3</v>
      </c>
      <c r="W630" t="s">
        <v>51</v>
      </c>
      <c r="X630" t="s">
        <v>50</v>
      </c>
      <c r="Y630" t="s">
        <v>37</v>
      </c>
      <c r="Z630">
        <v>24</v>
      </c>
      <c r="AA630" t="s">
        <v>50</v>
      </c>
      <c r="AB630" t="s">
        <v>124</v>
      </c>
      <c r="AC630" t="s">
        <v>71</v>
      </c>
    </row>
    <row r="631" spans="1:29" x14ac:dyDescent="0.35">
      <c r="A631" t="s">
        <v>715</v>
      </c>
      <c r="B631" t="s">
        <v>29</v>
      </c>
      <c r="C631" s="1">
        <v>44738</v>
      </c>
      <c r="D631" s="2">
        <v>0.54027777777777775</v>
      </c>
      <c r="E631" s="2">
        <v>9.1435185185185185E-4</v>
      </c>
      <c r="K631" t="s">
        <v>30</v>
      </c>
      <c r="L631" t="s">
        <v>41</v>
      </c>
      <c r="M631" t="s">
        <v>42</v>
      </c>
      <c r="N631">
        <v>53</v>
      </c>
      <c r="O631" t="s">
        <v>50</v>
      </c>
      <c r="P631" t="s">
        <v>34</v>
      </c>
      <c r="Q631">
        <v>8</v>
      </c>
      <c r="R631">
        <v>7</v>
      </c>
      <c r="S631">
        <v>6</v>
      </c>
      <c r="T631">
        <v>7</v>
      </c>
      <c r="U631">
        <v>6</v>
      </c>
      <c r="V631">
        <v>8</v>
      </c>
      <c r="W631" t="s">
        <v>51</v>
      </c>
      <c r="X631" t="s">
        <v>36</v>
      </c>
      <c r="Y631" t="s">
        <v>37</v>
      </c>
      <c r="Z631">
        <v>22</v>
      </c>
      <c r="AA631" t="s">
        <v>38</v>
      </c>
      <c r="AB631" t="s">
        <v>124</v>
      </c>
      <c r="AC631" t="s">
        <v>46</v>
      </c>
    </row>
    <row r="633" spans="1:29" x14ac:dyDescent="0.35">
      <c r="M633" s="14"/>
      <c r="N633" s="14"/>
    </row>
    <row r="634" spans="1:29" x14ac:dyDescent="0.35">
      <c r="M634" s="14"/>
      <c r="N634" s="15"/>
    </row>
    <row r="635" spans="1:29" x14ac:dyDescent="0.35">
      <c r="M635" s="14"/>
      <c r="N635" s="14"/>
    </row>
    <row r="636" spans="1:29" x14ac:dyDescent="0.35">
      <c r="M636" s="14"/>
      <c r="N636" s="14"/>
    </row>
    <row r="637" spans="1:29" x14ac:dyDescent="0.35">
      <c r="M637" s="14"/>
      <c r="N637" s="14"/>
    </row>
    <row r="638" spans="1:29" x14ac:dyDescent="0.35">
      <c r="M638" s="14"/>
      <c r="N638" s="14"/>
    </row>
    <row r="639" spans="1:29" x14ac:dyDescent="0.35">
      <c r="M639" s="14"/>
      <c r="N639" s="14"/>
    </row>
    <row r="640" spans="1:29" x14ac:dyDescent="0.35">
      <c r="M640" s="14"/>
      <c r="N640" s="14"/>
    </row>
  </sheetData>
  <conditionalFormatting sqref="I9">
    <cfRule type="cellIs" dxfId="4" priority="5" operator="greaterThan">
      <formula>"&gt;100"</formula>
    </cfRule>
  </conditionalFormatting>
  <conditionalFormatting sqref="N1:N1048576">
    <cfRule type="cellIs" dxfId="3" priority="4" operator="greaterThan">
      <formula>100</formula>
    </cfRule>
  </conditionalFormatting>
  <conditionalFormatting sqref="L1:L1048576">
    <cfRule type="containsText" dxfId="0" priority="2" operator="containsText" text="Yes">
      <formula>NOT(ISERROR(SEARCH("Yes",L1)))</formula>
    </cfRule>
    <cfRule type="containsText" dxfId="1" priority="3" operator="containsText" text=" yes">
      <formula>NOT(ISERROR(SEARCH(" yes",L1)))</formula>
    </cfRule>
    <cfRule type="containsText" dxfId="2" priority="1" operator="containsText" text="yes">
      <formula>NOT(ISERROR(SEARCH("yes",L1)))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31"/>
  <sheetViews>
    <sheetView topLeftCell="A2" workbookViewId="0">
      <selection activeCell="M6" sqref="M6"/>
    </sheetView>
  </sheetViews>
  <sheetFormatPr defaultRowHeight="14.5" x14ac:dyDescent="0.35"/>
  <cols>
    <col min="1" max="1" width="14.26953125" customWidth="1"/>
    <col min="4" max="4" width="10.7265625" customWidth="1"/>
  </cols>
  <sheetData>
    <row r="1" spans="1:4" x14ac:dyDescent="0.35">
      <c r="A1" s="17" t="s">
        <v>735</v>
      </c>
      <c r="C1" s="3" t="s">
        <v>736</v>
      </c>
      <c r="D1" s="3" t="s">
        <v>737</v>
      </c>
    </row>
    <row r="2" spans="1:4" x14ac:dyDescent="0.35">
      <c r="A2" s="16">
        <f>CORREL(data!U:U,data!V:V)</f>
        <v>0.71635927631666951</v>
      </c>
      <c r="C2">
        <v>5</v>
      </c>
      <c r="D2">
        <v>7</v>
      </c>
    </row>
    <row r="3" spans="1:4" x14ac:dyDescent="0.35">
      <c r="C3">
        <v>1</v>
      </c>
      <c r="D3">
        <v>3</v>
      </c>
    </row>
    <row r="4" spans="1:4" x14ac:dyDescent="0.35">
      <c r="C4">
        <v>7</v>
      </c>
      <c r="D4">
        <v>7</v>
      </c>
    </row>
    <row r="5" spans="1:4" x14ac:dyDescent="0.35">
      <c r="C5">
        <v>7</v>
      </c>
      <c r="D5">
        <v>10</v>
      </c>
    </row>
    <row r="6" spans="1:4" x14ac:dyDescent="0.35">
      <c r="C6">
        <v>0</v>
      </c>
      <c r="D6">
        <v>1</v>
      </c>
    </row>
    <row r="7" spans="1:4" x14ac:dyDescent="0.35">
      <c r="C7">
        <v>3</v>
      </c>
      <c r="D7">
        <v>2</v>
      </c>
    </row>
    <row r="8" spans="1:4" x14ac:dyDescent="0.35">
      <c r="C8">
        <v>6</v>
      </c>
      <c r="D8">
        <v>5</v>
      </c>
    </row>
    <row r="9" spans="1:4" x14ac:dyDescent="0.35">
      <c r="C9">
        <v>5</v>
      </c>
      <c r="D9">
        <v>9</v>
      </c>
    </row>
    <row r="10" spans="1:4" x14ac:dyDescent="0.35">
      <c r="C10">
        <v>5</v>
      </c>
      <c r="D10">
        <v>5</v>
      </c>
    </row>
    <row r="11" spans="1:4" x14ac:dyDescent="0.35">
      <c r="C11">
        <v>0</v>
      </c>
      <c r="D11">
        <v>4</v>
      </c>
    </row>
    <row r="12" spans="1:4" x14ac:dyDescent="0.35">
      <c r="C12">
        <v>8</v>
      </c>
      <c r="D12">
        <v>10</v>
      </c>
    </row>
    <row r="13" spans="1:4" x14ac:dyDescent="0.35">
      <c r="C13">
        <v>7</v>
      </c>
      <c r="D13">
        <v>8</v>
      </c>
    </row>
    <row r="14" spans="1:4" x14ac:dyDescent="0.35">
      <c r="C14">
        <v>5</v>
      </c>
      <c r="D14">
        <v>10</v>
      </c>
    </row>
    <row r="15" spans="1:4" x14ac:dyDescent="0.35">
      <c r="C15">
        <v>7</v>
      </c>
      <c r="D15">
        <v>8</v>
      </c>
    </row>
    <row r="16" spans="1:4" x14ac:dyDescent="0.35">
      <c r="C16">
        <v>4</v>
      </c>
      <c r="D16">
        <v>5</v>
      </c>
    </row>
    <row r="17" spans="3:4" x14ac:dyDescent="0.35">
      <c r="C17">
        <v>7</v>
      </c>
      <c r="D17">
        <v>5</v>
      </c>
    </row>
    <row r="18" spans="3:4" x14ac:dyDescent="0.35">
      <c r="C18">
        <v>2</v>
      </c>
      <c r="D18">
        <v>2</v>
      </c>
    </row>
    <row r="19" spans="3:4" x14ac:dyDescent="0.35">
      <c r="C19">
        <v>4</v>
      </c>
      <c r="D19">
        <v>1</v>
      </c>
    </row>
    <row r="20" spans="3:4" x14ac:dyDescent="0.35">
      <c r="C20">
        <v>8</v>
      </c>
      <c r="D20">
        <v>3</v>
      </c>
    </row>
    <row r="21" spans="3:4" x14ac:dyDescent="0.35">
      <c r="C21">
        <v>2</v>
      </c>
      <c r="D21">
        <v>0</v>
      </c>
    </row>
    <row r="22" spans="3:4" x14ac:dyDescent="0.35">
      <c r="C22">
        <v>5</v>
      </c>
      <c r="D22">
        <v>5</v>
      </c>
    </row>
    <row r="23" spans="3:4" x14ac:dyDescent="0.35">
      <c r="C23">
        <v>10</v>
      </c>
      <c r="D23">
        <v>10</v>
      </c>
    </row>
    <row r="24" spans="3:4" x14ac:dyDescent="0.35">
      <c r="C24">
        <v>7</v>
      </c>
      <c r="D24">
        <v>1</v>
      </c>
    </row>
    <row r="25" spans="3:4" x14ac:dyDescent="0.35">
      <c r="C25">
        <v>4</v>
      </c>
      <c r="D25">
        <v>4</v>
      </c>
    </row>
    <row r="26" spans="3:4" x14ac:dyDescent="0.35">
      <c r="C26">
        <v>3</v>
      </c>
      <c r="D26">
        <v>8</v>
      </c>
    </row>
    <row r="27" spans="3:4" x14ac:dyDescent="0.35">
      <c r="C27">
        <v>7</v>
      </c>
      <c r="D27">
        <v>7</v>
      </c>
    </row>
    <row r="28" spans="3:4" x14ac:dyDescent="0.35">
      <c r="C28">
        <v>5</v>
      </c>
      <c r="D28">
        <v>2</v>
      </c>
    </row>
    <row r="29" spans="3:4" x14ac:dyDescent="0.35">
      <c r="C29">
        <v>0</v>
      </c>
      <c r="D29">
        <v>2</v>
      </c>
    </row>
    <row r="30" spans="3:4" x14ac:dyDescent="0.35">
      <c r="C30">
        <v>7</v>
      </c>
      <c r="D30">
        <v>4</v>
      </c>
    </row>
    <row r="31" spans="3:4" x14ac:dyDescent="0.35">
      <c r="C31">
        <v>0</v>
      </c>
      <c r="D31">
        <v>0</v>
      </c>
    </row>
    <row r="32" spans="3:4" x14ac:dyDescent="0.35">
      <c r="C32">
        <v>5</v>
      </c>
      <c r="D32">
        <v>3</v>
      </c>
    </row>
    <row r="33" spans="3:4" x14ac:dyDescent="0.35">
      <c r="C33">
        <v>4</v>
      </c>
      <c r="D33">
        <v>4</v>
      </c>
    </row>
    <row r="34" spans="3:4" x14ac:dyDescent="0.35">
      <c r="C34">
        <v>7</v>
      </c>
      <c r="D34">
        <v>7</v>
      </c>
    </row>
    <row r="35" spans="3:4" x14ac:dyDescent="0.35">
      <c r="C35">
        <v>9</v>
      </c>
      <c r="D35">
        <v>9</v>
      </c>
    </row>
    <row r="36" spans="3:4" x14ac:dyDescent="0.35">
      <c r="C36">
        <v>5</v>
      </c>
      <c r="D36">
        <v>5</v>
      </c>
    </row>
    <row r="37" spans="3:4" x14ac:dyDescent="0.35">
      <c r="C37">
        <v>8</v>
      </c>
      <c r="D37">
        <v>7</v>
      </c>
    </row>
    <row r="38" spans="3:4" x14ac:dyDescent="0.35">
      <c r="C38">
        <v>5</v>
      </c>
      <c r="D38">
        <v>6</v>
      </c>
    </row>
    <row r="39" spans="3:4" x14ac:dyDescent="0.35">
      <c r="C39">
        <v>4</v>
      </c>
      <c r="D39">
        <v>5</v>
      </c>
    </row>
    <row r="40" spans="3:4" x14ac:dyDescent="0.35">
      <c r="C40">
        <v>3</v>
      </c>
      <c r="D40">
        <v>1</v>
      </c>
    </row>
    <row r="41" spans="3:4" x14ac:dyDescent="0.35">
      <c r="C41">
        <v>0</v>
      </c>
      <c r="D41">
        <v>0</v>
      </c>
    </row>
    <row r="42" spans="3:4" x14ac:dyDescent="0.35">
      <c r="C42">
        <v>4</v>
      </c>
      <c r="D42">
        <v>6</v>
      </c>
    </row>
    <row r="43" spans="3:4" x14ac:dyDescent="0.35">
      <c r="C43">
        <v>0</v>
      </c>
      <c r="D43">
        <v>0</v>
      </c>
    </row>
    <row r="44" spans="3:4" x14ac:dyDescent="0.35">
      <c r="C44">
        <v>0</v>
      </c>
      <c r="D44">
        <v>3</v>
      </c>
    </row>
    <row r="45" spans="3:4" x14ac:dyDescent="0.35">
      <c r="C45">
        <v>0</v>
      </c>
      <c r="D45">
        <v>0</v>
      </c>
    </row>
    <row r="46" spans="3:4" x14ac:dyDescent="0.35">
      <c r="C46">
        <v>2</v>
      </c>
      <c r="D46">
        <v>6</v>
      </c>
    </row>
    <row r="47" spans="3:4" x14ac:dyDescent="0.35">
      <c r="C47">
        <v>6</v>
      </c>
      <c r="D47">
        <v>7</v>
      </c>
    </row>
    <row r="48" spans="3:4" x14ac:dyDescent="0.35">
      <c r="C48">
        <v>0</v>
      </c>
      <c r="D48">
        <v>8</v>
      </c>
    </row>
    <row r="49" spans="3:4" x14ac:dyDescent="0.35">
      <c r="C49">
        <v>9</v>
      </c>
      <c r="D49">
        <v>9</v>
      </c>
    </row>
    <row r="50" spans="3:4" x14ac:dyDescent="0.35">
      <c r="C50">
        <v>6</v>
      </c>
      <c r="D50">
        <v>6</v>
      </c>
    </row>
    <row r="51" spans="3:4" x14ac:dyDescent="0.35">
      <c r="C51">
        <v>8</v>
      </c>
      <c r="D51">
        <v>10</v>
      </c>
    </row>
    <row r="52" spans="3:4" x14ac:dyDescent="0.35">
      <c r="C52">
        <v>5</v>
      </c>
      <c r="D52">
        <v>10</v>
      </c>
    </row>
    <row r="53" spans="3:4" x14ac:dyDescent="0.35">
      <c r="C53">
        <v>6</v>
      </c>
      <c r="D53">
        <v>9</v>
      </c>
    </row>
    <row r="54" spans="3:4" x14ac:dyDescent="0.35">
      <c r="C54">
        <v>3</v>
      </c>
      <c r="D54">
        <v>7</v>
      </c>
    </row>
    <row r="55" spans="3:4" x14ac:dyDescent="0.35">
      <c r="D55">
        <v>7</v>
      </c>
    </row>
    <row r="56" spans="3:4" x14ac:dyDescent="0.35">
      <c r="C56">
        <v>5</v>
      </c>
      <c r="D56">
        <v>6</v>
      </c>
    </row>
    <row r="57" spans="3:4" x14ac:dyDescent="0.35">
      <c r="C57">
        <v>0</v>
      </c>
      <c r="D57">
        <v>3</v>
      </c>
    </row>
    <row r="58" spans="3:4" x14ac:dyDescent="0.35">
      <c r="C58">
        <v>9</v>
      </c>
      <c r="D58">
        <v>10</v>
      </c>
    </row>
    <row r="59" spans="3:4" x14ac:dyDescent="0.35">
      <c r="C59">
        <v>9</v>
      </c>
      <c r="D59">
        <v>7</v>
      </c>
    </row>
    <row r="60" spans="3:4" x14ac:dyDescent="0.35">
      <c r="C60">
        <v>3</v>
      </c>
      <c r="D60">
        <v>3</v>
      </c>
    </row>
    <row r="61" spans="3:4" x14ac:dyDescent="0.35">
      <c r="C61">
        <v>1</v>
      </c>
      <c r="D61">
        <v>1</v>
      </c>
    </row>
    <row r="62" spans="3:4" x14ac:dyDescent="0.35">
      <c r="C62">
        <v>4</v>
      </c>
      <c r="D62">
        <v>4</v>
      </c>
    </row>
    <row r="63" spans="3:4" x14ac:dyDescent="0.35">
      <c r="C63">
        <v>9</v>
      </c>
      <c r="D63">
        <v>8</v>
      </c>
    </row>
    <row r="64" spans="3:4" x14ac:dyDescent="0.35">
      <c r="C64">
        <v>0</v>
      </c>
      <c r="D64">
        <v>0</v>
      </c>
    </row>
    <row r="65" spans="3:4" x14ac:dyDescent="0.35">
      <c r="C65">
        <v>5</v>
      </c>
      <c r="D65">
        <v>7</v>
      </c>
    </row>
    <row r="66" spans="3:4" x14ac:dyDescent="0.35">
      <c r="C66">
        <v>5</v>
      </c>
      <c r="D66">
        <v>6</v>
      </c>
    </row>
    <row r="67" spans="3:4" x14ac:dyDescent="0.35">
      <c r="C67">
        <v>7</v>
      </c>
      <c r="D67">
        <v>6</v>
      </c>
    </row>
    <row r="68" spans="3:4" x14ac:dyDescent="0.35">
      <c r="C68">
        <v>3</v>
      </c>
      <c r="D68">
        <v>5</v>
      </c>
    </row>
    <row r="69" spans="3:4" x14ac:dyDescent="0.35">
      <c r="C69">
        <v>9</v>
      </c>
      <c r="D69">
        <v>9</v>
      </c>
    </row>
    <row r="70" spans="3:4" x14ac:dyDescent="0.35">
      <c r="C70">
        <v>5</v>
      </c>
      <c r="D70">
        <v>5</v>
      </c>
    </row>
    <row r="71" spans="3:4" x14ac:dyDescent="0.35">
      <c r="C71">
        <v>7</v>
      </c>
      <c r="D71">
        <v>7</v>
      </c>
    </row>
    <row r="72" spans="3:4" x14ac:dyDescent="0.35">
      <c r="C72">
        <v>6</v>
      </c>
      <c r="D72">
        <v>2</v>
      </c>
    </row>
    <row r="73" spans="3:4" x14ac:dyDescent="0.35">
      <c r="C73">
        <v>5</v>
      </c>
      <c r="D73">
        <v>5</v>
      </c>
    </row>
    <row r="74" spans="3:4" x14ac:dyDescent="0.35">
      <c r="C74">
        <v>8</v>
      </c>
      <c r="D74">
        <v>7</v>
      </c>
    </row>
    <row r="75" spans="3:4" x14ac:dyDescent="0.35">
      <c r="C75">
        <v>5</v>
      </c>
      <c r="D75">
        <v>1</v>
      </c>
    </row>
    <row r="76" spans="3:4" x14ac:dyDescent="0.35">
      <c r="C76">
        <v>3</v>
      </c>
      <c r="D76">
        <v>6</v>
      </c>
    </row>
    <row r="77" spans="3:4" x14ac:dyDescent="0.35">
      <c r="C77">
        <v>10</v>
      </c>
      <c r="D77">
        <v>10</v>
      </c>
    </row>
    <row r="78" spans="3:4" x14ac:dyDescent="0.35">
      <c r="C78">
        <v>5</v>
      </c>
      <c r="D78">
        <v>5</v>
      </c>
    </row>
    <row r="79" spans="3:4" x14ac:dyDescent="0.35">
      <c r="C79">
        <v>3</v>
      </c>
      <c r="D79">
        <v>4</v>
      </c>
    </row>
    <row r="80" spans="3:4" x14ac:dyDescent="0.35">
      <c r="C80">
        <v>7</v>
      </c>
      <c r="D80">
        <v>8</v>
      </c>
    </row>
    <row r="81" spans="3:4" x14ac:dyDescent="0.35">
      <c r="C81">
        <v>2</v>
      </c>
      <c r="D81">
        <v>4</v>
      </c>
    </row>
    <row r="82" spans="3:4" x14ac:dyDescent="0.35">
      <c r="C82">
        <v>4</v>
      </c>
      <c r="D82">
        <v>2</v>
      </c>
    </row>
    <row r="83" spans="3:4" x14ac:dyDescent="0.35">
      <c r="C83">
        <v>6</v>
      </c>
      <c r="D83">
        <v>7</v>
      </c>
    </row>
    <row r="84" spans="3:4" x14ac:dyDescent="0.35">
      <c r="C84">
        <v>7</v>
      </c>
      <c r="D84">
        <v>8</v>
      </c>
    </row>
    <row r="85" spans="3:4" x14ac:dyDescent="0.35">
      <c r="C85">
        <v>4</v>
      </c>
      <c r="D85">
        <v>7</v>
      </c>
    </row>
    <row r="86" spans="3:4" x14ac:dyDescent="0.35">
      <c r="C86">
        <v>9</v>
      </c>
      <c r="D86">
        <v>10</v>
      </c>
    </row>
    <row r="87" spans="3:4" x14ac:dyDescent="0.35">
      <c r="C87">
        <v>5</v>
      </c>
      <c r="D87">
        <v>9</v>
      </c>
    </row>
    <row r="88" spans="3:4" x14ac:dyDescent="0.35">
      <c r="C88">
        <v>7</v>
      </c>
      <c r="D88">
        <v>7</v>
      </c>
    </row>
    <row r="89" spans="3:4" x14ac:dyDescent="0.35">
      <c r="C89">
        <v>0</v>
      </c>
      <c r="D89">
        <v>0</v>
      </c>
    </row>
    <row r="90" spans="3:4" x14ac:dyDescent="0.35">
      <c r="C90">
        <v>5</v>
      </c>
      <c r="D90">
        <v>6</v>
      </c>
    </row>
    <row r="91" spans="3:4" x14ac:dyDescent="0.35">
      <c r="C91">
        <v>8</v>
      </c>
      <c r="D91">
        <v>9</v>
      </c>
    </row>
    <row r="92" spans="3:4" x14ac:dyDescent="0.35">
      <c r="C92">
        <v>6</v>
      </c>
      <c r="D92">
        <v>9</v>
      </c>
    </row>
    <row r="93" spans="3:4" x14ac:dyDescent="0.35">
      <c r="C93">
        <v>0</v>
      </c>
      <c r="D93">
        <v>4</v>
      </c>
    </row>
    <row r="94" spans="3:4" x14ac:dyDescent="0.35">
      <c r="C94">
        <v>3</v>
      </c>
      <c r="D94">
        <v>6</v>
      </c>
    </row>
    <row r="95" spans="3:4" x14ac:dyDescent="0.35">
      <c r="C95">
        <v>3</v>
      </c>
      <c r="D95">
        <v>4</v>
      </c>
    </row>
    <row r="96" spans="3:4" x14ac:dyDescent="0.35">
      <c r="C96">
        <v>2</v>
      </c>
      <c r="D96">
        <v>6</v>
      </c>
    </row>
    <row r="97" spans="3:4" x14ac:dyDescent="0.35">
      <c r="C97">
        <v>9</v>
      </c>
      <c r="D97">
        <v>8</v>
      </c>
    </row>
    <row r="98" spans="3:4" x14ac:dyDescent="0.35">
      <c r="C98">
        <v>3</v>
      </c>
      <c r="D98">
        <v>4</v>
      </c>
    </row>
    <row r="99" spans="3:4" x14ac:dyDescent="0.35">
      <c r="C99">
        <v>6</v>
      </c>
      <c r="D99">
        <v>6</v>
      </c>
    </row>
    <row r="100" spans="3:4" x14ac:dyDescent="0.35">
      <c r="C100">
        <v>5</v>
      </c>
      <c r="D100">
        <v>6</v>
      </c>
    </row>
    <row r="101" spans="3:4" x14ac:dyDescent="0.35">
      <c r="C101">
        <v>8</v>
      </c>
      <c r="D101">
        <v>10</v>
      </c>
    </row>
    <row r="102" spans="3:4" x14ac:dyDescent="0.35">
      <c r="C102">
        <v>7</v>
      </c>
      <c r="D102">
        <v>4</v>
      </c>
    </row>
    <row r="103" spans="3:4" x14ac:dyDescent="0.35">
      <c r="C103">
        <v>7</v>
      </c>
      <c r="D103">
        <v>7</v>
      </c>
    </row>
    <row r="104" spans="3:4" x14ac:dyDescent="0.35">
      <c r="C104">
        <v>10</v>
      </c>
      <c r="D104">
        <v>10</v>
      </c>
    </row>
    <row r="105" spans="3:4" x14ac:dyDescent="0.35">
      <c r="C105">
        <v>10</v>
      </c>
      <c r="D105">
        <v>8</v>
      </c>
    </row>
    <row r="106" spans="3:4" x14ac:dyDescent="0.35">
      <c r="C106">
        <v>8</v>
      </c>
      <c r="D106">
        <v>10</v>
      </c>
    </row>
    <row r="107" spans="3:4" x14ac:dyDescent="0.35">
      <c r="C107">
        <v>1</v>
      </c>
      <c r="D107">
        <v>2</v>
      </c>
    </row>
    <row r="108" spans="3:4" x14ac:dyDescent="0.35">
      <c r="C108">
        <v>4</v>
      </c>
      <c r="D108">
        <v>4</v>
      </c>
    </row>
    <row r="109" spans="3:4" x14ac:dyDescent="0.35">
      <c r="C109">
        <v>3</v>
      </c>
      <c r="D109">
        <v>4</v>
      </c>
    </row>
    <row r="110" spans="3:4" x14ac:dyDescent="0.35">
      <c r="C110">
        <v>4</v>
      </c>
      <c r="D110">
        <v>5</v>
      </c>
    </row>
    <row r="111" spans="3:4" x14ac:dyDescent="0.35">
      <c r="C111">
        <v>2</v>
      </c>
      <c r="D111">
        <v>5</v>
      </c>
    </row>
    <row r="112" spans="3:4" x14ac:dyDescent="0.35">
      <c r="C112">
        <v>6</v>
      </c>
      <c r="D112">
        <v>6</v>
      </c>
    </row>
    <row r="113" spans="3:4" x14ac:dyDescent="0.35">
      <c r="C113">
        <v>4</v>
      </c>
      <c r="D113">
        <v>4</v>
      </c>
    </row>
    <row r="114" spans="3:4" x14ac:dyDescent="0.35">
      <c r="C114">
        <v>6</v>
      </c>
      <c r="D114">
        <v>7</v>
      </c>
    </row>
    <row r="115" spans="3:4" x14ac:dyDescent="0.35">
      <c r="C115">
        <v>0</v>
      </c>
      <c r="D115">
        <v>5</v>
      </c>
    </row>
    <row r="116" spans="3:4" x14ac:dyDescent="0.35">
      <c r="C116">
        <v>4</v>
      </c>
      <c r="D116">
        <v>4</v>
      </c>
    </row>
    <row r="117" spans="3:4" x14ac:dyDescent="0.35">
      <c r="C117">
        <v>10</v>
      </c>
      <c r="D117">
        <v>10</v>
      </c>
    </row>
    <row r="118" spans="3:4" x14ac:dyDescent="0.35">
      <c r="C118">
        <v>5</v>
      </c>
      <c r="D118">
        <v>9</v>
      </c>
    </row>
    <row r="119" spans="3:4" x14ac:dyDescent="0.35">
      <c r="D119">
        <v>5</v>
      </c>
    </row>
    <row r="120" spans="3:4" x14ac:dyDescent="0.35">
      <c r="C120">
        <v>6</v>
      </c>
      <c r="D120">
        <v>6</v>
      </c>
    </row>
    <row r="121" spans="3:4" x14ac:dyDescent="0.35">
      <c r="C121">
        <v>6</v>
      </c>
      <c r="D121">
        <v>7</v>
      </c>
    </row>
    <row r="122" spans="3:4" x14ac:dyDescent="0.35">
      <c r="C122">
        <v>8</v>
      </c>
      <c r="D122">
        <v>8</v>
      </c>
    </row>
    <row r="123" spans="3:4" x14ac:dyDescent="0.35">
      <c r="C123">
        <v>0</v>
      </c>
      <c r="D123">
        <v>0</v>
      </c>
    </row>
    <row r="124" spans="3:4" x14ac:dyDescent="0.35">
      <c r="C124">
        <v>8</v>
      </c>
      <c r="D124">
        <v>8</v>
      </c>
    </row>
    <row r="125" spans="3:4" x14ac:dyDescent="0.35">
      <c r="C125">
        <v>5</v>
      </c>
      <c r="D125">
        <v>7</v>
      </c>
    </row>
    <row r="126" spans="3:4" x14ac:dyDescent="0.35">
      <c r="C126">
        <v>0</v>
      </c>
      <c r="D126">
        <v>3</v>
      </c>
    </row>
    <row r="127" spans="3:4" x14ac:dyDescent="0.35">
      <c r="C127">
        <v>0</v>
      </c>
      <c r="D127">
        <v>0</v>
      </c>
    </row>
    <row r="128" spans="3:4" x14ac:dyDescent="0.35">
      <c r="C128">
        <v>3</v>
      </c>
      <c r="D128">
        <v>1</v>
      </c>
    </row>
    <row r="129" spans="3:4" x14ac:dyDescent="0.35">
      <c r="C129">
        <v>2</v>
      </c>
      <c r="D129">
        <v>7</v>
      </c>
    </row>
    <row r="130" spans="3:4" x14ac:dyDescent="0.35">
      <c r="C130">
        <v>6</v>
      </c>
      <c r="D130">
        <v>4</v>
      </c>
    </row>
    <row r="131" spans="3:4" x14ac:dyDescent="0.35">
      <c r="C131">
        <v>8</v>
      </c>
      <c r="D131">
        <v>10</v>
      </c>
    </row>
    <row r="132" spans="3:4" x14ac:dyDescent="0.35">
      <c r="C132">
        <v>0</v>
      </c>
      <c r="D132">
        <v>0</v>
      </c>
    </row>
    <row r="133" spans="3:4" x14ac:dyDescent="0.35">
      <c r="C133">
        <v>10</v>
      </c>
      <c r="D133">
        <v>10</v>
      </c>
    </row>
    <row r="134" spans="3:4" x14ac:dyDescent="0.35">
      <c r="C134">
        <v>6</v>
      </c>
      <c r="D134">
        <v>8</v>
      </c>
    </row>
    <row r="135" spans="3:4" x14ac:dyDescent="0.35">
      <c r="C135">
        <v>5</v>
      </c>
      <c r="D135">
        <v>6</v>
      </c>
    </row>
    <row r="136" spans="3:4" x14ac:dyDescent="0.35">
      <c r="C136">
        <v>7</v>
      </c>
      <c r="D136">
        <v>8</v>
      </c>
    </row>
    <row r="137" spans="3:4" x14ac:dyDescent="0.35">
      <c r="C137">
        <v>2</v>
      </c>
      <c r="D137">
        <v>2</v>
      </c>
    </row>
    <row r="138" spans="3:4" x14ac:dyDescent="0.35">
      <c r="C138">
        <v>4</v>
      </c>
      <c r="D138">
        <v>6</v>
      </c>
    </row>
    <row r="139" spans="3:4" x14ac:dyDescent="0.35">
      <c r="C139">
        <v>4</v>
      </c>
      <c r="D139">
        <v>4</v>
      </c>
    </row>
    <row r="140" spans="3:4" x14ac:dyDescent="0.35">
      <c r="C140">
        <v>3</v>
      </c>
      <c r="D140">
        <v>3</v>
      </c>
    </row>
    <row r="141" spans="3:4" x14ac:dyDescent="0.35">
      <c r="C141">
        <v>4</v>
      </c>
      <c r="D141">
        <v>5</v>
      </c>
    </row>
    <row r="142" spans="3:4" x14ac:dyDescent="0.35">
      <c r="C142">
        <v>8</v>
      </c>
      <c r="D142">
        <v>7</v>
      </c>
    </row>
    <row r="143" spans="3:4" x14ac:dyDescent="0.35">
      <c r="C143">
        <v>7</v>
      </c>
      <c r="D143">
        <v>9</v>
      </c>
    </row>
    <row r="144" spans="3:4" x14ac:dyDescent="0.35">
      <c r="C144">
        <v>0</v>
      </c>
      <c r="D144">
        <v>2</v>
      </c>
    </row>
    <row r="145" spans="3:4" x14ac:dyDescent="0.35">
      <c r="C145">
        <v>10</v>
      </c>
      <c r="D145">
        <v>10</v>
      </c>
    </row>
    <row r="146" spans="3:4" x14ac:dyDescent="0.35">
      <c r="C146">
        <v>2</v>
      </c>
      <c r="D146">
        <v>2</v>
      </c>
    </row>
    <row r="147" spans="3:4" x14ac:dyDescent="0.35">
      <c r="C147">
        <v>5</v>
      </c>
      <c r="D147">
        <v>5</v>
      </c>
    </row>
    <row r="148" spans="3:4" x14ac:dyDescent="0.35">
      <c r="C148">
        <v>2</v>
      </c>
      <c r="D148">
        <v>4</v>
      </c>
    </row>
    <row r="149" spans="3:4" x14ac:dyDescent="0.35">
      <c r="C149">
        <v>4</v>
      </c>
      <c r="D149">
        <v>5</v>
      </c>
    </row>
    <row r="150" spans="3:4" x14ac:dyDescent="0.35">
      <c r="C150">
        <v>10</v>
      </c>
      <c r="D150">
        <v>10</v>
      </c>
    </row>
    <row r="151" spans="3:4" x14ac:dyDescent="0.35">
      <c r="C151">
        <v>4</v>
      </c>
      <c r="D151">
        <v>3</v>
      </c>
    </row>
    <row r="152" spans="3:4" x14ac:dyDescent="0.35">
      <c r="C152">
        <v>0</v>
      </c>
      <c r="D152">
        <v>6</v>
      </c>
    </row>
    <row r="153" spans="3:4" x14ac:dyDescent="0.35">
      <c r="C153">
        <v>9</v>
      </c>
      <c r="D153">
        <v>10</v>
      </c>
    </row>
    <row r="154" spans="3:4" x14ac:dyDescent="0.35">
      <c r="C154">
        <v>7</v>
      </c>
      <c r="D154">
        <v>7</v>
      </c>
    </row>
    <row r="155" spans="3:4" x14ac:dyDescent="0.35">
      <c r="C155">
        <v>0</v>
      </c>
      <c r="D155">
        <v>7</v>
      </c>
    </row>
    <row r="156" spans="3:4" x14ac:dyDescent="0.35">
      <c r="C156">
        <v>5</v>
      </c>
      <c r="D156">
        <v>10</v>
      </c>
    </row>
    <row r="157" spans="3:4" x14ac:dyDescent="0.35">
      <c r="C157">
        <v>0</v>
      </c>
      <c r="D157">
        <v>7</v>
      </c>
    </row>
    <row r="158" spans="3:4" x14ac:dyDescent="0.35">
      <c r="C158">
        <v>5</v>
      </c>
      <c r="D158">
        <v>6</v>
      </c>
    </row>
    <row r="159" spans="3:4" x14ac:dyDescent="0.35">
      <c r="C159">
        <v>6</v>
      </c>
      <c r="D159">
        <v>0</v>
      </c>
    </row>
    <row r="160" spans="3:4" x14ac:dyDescent="0.35">
      <c r="C160">
        <v>7</v>
      </c>
      <c r="D160">
        <v>8</v>
      </c>
    </row>
    <row r="161" spans="3:4" x14ac:dyDescent="0.35">
      <c r="C161">
        <v>0</v>
      </c>
      <c r="D161">
        <v>10</v>
      </c>
    </row>
    <row r="162" spans="3:4" x14ac:dyDescent="0.35">
      <c r="C162">
        <v>3</v>
      </c>
      <c r="D162">
        <v>3</v>
      </c>
    </row>
    <row r="163" spans="3:4" x14ac:dyDescent="0.35">
      <c r="C163">
        <v>0</v>
      </c>
      <c r="D163">
        <v>0</v>
      </c>
    </row>
    <row r="164" spans="3:4" x14ac:dyDescent="0.35">
      <c r="C164">
        <v>3</v>
      </c>
      <c r="D164">
        <v>7</v>
      </c>
    </row>
    <row r="165" spans="3:4" x14ac:dyDescent="0.35">
      <c r="C165">
        <v>8</v>
      </c>
      <c r="D165">
        <v>9</v>
      </c>
    </row>
    <row r="166" spans="3:4" x14ac:dyDescent="0.35">
      <c r="C166">
        <v>6</v>
      </c>
      <c r="D166">
        <v>7</v>
      </c>
    </row>
    <row r="167" spans="3:4" x14ac:dyDescent="0.35">
      <c r="C167">
        <v>2</v>
      </c>
      <c r="D167">
        <v>0</v>
      </c>
    </row>
    <row r="168" spans="3:4" x14ac:dyDescent="0.35">
      <c r="C168">
        <v>2</v>
      </c>
      <c r="D168">
        <v>1</v>
      </c>
    </row>
    <row r="169" spans="3:4" x14ac:dyDescent="0.35">
      <c r="C169">
        <v>1</v>
      </c>
      <c r="D169">
        <v>3</v>
      </c>
    </row>
    <row r="170" spans="3:4" x14ac:dyDescent="0.35">
      <c r="C170">
        <v>0</v>
      </c>
      <c r="D170">
        <v>9</v>
      </c>
    </row>
    <row r="171" spans="3:4" x14ac:dyDescent="0.35">
      <c r="C171">
        <v>10</v>
      </c>
      <c r="D171">
        <v>10</v>
      </c>
    </row>
    <row r="172" spans="3:4" x14ac:dyDescent="0.35">
      <c r="C172">
        <v>6</v>
      </c>
      <c r="D172">
        <v>9</v>
      </c>
    </row>
    <row r="173" spans="3:4" x14ac:dyDescent="0.35">
      <c r="C173">
        <v>1</v>
      </c>
      <c r="D173">
        <v>1</v>
      </c>
    </row>
    <row r="174" spans="3:4" x14ac:dyDescent="0.35">
      <c r="C174">
        <v>10</v>
      </c>
      <c r="D174">
        <v>10</v>
      </c>
    </row>
    <row r="175" spans="3:4" x14ac:dyDescent="0.35">
      <c r="C175">
        <v>1</v>
      </c>
      <c r="D175">
        <v>7</v>
      </c>
    </row>
    <row r="176" spans="3:4" x14ac:dyDescent="0.35">
      <c r="C176">
        <v>4</v>
      </c>
      <c r="D176">
        <v>6</v>
      </c>
    </row>
    <row r="177" spans="3:4" x14ac:dyDescent="0.35">
      <c r="C177">
        <v>2</v>
      </c>
      <c r="D177">
        <v>2</v>
      </c>
    </row>
    <row r="178" spans="3:4" x14ac:dyDescent="0.35">
      <c r="C178">
        <v>5</v>
      </c>
      <c r="D178">
        <v>7</v>
      </c>
    </row>
    <row r="179" spans="3:4" x14ac:dyDescent="0.35">
      <c r="C179">
        <v>4</v>
      </c>
      <c r="D179">
        <v>4</v>
      </c>
    </row>
    <row r="180" spans="3:4" x14ac:dyDescent="0.35">
      <c r="C180">
        <v>0</v>
      </c>
      <c r="D180">
        <v>0</v>
      </c>
    </row>
    <row r="181" spans="3:4" x14ac:dyDescent="0.35">
      <c r="C181">
        <v>2</v>
      </c>
      <c r="D181">
        <v>3</v>
      </c>
    </row>
    <row r="182" spans="3:4" x14ac:dyDescent="0.35">
      <c r="C182">
        <v>4</v>
      </c>
      <c r="D182">
        <v>5</v>
      </c>
    </row>
    <row r="183" spans="3:4" x14ac:dyDescent="0.35">
      <c r="C183">
        <v>4</v>
      </c>
      <c r="D183">
        <v>10</v>
      </c>
    </row>
    <row r="184" spans="3:4" x14ac:dyDescent="0.35">
      <c r="C184">
        <v>8</v>
      </c>
      <c r="D184">
        <v>10</v>
      </c>
    </row>
    <row r="185" spans="3:4" x14ac:dyDescent="0.35">
      <c r="C185">
        <v>0</v>
      </c>
      <c r="D185">
        <v>0</v>
      </c>
    </row>
    <row r="186" spans="3:4" x14ac:dyDescent="0.35">
      <c r="C186">
        <v>9</v>
      </c>
      <c r="D186">
        <v>10</v>
      </c>
    </row>
    <row r="187" spans="3:4" x14ac:dyDescent="0.35">
      <c r="C187">
        <v>0</v>
      </c>
      <c r="D187">
        <v>0</v>
      </c>
    </row>
    <row r="188" spans="3:4" x14ac:dyDescent="0.35">
      <c r="C188">
        <v>5</v>
      </c>
      <c r="D188">
        <v>5</v>
      </c>
    </row>
    <row r="189" spans="3:4" x14ac:dyDescent="0.35">
      <c r="C189">
        <v>7</v>
      </c>
      <c r="D189">
        <v>9</v>
      </c>
    </row>
    <row r="190" spans="3:4" x14ac:dyDescent="0.35">
      <c r="C190">
        <v>4</v>
      </c>
      <c r="D190">
        <v>5</v>
      </c>
    </row>
    <row r="191" spans="3:4" x14ac:dyDescent="0.35">
      <c r="D191">
        <v>8</v>
      </c>
    </row>
    <row r="192" spans="3:4" x14ac:dyDescent="0.35">
      <c r="C192">
        <v>5</v>
      </c>
      <c r="D192">
        <v>7</v>
      </c>
    </row>
    <row r="193" spans="3:4" x14ac:dyDescent="0.35">
      <c r="C193">
        <v>0</v>
      </c>
      <c r="D193">
        <v>2</v>
      </c>
    </row>
    <row r="194" spans="3:4" x14ac:dyDescent="0.35">
      <c r="C194">
        <v>8</v>
      </c>
      <c r="D194">
        <v>9</v>
      </c>
    </row>
    <row r="195" spans="3:4" x14ac:dyDescent="0.35">
      <c r="C195">
        <v>6</v>
      </c>
      <c r="D195">
        <v>6</v>
      </c>
    </row>
    <row r="196" spans="3:4" x14ac:dyDescent="0.35">
      <c r="C196">
        <v>5</v>
      </c>
      <c r="D196">
        <v>7</v>
      </c>
    </row>
    <row r="197" spans="3:4" x14ac:dyDescent="0.35">
      <c r="C197">
        <v>7</v>
      </c>
      <c r="D197">
        <v>10</v>
      </c>
    </row>
    <row r="198" spans="3:4" x14ac:dyDescent="0.35">
      <c r="C198">
        <v>6</v>
      </c>
      <c r="D198">
        <v>6</v>
      </c>
    </row>
    <row r="199" spans="3:4" x14ac:dyDescent="0.35">
      <c r="C199">
        <v>4</v>
      </c>
      <c r="D199">
        <v>4</v>
      </c>
    </row>
    <row r="200" spans="3:4" x14ac:dyDescent="0.35">
      <c r="C200">
        <v>5</v>
      </c>
      <c r="D200">
        <v>5</v>
      </c>
    </row>
    <row r="201" spans="3:4" x14ac:dyDescent="0.35">
      <c r="C201">
        <v>10</v>
      </c>
      <c r="D201">
        <v>10</v>
      </c>
    </row>
    <row r="202" spans="3:4" x14ac:dyDescent="0.35">
      <c r="D202">
        <v>6</v>
      </c>
    </row>
    <row r="203" spans="3:4" x14ac:dyDescent="0.35">
      <c r="C203">
        <v>0</v>
      </c>
      <c r="D203">
        <v>6</v>
      </c>
    </row>
    <row r="204" spans="3:4" x14ac:dyDescent="0.35">
      <c r="C204">
        <v>7</v>
      </c>
      <c r="D204">
        <v>7</v>
      </c>
    </row>
    <row r="205" spans="3:4" x14ac:dyDescent="0.35">
      <c r="C205">
        <v>4</v>
      </c>
      <c r="D205">
        <v>4</v>
      </c>
    </row>
    <row r="206" spans="3:4" x14ac:dyDescent="0.35">
      <c r="C206">
        <v>3</v>
      </c>
    </row>
    <row r="207" spans="3:4" x14ac:dyDescent="0.35">
      <c r="C207">
        <v>3</v>
      </c>
      <c r="D207">
        <v>4</v>
      </c>
    </row>
    <row r="208" spans="3:4" x14ac:dyDescent="0.35">
      <c r="C208">
        <v>0</v>
      </c>
      <c r="D208">
        <v>0</v>
      </c>
    </row>
    <row r="209" spans="3:4" x14ac:dyDescent="0.35">
      <c r="C209">
        <v>7</v>
      </c>
      <c r="D209">
        <v>8</v>
      </c>
    </row>
    <row r="210" spans="3:4" x14ac:dyDescent="0.35">
      <c r="C210">
        <v>7</v>
      </c>
      <c r="D210">
        <v>9</v>
      </c>
    </row>
    <row r="211" spans="3:4" x14ac:dyDescent="0.35">
      <c r="C211">
        <v>6</v>
      </c>
      <c r="D211">
        <v>10</v>
      </c>
    </row>
    <row r="212" spans="3:4" x14ac:dyDescent="0.35">
      <c r="C212">
        <v>5</v>
      </c>
      <c r="D212">
        <v>5</v>
      </c>
    </row>
    <row r="213" spans="3:4" x14ac:dyDescent="0.35">
      <c r="C213">
        <v>8</v>
      </c>
      <c r="D213">
        <v>10</v>
      </c>
    </row>
    <row r="214" spans="3:4" x14ac:dyDescent="0.35">
      <c r="C214">
        <v>4</v>
      </c>
      <c r="D214">
        <v>0</v>
      </c>
    </row>
    <row r="215" spans="3:4" x14ac:dyDescent="0.35">
      <c r="C215">
        <v>1</v>
      </c>
      <c r="D215">
        <v>1</v>
      </c>
    </row>
    <row r="216" spans="3:4" x14ac:dyDescent="0.35">
      <c r="C216">
        <v>3</v>
      </c>
      <c r="D216">
        <v>4</v>
      </c>
    </row>
    <row r="217" spans="3:4" x14ac:dyDescent="0.35">
      <c r="C217">
        <v>2</v>
      </c>
      <c r="D217">
        <v>8</v>
      </c>
    </row>
    <row r="218" spans="3:4" x14ac:dyDescent="0.35">
      <c r="C218">
        <v>4</v>
      </c>
      <c r="D218">
        <v>7</v>
      </c>
    </row>
    <row r="219" spans="3:4" x14ac:dyDescent="0.35">
      <c r="C219">
        <v>6</v>
      </c>
      <c r="D219">
        <v>6</v>
      </c>
    </row>
    <row r="220" spans="3:4" x14ac:dyDescent="0.35">
      <c r="C220">
        <v>5</v>
      </c>
      <c r="D220">
        <v>6</v>
      </c>
    </row>
    <row r="221" spans="3:4" x14ac:dyDescent="0.35">
      <c r="C221">
        <v>4</v>
      </c>
      <c r="D221">
        <v>4</v>
      </c>
    </row>
    <row r="222" spans="3:4" x14ac:dyDescent="0.35">
      <c r="C222">
        <v>10</v>
      </c>
      <c r="D222">
        <v>10</v>
      </c>
    </row>
    <row r="223" spans="3:4" x14ac:dyDescent="0.35">
      <c r="C223">
        <v>5</v>
      </c>
      <c r="D223">
        <v>6</v>
      </c>
    </row>
    <row r="224" spans="3:4" x14ac:dyDescent="0.35">
      <c r="C224">
        <v>4</v>
      </c>
      <c r="D224">
        <v>10</v>
      </c>
    </row>
    <row r="225" spans="3:4" x14ac:dyDescent="0.35">
      <c r="C225">
        <v>8</v>
      </c>
      <c r="D225">
        <v>8</v>
      </c>
    </row>
    <row r="226" spans="3:4" x14ac:dyDescent="0.35">
      <c r="C226">
        <v>10</v>
      </c>
      <c r="D226">
        <v>10</v>
      </c>
    </row>
    <row r="227" spans="3:4" x14ac:dyDescent="0.35">
      <c r="C227">
        <v>3</v>
      </c>
      <c r="D227">
        <v>3</v>
      </c>
    </row>
    <row r="228" spans="3:4" x14ac:dyDescent="0.35">
      <c r="C228">
        <v>0</v>
      </c>
      <c r="D228">
        <v>6</v>
      </c>
    </row>
    <row r="229" spans="3:4" x14ac:dyDescent="0.35">
      <c r="C229">
        <v>0</v>
      </c>
      <c r="D229">
        <v>1</v>
      </c>
    </row>
    <row r="230" spans="3:4" x14ac:dyDescent="0.35">
      <c r="C230">
        <v>5</v>
      </c>
      <c r="D230">
        <v>10</v>
      </c>
    </row>
    <row r="231" spans="3:4" x14ac:dyDescent="0.35">
      <c r="C231">
        <v>2</v>
      </c>
      <c r="D231">
        <v>3</v>
      </c>
    </row>
    <row r="232" spans="3:4" x14ac:dyDescent="0.35">
      <c r="C232">
        <v>7</v>
      </c>
      <c r="D232">
        <v>9</v>
      </c>
    </row>
    <row r="233" spans="3:4" x14ac:dyDescent="0.35">
      <c r="C233">
        <v>7</v>
      </c>
      <c r="D233">
        <v>5</v>
      </c>
    </row>
    <row r="234" spans="3:4" x14ac:dyDescent="0.35">
      <c r="C234">
        <v>4</v>
      </c>
      <c r="D234">
        <v>5</v>
      </c>
    </row>
    <row r="235" spans="3:4" x14ac:dyDescent="0.35">
      <c r="C235">
        <v>1</v>
      </c>
      <c r="D235">
        <v>1</v>
      </c>
    </row>
    <row r="236" spans="3:4" x14ac:dyDescent="0.35">
      <c r="C236">
        <v>8</v>
      </c>
      <c r="D236">
        <v>10</v>
      </c>
    </row>
    <row r="237" spans="3:4" x14ac:dyDescent="0.35">
      <c r="C237">
        <v>0</v>
      </c>
      <c r="D237">
        <v>2</v>
      </c>
    </row>
    <row r="238" spans="3:4" x14ac:dyDescent="0.35">
      <c r="C238">
        <v>2</v>
      </c>
      <c r="D238">
        <v>4</v>
      </c>
    </row>
    <row r="239" spans="3:4" x14ac:dyDescent="0.35">
      <c r="C239">
        <v>6</v>
      </c>
      <c r="D239">
        <v>7</v>
      </c>
    </row>
    <row r="240" spans="3:4" x14ac:dyDescent="0.35">
      <c r="C240">
        <v>6</v>
      </c>
      <c r="D240">
        <v>6</v>
      </c>
    </row>
    <row r="241" spans="3:4" x14ac:dyDescent="0.35">
      <c r="C241">
        <v>8</v>
      </c>
      <c r="D241">
        <v>7</v>
      </c>
    </row>
    <row r="242" spans="3:4" x14ac:dyDescent="0.35">
      <c r="C242">
        <v>9</v>
      </c>
      <c r="D242">
        <v>10</v>
      </c>
    </row>
    <row r="243" spans="3:4" x14ac:dyDescent="0.35">
      <c r="C243">
        <v>5</v>
      </c>
      <c r="D243">
        <v>5</v>
      </c>
    </row>
    <row r="244" spans="3:4" x14ac:dyDescent="0.35">
      <c r="C244">
        <v>7</v>
      </c>
      <c r="D244">
        <v>5</v>
      </c>
    </row>
    <row r="245" spans="3:4" x14ac:dyDescent="0.35">
      <c r="C245">
        <v>6</v>
      </c>
      <c r="D245">
        <v>8</v>
      </c>
    </row>
    <row r="246" spans="3:4" x14ac:dyDescent="0.35">
      <c r="C246">
        <v>5</v>
      </c>
      <c r="D246">
        <v>8</v>
      </c>
    </row>
    <row r="247" spans="3:4" x14ac:dyDescent="0.35">
      <c r="C247">
        <v>1</v>
      </c>
      <c r="D247">
        <v>1</v>
      </c>
    </row>
    <row r="248" spans="3:4" x14ac:dyDescent="0.35">
      <c r="C248">
        <v>3</v>
      </c>
      <c r="D248">
        <v>5</v>
      </c>
    </row>
    <row r="249" spans="3:4" x14ac:dyDescent="0.35">
      <c r="C249">
        <v>3</v>
      </c>
      <c r="D249">
        <v>2</v>
      </c>
    </row>
    <row r="250" spans="3:4" x14ac:dyDescent="0.35">
      <c r="C250">
        <v>1</v>
      </c>
      <c r="D250">
        <v>2</v>
      </c>
    </row>
    <row r="251" spans="3:4" x14ac:dyDescent="0.35">
      <c r="C251">
        <v>4</v>
      </c>
      <c r="D251">
        <v>3</v>
      </c>
    </row>
    <row r="252" spans="3:4" x14ac:dyDescent="0.35">
      <c r="C252">
        <v>3</v>
      </c>
      <c r="D252">
        <v>5</v>
      </c>
    </row>
    <row r="253" spans="3:4" x14ac:dyDescent="0.35">
      <c r="C253">
        <v>4</v>
      </c>
      <c r="D253">
        <v>2</v>
      </c>
    </row>
    <row r="254" spans="3:4" x14ac:dyDescent="0.35">
      <c r="C254">
        <v>7</v>
      </c>
      <c r="D254">
        <v>7</v>
      </c>
    </row>
    <row r="255" spans="3:4" x14ac:dyDescent="0.35">
      <c r="C255">
        <v>1</v>
      </c>
      <c r="D255">
        <v>1</v>
      </c>
    </row>
    <row r="256" spans="3:4" x14ac:dyDescent="0.35">
      <c r="C256">
        <v>6</v>
      </c>
      <c r="D256">
        <v>7</v>
      </c>
    </row>
    <row r="257" spans="3:4" x14ac:dyDescent="0.35">
      <c r="C257">
        <v>5</v>
      </c>
      <c r="D257">
        <v>10</v>
      </c>
    </row>
    <row r="258" spans="3:4" x14ac:dyDescent="0.35">
      <c r="C258">
        <v>0</v>
      </c>
      <c r="D258">
        <v>3</v>
      </c>
    </row>
    <row r="259" spans="3:4" x14ac:dyDescent="0.35">
      <c r="C259">
        <v>4</v>
      </c>
      <c r="D259">
        <v>4</v>
      </c>
    </row>
    <row r="260" spans="3:4" x14ac:dyDescent="0.35">
      <c r="D260">
        <v>4</v>
      </c>
    </row>
    <row r="261" spans="3:4" x14ac:dyDescent="0.35">
      <c r="C261">
        <v>4</v>
      </c>
      <c r="D261">
        <v>5</v>
      </c>
    </row>
    <row r="262" spans="3:4" x14ac:dyDescent="0.35">
      <c r="C262">
        <v>0</v>
      </c>
      <c r="D262">
        <v>10</v>
      </c>
    </row>
    <row r="263" spans="3:4" x14ac:dyDescent="0.35">
      <c r="C263">
        <v>2</v>
      </c>
      <c r="D263">
        <v>1</v>
      </c>
    </row>
    <row r="264" spans="3:4" x14ac:dyDescent="0.35">
      <c r="C264">
        <v>9</v>
      </c>
      <c r="D264">
        <v>8</v>
      </c>
    </row>
    <row r="265" spans="3:4" x14ac:dyDescent="0.35">
      <c r="C265">
        <v>7</v>
      </c>
      <c r="D265">
        <v>7</v>
      </c>
    </row>
    <row r="266" spans="3:4" x14ac:dyDescent="0.35">
      <c r="C266">
        <v>0</v>
      </c>
      <c r="D266">
        <v>1</v>
      </c>
    </row>
    <row r="267" spans="3:4" x14ac:dyDescent="0.35">
      <c r="C267">
        <v>10</v>
      </c>
      <c r="D267">
        <v>10</v>
      </c>
    </row>
    <row r="268" spans="3:4" x14ac:dyDescent="0.35">
      <c r="C268">
        <v>8</v>
      </c>
      <c r="D268">
        <v>7</v>
      </c>
    </row>
    <row r="269" spans="3:4" x14ac:dyDescent="0.35">
      <c r="C269">
        <v>5</v>
      </c>
      <c r="D269">
        <v>7</v>
      </c>
    </row>
    <row r="270" spans="3:4" x14ac:dyDescent="0.35">
      <c r="C270">
        <v>5</v>
      </c>
      <c r="D270">
        <v>4</v>
      </c>
    </row>
    <row r="271" spans="3:4" x14ac:dyDescent="0.35">
      <c r="C271">
        <v>5</v>
      </c>
      <c r="D271">
        <v>5</v>
      </c>
    </row>
    <row r="272" spans="3:4" x14ac:dyDescent="0.35">
      <c r="D272">
        <v>0</v>
      </c>
    </row>
    <row r="273" spans="3:4" x14ac:dyDescent="0.35">
      <c r="C273">
        <v>3</v>
      </c>
      <c r="D273">
        <v>2</v>
      </c>
    </row>
    <row r="274" spans="3:4" x14ac:dyDescent="0.35">
      <c r="C274">
        <v>0</v>
      </c>
      <c r="D274">
        <v>3</v>
      </c>
    </row>
    <row r="275" spans="3:4" x14ac:dyDescent="0.35">
      <c r="C275">
        <v>3</v>
      </c>
      <c r="D275">
        <v>2</v>
      </c>
    </row>
    <row r="276" spans="3:4" x14ac:dyDescent="0.35">
      <c r="C276">
        <v>9</v>
      </c>
      <c r="D276">
        <v>8</v>
      </c>
    </row>
    <row r="277" spans="3:4" x14ac:dyDescent="0.35">
      <c r="C277">
        <v>1</v>
      </c>
      <c r="D277">
        <v>6</v>
      </c>
    </row>
    <row r="278" spans="3:4" x14ac:dyDescent="0.35">
      <c r="C278">
        <v>8</v>
      </c>
      <c r="D278">
        <v>10</v>
      </c>
    </row>
    <row r="279" spans="3:4" x14ac:dyDescent="0.35">
      <c r="C279">
        <v>9</v>
      </c>
      <c r="D279">
        <v>8</v>
      </c>
    </row>
    <row r="280" spans="3:4" x14ac:dyDescent="0.35">
      <c r="C280">
        <v>8</v>
      </c>
      <c r="D280">
        <v>7</v>
      </c>
    </row>
    <row r="281" spans="3:4" x14ac:dyDescent="0.35">
      <c r="C281">
        <v>8</v>
      </c>
      <c r="D281">
        <v>10</v>
      </c>
    </row>
    <row r="282" spans="3:4" x14ac:dyDescent="0.35">
      <c r="C282">
        <v>6</v>
      </c>
      <c r="D282">
        <v>8</v>
      </c>
    </row>
    <row r="283" spans="3:4" x14ac:dyDescent="0.35">
      <c r="C283">
        <v>5</v>
      </c>
      <c r="D283">
        <v>5</v>
      </c>
    </row>
    <row r="284" spans="3:4" x14ac:dyDescent="0.35">
      <c r="C284">
        <v>6</v>
      </c>
      <c r="D284">
        <v>8</v>
      </c>
    </row>
    <row r="285" spans="3:4" x14ac:dyDescent="0.35">
      <c r="C285">
        <v>0</v>
      </c>
      <c r="D285">
        <v>0</v>
      </c>
    </row>
    <row r="286" spans="3:4" x14ac:dyDescent="0.35">
      <c r="C286">
        <v>2</v>
      </c>
      <c r="D286">
        <v>2</v>
      </c>
    </row>
    <row r="287" spans="3:4" x14ac:dyDescent="0.35">
      <c r="C287">
        <v>8</v>
      </c>
      <c r="D287">
        <v>10</v>
      </c>
    </row>
    <row r="288" spans="3:4" x14ac:dyDescent="0.35">
      <c r="C288">
        <v>6</v>
      </c>
      <c r="D288">
        <v>10</v>
      </c>
    </row>
    <row r="289" spans="3:4" x14ac:dyDescent="0.35">
      <c r="C289">
        <v>5</v>
      </c>
      <c r="D289">
        <v>5</v>
      </c>
    </row>
    <row r="290" spans="3:4" x14ac:dyDescent="0.35">
      <c r="C290">
        <v>5</v>
      </c>
      <c r="D290">
        <v>0</v>
      </c>
    </row>
    <row r="291" spans="3:4" x14ac:dyDescent="0.35">
      <c r="C291">
        <v>2</v>
      </c>
      <c r="D291">
        <v>1</v>
      </c>
    </row>
    <row r="292" spans="3:4" x14ac:dyDescent="0.35">
      <c r="C292">
        <v>8</v>
      </c>
      <c r="D292">
        <v>8</v>
      </c>
    </row>
    <row r="293" spans="3:4" x14ac:dyDescent="0.35">
      <c r="C293">
        <v>4</v>
      </c>
      <c r="D293">
        <v>2</v>
      </c>
    </row>
    <row r="294" spans="3:4" x14ac:dyDescent="0.35">
      <c r="C294">
        <v>0</v>
      </c>
      <c r="D294">
        <v>0</v>
      </c>
    </row>
    <row r="295" spans="3:4" x14ac:dyDescent="0.35">
      <c r="C295">
        <v>7</v>
      </c>
      <c r="D295">
        <v>8</v>
      </c>
    </row>
    <row r="296" spans="3:4" x14ac:dyDescent="0.35">
      <c r="C296">
        <v>6</v>
      </c>
      <c r="D296">
        <v>4</v>
      </c>
    </row>
    <row r="297" spans="3:4" x14ac:dyDescent="0.35">
      <c r="C297">
        <v>5</v>
      </c>
      <c r="D297">
        <v>10</v>
      </c>
    </row>
    <row r="298" spans="3:4" x14ac:dyDescent="0.35">
      <c r="C298">
        <v>6</v>
      </c>
      <c r="D298">
        <v>10</v>
      </c>
    </row>
    <row r="299" spans="3:4" x14ac:dyDescent="0.35">
      <c r="C299">
        <v>3</v>
      </c>
      <c r="D299">
        <v>4</v>
      </c>
    </row>
    <row r="300" spans="3:4" x14ac:dyDescent="0.35">
      <c r="C300">
        <v>4</v>
      </c>
      <c r="D300">
        <v>5</v>
      </c>
    </row>
    <row r="301" spans="3:4" x14ac:dyDescent="0.35">
      <c r="C301">
        <v>4</v>
      </c>
      <c r="D301">
        <v>2</v>
      </c>
    </row>
    <row r="302" spans="3:4" x14ac:dyDescent="0.35">
      <c r="C302">
        <v>7</v>
      </c>
      <c r="D302">
        <v>5</v>
      </c>
    </row>
    <row r="303" spans="3:4" x14ac:dyDescent="0.35">
      <c r="C303">
        <v>0</v>
      </c>
      <c r="D303">
        <v>2</v>
      </c>
    </row>
    <row r="304" spans="3:4" x14ac:dyDescent="0.35">
      <c r="C304">
        <v>1</v>
      </c>
      <c r="D304">
        <v>1</v>
      </c>
    </row>
    <row r="305" spans="3:4" x14ac:dyDescent="0.35">
      <c r="C305">
        <v>2</v>
      </c>
      <c r="D305">
        <v>4</v>
      </c>
    </row>
    <row r="306" spans="3:4" x14ac:dyDescent="0.35">
      <c r="C306">
        <v>7</v>
      </c>
      <c r="D306">
        <v>9</v>
      </c>
    </row>
    <row r="307" spans="3:4" x14ac:dyDescent="0.35">
      <c r="C307">
        <v>8</v>
      </c>
      <c r="D307">
        <v>8</v>
      </c>
    </row>
    <row r="308" spans="3:4" x14ac:dyDescent="0.35">
      <c r="C308">
        <v>4</v>
      </c>
      <c r="D308">
        <v>4</v>
      </c>
    </row>
    <row r="309" spans="3:4" x14ac:dyDescent="0.35">
      <c r="C309">
        <v>2</v>
      </c>
      <c r="D309">
        <v>2</v>
      </c>
    </row>
    <row r="310" spans="3:4" x14ac:dyDescent="0.35">
      <c r="C310">
        <v>6</v>
      </c>
      <c r="D310">
        <v>4</v>
      </c>
    </row>
    <row r="311" spans="3:4" x14ac:dyDescent="0.35">
      <c r="C311">
        <v>7</v>
      </c>
      <c r="D311">
        <v>6</v>
      </c>
    </row>
    <row r="312" spans="3:4" x14ac:dyDescent="0.35">
      <c r="C312">
        <v>10</v>
      </c>
      <c r="D312">
        <v>3</v>
      </c>
    </row>
    <row r="313" spans="3:4" x14ac:dyDescent="0.35">
      <c r="C313">
        <v>7</v>
      </c>
      <c r="D313">
        <v>7</v>
      </c>
    </row>
    <row r="314" spans="3:4" x14ac:dyDescent="0.35">
      <c r="C314">
        <v>0</v>
      </c>
      <c r="D314">
        <v>10</v>
      </c>
    </row>
    <row r="315" spans="3:4" x14ac:dyDescent="0.35">
      <c r="C315">
        <v>8</v>
      </c>
      <c r="D315">
        <v>7</v>
      </c>
    </row>
    <row r="316" spans="3:4" x14ac:dyDescent="0.35">
      <c r="C316">
        <v>10</v>
      </c>
      <c r="D316">
        <v>10</v>
      </c>
    </row>
    <row r="317" spans="3:4" x14ac:dyDescent="0.35">
      <c r="C317">
        <v>1</v>
      </c>
      <c r="D317">
        <v>2</v>
      </c>
    </row>
    <row r="318" spans="3:4" x14ac:dyDescent="0.35">
      <c r="C318">
        <v>2</v>
      </c>
      <c r="D318">
        <v>4</v>
      </c>
    </row>
    <row r="319" spans="3:4" x14ac:dyDescent="0.35">
      <c r="C319">
        <v>3</v>
      </c>
      <c r="D319">
        <v>1</v>
      </c>
    </row>
    <row r="320" spans="3:4" x14ac:dyDescent="0.35">
      <c r="C320">
        <v>2</v>
      </c>
      <c r="D320">
        <v>8</v>
      </c>
    </row>
    <row r="321" spans="3:4" x14ac:dyDescent="0.35">
      <c r="C321">
        <v>3</v>
      </c>
      <c r="D321">
        <v>3</v>
      </c>
    </row>
    <row r="322" spans="3:4" x14ac:dyDescent="0.35">
      <c r="C322">
        <v>7</v>
      </c>
      <c r="D322">
        <v>6</v>
      </c>
    </row>
    <row r="323" spans="3:4" x14ac:dyDescent="0.35">
      <c r="C323">
        <v>0</v>
      </c>
      <c r="D323">
        <v>10</v>
      </c>
    </row>
    <row r="324" spans="3:4" x14ac:dyDescent="0.35">
      <c r="C324">
        <v>7</v>
      </c>
      <c r="D324">
        <v>8</v>
      </c>
    </row>
    <row r="325" spans="3:4" x14ac:dyDescent="0.35">
      <c r="C325">
        <v>5</v>
      </c>
      <c r="D325">
        <v>4</v>
      </c>
    </row>
    <row r="326" spans="3:4" x14ac:dyDescent="0.35">
      <c r="C326">
        <v>6</v>
      </c>
      <c r="D326">
        <v>7</v>
      </c>
    </row>
    <row r="327" spans="3:4" x14ac:dyDescent="0.35">
      <c r="C327">
        <v>0</v>
      </c>
      <c r="D327">
        <v>0</v>
      </c>
    </row>
    <row r="328" spans="3:4" x14ac:dyDescent="0.35">
      <c r="C328">
        <v>4</v>
      </c>
      <c r="D328">
        <v>6</v>
      </c>
    </row>
    <row r="329" spans="3:4" x14ac:dyDescent="0.35">
      <c r="C329">
        <v>0</v>
      </c>
      <c r="D329">
        <v>4</v>
      </c>
    </row>
    <row r="330" spans="3:4" x14ac:dyDescent="0.35">
      <c r="C330">
        <v>5</v>
      </c>
      <c r="D330">
        <v>1</v>
      </c>
    </row>
    <row r="331" spans="3:4" x14ac:dyDescent="0.35">
      <c r="C331">
        <v>7</v>
      </c>
      <c r="D331">
        <v>10</v>
      </c>
    </row>
    <row r="332" spans="3:4" x14ac:dyDescent="0.35">
      <c r="C332">
        <v>0</v>
      </c>
      <c r="D332">
        <v>0</v>
      </c>
    </row>
    <row r="333" spans="3:4" x14ac:dyDescent="0.35">
      <c r="C333">
        <v>10</v>
      </c>
      <c r="D333">
        <v>10</v>
      </c>
    </row>
    <row r="334" spans="3:4" x14ac:dyDescent="0.35">
      <c r="C334">
        <v>8</v>
      </c>
      <c r="D334">
        <v>8</v>
      </c>
    </row>
    <row r="335" spans="3:4" x14ac:dyDescent="0.35">
      <c r="C335">
        <v>5</v>
      </c>
      <c r="D335">
        <v>7</v>
      </c>
    </row>
    <row r="336" spans="3:4" x14ac:dyDescent="0.35">
      <c r="C336">
        <v>2</v>
      </c>
      <c r="D336">
        <v>3</v>
      </c>
    </row>
    <row r="337" spans="3:4" x14ac:dyDescent="0.35">
      <c r="C337">
        <v>6</v>
      </c>
      <c r="D337">
        <v>8</v>
      </c>
    </row>
    <row r="338" spans="3:4" x14ac:dyDescent="0.35">
      <c r="C338">
        <v>1</v>
      </c>
      <c r="D338">
        <v>2</v>
      </c>
    </row>
    <row r="339" spans="3:4" x14ac:dyDescent="0.35">
      <c r="C339">
        <v>5</v>
      </c>
      <c r="D339">
        <v>9</v>
      </c>
    </row>
    <row r="340" spans="3:4" x14ac:dyDescent="0.35">
      <c r="C340">
        <v>4</v>
      </c>
      <c r="D340">
        <v>8</v>
      </c>
    </row>
    <row r="342" spans="3:4" x14ac:dyDescent="0.35">
      <c r="C342">
        <v>10</v>
      </c>
      <c r="D342">
        <v>10</v>
      </c>
    </row>
    <row r="343" spans="3:4" x14ac:dyDescent="0.35">
      <c r="C343">
        <v>7</v>
      </c>
      <c r="D343">
        <v>9</v>
      </c>
    </row>
    <row r="344" spans="3:4" x14ac:dyDescent="0.35">
      <c r="C344">
        <v>5</v>
      </c>
      <c r="D344">
        <v>6</v>
      </c>
    </row>
    <row r="345" spans="3:4" x14ac:dyDescent="0.35">
      <c r="C345">
        <v>5</v>
      </c>
      <c r="D345">
        <v>6</v>
      </c>
    </row>
    <row r="346" spans="3:4" x14ac:dyDescent="0.35">
      <c r="C346">
        <v>7</v>
      </c>
      <c r="D346">
        <v>8</v>
      </c>
    </row>
    <row r="347" spans="3:4" x14ac:dyDescent="0.35">
      <c r="C347">
        <v>4</v>
      </c>
      <c r="D347">
        <v>2</v>
      </c>
    </row>
    <row r="348" spans="3:4" x14ac:dyDescent="0.35">
      <c r="C348">
        <v>4</v>
      </c>
      <c r="D348">
        <v>6</v>
      </c>
    </row>
    <row r="350" spans="3:4" x14ac:dyDescent="0.35">
      <c r="C350">
        <v>2</v>
      </c>
      <c r="D350">
        <v>7</v>
      </c>
    </row>
    <row r="351" spans="3:4" x14ac:dyDescent="0.35">
      <c r="C351">
        <v>3</v>
      </c>
      <c r="D351">
        <v>5</v>
      </c>
    </row>
    <row r="352" spans="3:4" x14ac:dyDescent="0.35">
      <c r="C352">
        <v>5</v>
      </c>
      <c r="D352">
        <v>10</v>
      </c>
    </row>
    <row r="353" spans="3:4" x14ac:dyDescent="0.35">
      <c r="C353">
        <v>2</v>
      </c>
      <c r="D353">
        <v>3</v>
      </c>
    </row>
    <row r="354" spans="3:4" x14ac:dyDescent="0.35">
      <c r="C354">
        <v>0</v>
      </c>
      <c r="D354">
        <v>0</v>
      </c>
    </row>
    <row r="355" spans="3:4" x14ac:dyDescent="0.35">
      <c r="C355">
        <v>7</v>
      </c>
      <c r="D355">
        <v>1</v>
      </c>
    </row>
    <row r="356" spans="3:4" x14ac:dyDescent="0.35">
      <c r="C356">
        <v>3</v>
      </c>
      <c r="D356">
        <v>4</v>
      </c>
    </row>
    <row r="357" spans="3:4" x14ac:dyDescent="0.35">
      <c r="C357">
        <v>4</v>
      </c>
      <c r="D357">
        <v>6</v>
      </c>
    </row>
    <row r="358" spans="3:4" x14ac:dyDescent="0.35">
      <c r="C358">
        <v>5</v>
      </c>
      <c r="D358">
        <v>2</v>
      </c>
    </row>
    <row r="359" spans="3:4" x14ac:dyDescent="0.35">
      <c r="C359">
        <v>5</v>
      </c>
      <c r="D359">
        <v>10</v>
      </c>
    </row>
    <row r="360" spans="3:4" x14ac:dyDescent="0.35">
      <c r="C360">
        <v>6</v>
      </c>
      <c r="D360">
        <v>6</v>
      </c>
    </row>
    <row r="361" spans="3:4" x14ac:dyDescent="0.35">
      <c r="D361">
        <v>5</v>
      </c>
    </row>
    <row r="362" spans="3:4" x14ac:dyDescent="0.35">
      <c r="C362">
        <v>1</v>
      </c>
      <c r="D362">
        <v>3</v>
      </c>
    </row>
    <row r="363" spans="3:4" x14ac:dyDescent="0.35">
      <c r="C363">
        <v>7</v>
      </c>
      <c r="D363">
        <v>8</v>
      </c>
    </row>
    <row r="364" spans="3:4" x14ac:dyDescent="0.35">
      <c r="C364">
        <v>1</v>
      </c>
      <c r="D364">
        <v>1</v>
      </c>
    </row>
    <row r="365" spans="3:4" x14ac:dyDescent="0.35">
      <c r="C365">
        <v>5</v>
      </c>
      <c r="D365">
        <v>10</v>
      </c>
    </row>
    <row r="366" spans="3:4" x14ac:dyDescent="0.35">
      <c r="C366">
        <v>6</v>
      </c>
      <c r="D366">
        <v>6</v>
      </c>
    </row>
    <row r="367" spans="3:4" x14ac:dyDescent="0.35">
      <c r="C367">
        <v>3</v>
      </c>
      <c r="D367">
        <v>3</v>
      </c>
    </row>
    <row r="368" spans="3:4" x14ac:dyDescent="0.35">
      <c r="C368">
        <v>7</v>
      </c>
      <c r="D368">
        <v>6</v>
      </c>
    </row>
    <row r="369" spans="3:4" x14ac:dyDescent="0.35">
      <c r="C369">
        <v>6</v>
      </c>
      <c r="D369">
        <v>7</v>
      </c>
    </row>
    <row r="370" spans="3:4" x14ac:dyDescent="0.35">
      <c r="C370">
        <v>8</v>
      </c>
      <c r="D370">
        <v>10</v>
      </c>
    </row>
    <row r="371" spans="3:4" x14ac:dyDescent="0.35">
      <c r="C371">
        <v>10</v>
      </c>
      <c r="D371">
        <v>10</v>
      </c>
    </row>
    <row r="372" spans="3:4" x14ac:dyDescent="0.35">
      <c r="C372">
        <v>1</v>
      </c>
      <c r="D372">
        <v>3</v>
      </c>
    </row>
    <row r="373" spans="3:4" x14ac:dyDescent="0.35">
      <c r="C373">
        <v>5</v>
      </c>
      <c r="D373">
        <v>6</v>
      </c>
    </row>
    <row r="374" spans="3:4" x14ac:dyDescent="0.35">
      <c r="C374">
        <v>0</v>
      </c>
      <c r="D374">
        <v>0</v>
      </c>
    </row>
    <row r="375" spans="3:4" x14ac:dyDescent="0.35">
      <c r="C375">
        <v>3</v>
      </c>
      <c r="D375">
        <v>4</v>
      </c>
    </row>
    <row r="376" spans="3:4" x14ac:dyDescent="0.35">
      <c r="C376">
        <v>5</v>
      </c>
      <c r="D376">
        <v>7</v>
      </c>
    </row>
    <row r="377" spans="3:4" x14ac:dyDescent="0.35">
      <c r="C377">
        <v>5</v>
      </c>
      <c r="D377">
        <v>6</v>
      </c>
    </row>
    <row r="378" spans="3:4" x14ac:dyDescent="0.35">
      <c r="C378">
        <v>2</v>
      </c>
      <c r="D378">
        <v>1</v>
      </c>
    </row>
    <row r="379" spans="3:4" x14ac:dyDescent="0.35">
      <c r="C379">
        <v>5</v>
      </c>
      <c r="D379">
        <v>1</v>
      </c>
    </row>
    <row r="380" spans="3:4" x14ac:dyDescent="0.35">
      <c r="C380">
        <v>0</v>
      </c>
      <c r="D380">
        <v>3</v>
      </c>
    </row>
    <row r="381" spans="3:4" x14ac:dyDescent="0.35">
      <c r="C381">
        <v>6</v>
      </c>
      <c r="D381">
        <v>6</v>
      </c>
    </row>
    <row r="382" spans="3:4" x14ac:dyDescent="0.35">
      <c r="C382">
        <v>10</v>
      </c>
      <c r="D382">
        <v>10</v>
      </c>
    </row>
    <row r="383" spans="3:4" x14ac:dyDescent="0.35">
      <c r="C383">
        <v>5</v>
      </c>
      <c r="D383">
        <v>6</v>
      </c>
    </row>
    <row r="384" spans="3:4" x14ac:dyDescent="0.35">
      <c r="C384">
        <v>1</v>
      </c>
      <c r="D384">
        <v>1</v>
      </c>
    </row>
    <row r="385" spans="3:4" x14ac:dyDescent="0.35">
      <c r="C385">
        <v>4</v>
      </c>
      <c r="D385">
        <v>4</v>
      </c>
    </row>
    <row r="386" spans="3:4" x14ac:dyDescent="0.35">
      <c r="C386">
        <v>0</v>
      </c>
      <c r="D386">
        <v>0</v>
      </c>
    </row>
    <row r="387" spans="3:4" x14ac:dyDescent="0.35">
      <c r="C387">
        <v>8</v>
      </c>
      <c r="D387">
        <v>8</v>
      </c>
    </row>
    <row r="388" spans="3:4" x14ac:dyDescent="0.35">
      <c r="C388">
        <v>8</v>
      </c>
      <c r="D388">
        <v>10</v>
      </c>
    </row>
    <row r="389" spans="3:4" x14ac:dyDescent="0.35">
      <c r="C389">
        <v>6</v>
      </c>
      <c r="D389">
        <v>9</v>
      </c>
    </row>
    <row r="390" spans="3:4" x14ac:dyDescent="0.35">
      <c r="C390">
        <v>5</v>
      </c>
      <c r="D390">
        <v>6</v>
      </c>
    </row>
    <row r="391" spans="3:4" x14ac:dyDescent="0.35">
      <c r="C391">
        <v>7</v>
      </c>
      <c r="D391">
        <v>5</v>
      </c>
    </row>
    <row r="392" spans="3:4" x14ac:dyDescent="0.35">
      <c r="C392">
        <v>7</v>
      </c>
      <c r="D392">
        <v>8</v>
      </c>
    </row>
    <row r="393" spans="3:4" x14ac:dyDescent="0.35">
      <c r="C393">
        <v>4</v>
      </c>
      <c r="D393">
        <v>9</v>
      </c>
    </row>
    <row r="394" spans="3:4" x14ac:dyDescent="0.35">
      <c r="C394">
        <v>6</v>
      </c>
      <c r="D394">
        <v>6</v>
      </c>
    </row>
    <row r="395" spans="3:4" x14ac:dyDescent="0.35">
      <c r="C395">
        <v>9</v>
      </c>
      <c r="D395">
        <v>10</v>
      </c>
    </row>
    <row r="396" spans="3:4" x14ac:dyDescent="0.35">
      <c r="C396">
        <v>5</v>
      </c>
      <c r="D396">
        <v>6</v>
      </c>
    </row>
    <row r="397" spans="3:4" x14ac:dyDescent="0.35">
      <c r="C397">
        <v>8</v>
      </c>
      <c r="D397">
        <v>8</v>
      </c>
    </row>
    <row r="399" spans="3:4" x14ac:dyDescent="0.35">
      <c r="C399">
        <v>2</v>
      </c>
      <c r="D399">
        <v>2</v>
      </c>
    </row>
    <row r="400" spans="3:4" x14ac:dyDescent="0.35">
      <c r="C400">
        <v>2</v>
      </c>
      <c r="D400">
        <v>3</v>
      </c>
    </row>
    <row r="401" spans="3:4" x14ac:dyDescent="0.35">
      <c r="C401">
        <v>6</v>
      </c>
      <c r="D401">
        <v>5</v>
      </c>
    </row>
    <row r="402" spans="3:4" x14ac:dyDescent="0.35">
      <c r="C402">
        <v>3</v>
      </c>
      <c r="D402">
        <v>6</v>
      </c>
    </row>
    <row r="403" spans="3:4" x14ac:dyDescent="0.35">
      <c r="C403">
        <v>0</v>
      </c>
      <c r="D403">
        <v>0</v>
      </c>
    </row>
    <row r="404" spans="3:4" x14ac:dyDescent="0.35">
      <c r="C404">
        <v>1</v>
      </c>
      <c r="D404">
        <v>5</v>
      </c>
    </row>
    <row r="405" spans="3:4" x14ac:dyDescent="0.35">
      <c r="C405">
        <v>8</v>
      </c>
      <c r="D405">
        <v>6</v>
      </c>
    </row>
    <row r="406" spans="3:4" x14ac:dyDescent="0.35">
      <c r="C406">
        <v>6</v>
      </c>
      <c r="D406">
        <v>7</v>
      </c>
    </row>
    <row r="407" spans="3:4" x14ac:dyDescent="0.35">
      <c r="C407">
        <v>8</v>
      </c>
      <c r="D407">
        <v>4</v>
      </c>
    </row>
    <row r="408" spans="3:4" x14ac:dyDescent="0.35">
      <c r="C408">
        <v>6</v>
      </c>
      <c r="D408">
        <v>9</v>
      </c>
    </row>
    <row r="409" spans="3:4" x14ac:dyDescent="0.35">
      <c r="C409">
        <v>6</v>
      </c>
      <c r="D409">
        <v>4</v>
      </c>
    </row>
    <row r="410" spans="3:4" x14ac:dyDescent="0.35">
      <c r="C410">
        <v>2</v>
      </c>
      <c r="D410">
        <v>3</v>
      </c>
    </row>
    <row r="411" spans="3:4" x14ac:dyDescent="0.35">
      <c r="C411">
        <v>5</v>
      </c>
      <c r="D411">
        <v>6</v>
      </c>
    </row>
    <row r="412" spans="3:4" x14ac:dyDescent="0.35">
      <c r="C412">
        <v>5</v>
      </c>
      <c r="D412">
        <v>6</v>
      </c>
    </row>
    <row r="413" spans="3:4" x14ac:dyDescent="0.35">
      <c r="C413">
        <v>6</v>
      </c>
      <c r="D413">
        <v>4</v>
      </c>
    </row>
    <row r="414" spans="3:4" x14ac:dyDescent="0.35">
      <c r="C414">
        <v>3</v>
      </c>
      <c r="D414">
        <v>4</v>
      </c>
    </row>
    <row r="415" spans="3:4" x14ac:dyDescent="0.35">
      <c r="C415">
        <v>8</v>
      </c>
      <c r="D415">
        <v>9</v>
      </c>
    </row>
    <row r="416" spans="3:4" x14ac:dyDescent="0.35">
      <c r="C416">
        <v>6</v>
      </c>
      <c r="D416">
        <v>7</v>
      </c>
    </row>
    <row r="417" spans="3:4" x14ac:dyDescent="0.35">
      <c r="C417">
        <v>6</v>
      </c>
      <c r="D417">
        <v>7</v>
      </c>
    </row>
    <row r="418" spans="3:4" x14ac:dyDescent="0.35">
      <c r="C418">
        <v>9</v>
      </c>
      <c r="D418">
        <v>10</v>
      </c>
    </row>
    <row r="419" spans="3:4" x14ac:dyDescent="0.35">
      <c r="C419">
        <v>2</v>
      </c>
      <c r="D419">
        <v>4</v>
      </c>
    </row>
    <row r="420" spans="3:4" x14ac:dyDescent="0.35">
      <c r="C420">
        <v>3</v>
      </c>
      <c r="D420">
        <v>4</v>
      </c>
    </row>
    <row r="421" spans="3:4" x14ac:dyDescent="0.35">
      <c r="C421">
        <v>9</v>
      </c>
      <c r="D421">
        <v>10</v>
      </c>
    </row>
    <row r="422" spans="3:4" x14ac:dyDescent="0.35">
      <c r="C422">
        <v>7</v>
      </c>
      <c r="D422">
        <v>8</v>
      </c>
    </row>
    <row r="423" spans="3:4" x14ac:dyDescent="0.35">
      <c r="C423">
        <v>2</v>
      </c>
      <c r="D423">
        <v>3</v>
      </c>
    </row>
    <row r="424" spans="3:4" x14ac:dyDescent="0.35">
      <c r="C424">
        <v>9</v>
      </c>
      <c r="D424">
        <v>9</v>
      </c>
    </row>
    <row r="425" spans="3:4" x14ac:dyDescent="0.35">
      <c r="C425">
        <v>5</v>
      </c>
      <c r="D425">
        <v>7</v>
      </c>
    </row>
    <row r="426" spans="3:4" x14ac:dyDescent="0.35">
      <c r="C426">
        <v>8</v>
      </c>
      <c r="D426">
        <v>1</v>
      </c>
    </row>
    <row r="427" spans="3:4" x14ac:dyDescent="0.35">
      <c r="C427">
        <v>2</v>
      </c>
      <c r="D427">
        <v>3</v>
      </c>
    </row>
    <row r="428" spans="3:4" x14ac:dyDescent="0.35">
      <c r="C428">
        <v>9</v>
      </c>
      <c r="D428">
        <v>10</v>
      </c>
    </row>
    <row r="429" spans="3:4" x14ac:dyDescent="0.35">
      <c r="C429">
        <v>5</v>
      </c>
      <c r="D429">
        <v>7</v>
      </c>
    </row>
    <row r="430" spans="3:4" x14ac:dyDescent="0.35">
      <c r="C430">
        <v>6</v>
      </c>
      <c r="D430">
        <v>6</v>
      </c>
    </row>
    <row r="431" spans="3:4" x14ac:dyDescent="0.35">
      <c r="C431">
        <v>7</v>
      </c>
      <c r="D431">
        <v>7</v>
      </c>
    </row>
    <row r="432" spans="3:4" x14ac:dyDescent="0.35">
      <c r="C432">
        <v>0</v>
      </c>
      <c r="D432">
        <v>3</v>
      </c>
    </row>
    <row r="433" spans="3:4" x14ac:dyDescent="0.35">
      <c r="C433">
        <v>6</v>
      </c>
      <c r="D433">
        <v>6</v>
      </c>
    </row>
    <row r="434" spans="3:4" x14ac:dyDescent="0.35">
      <c r="C434">
        <v>4</v>
      </c>
      <c r="D434">
        <v>9</v>
      </c>
    </row>
    <row r="435" spans="3:4" x14ac:dyDescent="0.35">
      <c r="C435">
        <v>7</v>
      </c>
      <c r="D435">
        <v>10</v>
      </c>
    </row>
    <row r="436" spans="3:4" x14ac:dyDescent="0.35">
      <c r="C436">
        <v>6</v>
      </c>
      <c r="D436">
        <v>4</v>
      </c>
    </row>
    <row r="437" spans="3:4" x14ac:dyDescent="0.35">
      <c r="C437">
        <v>6</v>
      </c>
      <c r="D437">
        <v>6</v>
      </c>
    </row>
    <row r="438" spans="3:4" x14ac:dyDescent="0.35">
      <c r="C438">
        <v>7</v>
      </c>
      <c r="D438">
        <v>9</v>
      </c>
    </row>
    <row r="439" spans="3:4" x14ac:dyDescent="0.35">
      <c r="C439">
        <v>3</v>
      </c>
      <c r="D439">
        <v>2</v>
      </c>
    </row>
    <row r="440" spans="3:4" x14ac:dyDescent="0.35">
      <c r="C440">
        <v>3</v>
      </c>
      <c r="D440">
        <v>4</v>
      </c>
    </row>
    <row r="441" spans="3:4" x14ac:dyDescent="0.35">
      <c r="C441">
        <v>4</v>
      </c>
      <c r="D441">
        <v>4</v>
      </c>
    </row>
    <row r="442" spans="3:4" x14ac:dyDescent="0.35">
      <c r="C442">
        <v>10</v>
      </c>
      <c r="D442">
        <v>10</v>
      </c>
    </row>
    <row r="443" spans="3:4" x14ac:dyDescent="0.35">
      <c r="C443">
        <v>5</v>
      </c>
      <c r="D443">
        <v>6</v>
      </c>
    </row>
    <row r="444" spans="3:4" x14ac:dyDescent="0.35">
      <c r="C444">
        <v>3</v>
      </c>
      <c r="D444">
        <v>4</v>
      </c>
    </row>
    <row r="445" spans="3:4" x14ac:dyDescent="0.35">
      <c r="D445">
        <v>6</v>
      </c>
    </row>
    <row r="446" spans="3:4" x14ac:dyDescent="0.35">
      <c r="C446">
        <v>2</v>
      </c>
      <c r="D446">
        <v>3</v>
      </c>
    </row>
    <row r="447" spans="3:4" x14ac:dyDescent="0.35">
      <c r="C447">
        <v>4</v>
      </c>
      <c r="D447">
        <v>5</v>
      </c>
    </row>
    <row r="448" spans="3:4" x14ac:dyDescent="0.35">
      <c r="C448">
        <v>4</v>
      </c>
      <c r="D448">
        <v>4</v>
      </c>
    </row>
    <row r="449" spans="3:4" x14ac:dyDescent="0.35">
      <c r="C449">
        <v>3</v>
      </c>
      <c r="D449">
        <v>3</v>
      </c>
    </row>
    <row r="450" spans="3:4" x14ac:dyDescent="0.35">
      <c r="C450">
        <v>6</v>
      </c>
      <c r="D450">
        <v>8</v>
      </c>
    </row>
    <row r="451" spans="3:4" x14ac:dyDescent="0.35">
      <c r="C451">
        <v>8</v>
      </c>
      <c r="D451">
        <v>10</v>
      </c>
    </row>
    <row r="452" spans="3:4" x14ac:dyDescent="0.35">
      <c r="C452">
        <v>4</v>
      </c>
      <c r="D452">
        <v>6</v>
      </c>
    </row>
    <row r="453" spans="3:4" x14ac:dyDescent="0.35">
      <c r="C453">
        <v>10</v>
      </c>
      <c r="D453">
        <v>10</v>
      </c>
    </row>
    <row r="454" spans="3:4" x14ac:dyDescent="0.35">
      <c r="C454">
        <v>8</v>
      </c>
      <c r="D454">
        <v>5</v>
      </c>
    </row>
    <row r="455" spans="3:4" x14ac:dyDescent="0.35">
      <c r="C455">
        <v>6</v>
      </c>
      <c r="D455">
        <v>6</v>
      </c>
    </row>
    <row r="456" spans="3:4" x14ac:dyDescent="0.35">
      <c r="C456">
        <v>3</v>
      </c>
      <c r="D456">
        <v>5</v>
      </c>
    </row>
    <row r="457" spans="3:4" x14ac:dyDescent="0.35">
      <c r="C457">
        <v>10</v>
      </c>
      <c r="D457">
        <v>6</v>
      </c>
    </row>
    <row r="458" spans="3:4" x14ac:dyDescent="0.35">
      <c r="C458">
        <v>10</v>
      </c>
      <c r="D458">
        <v>3</v>
      </c>
    </row>
    <row r="459" spans="3:4" x14ac:dyDescent="0.35">
      <c r="C459">
        <v>5</v>
      </c>
      <c r="D459">
        <v>6</v>
      </c>
    </row>
    <row r="460" spans="3:4" x14ac:dyDescent="0.35">
      <c r="C460">
        <v>7</v>
      </c>
      <c r="D460">
        <v>9</v>
      </c>
    </row>
    <row r="461" spans="3:4" x14ac:dyDescent="0.35">
      <c r="C461">
        <v>5</v>
      </c>
      <c r="D461">
        <v>10</v>
      </c>
    </row>
    <row r="462" spans="3:4" x14ac:dyDescent="0.35">
      <c r="C462">
        <v>2</v>
      </c>
      <c r="D462">
        <v>4</v>
      </c>
    </row>
    <row r="463" spans="3:4" x14ac:dyDescent="0.35">
      <c r="C463">
        <v>8</v>
      </c>
      <c r="D463">
        <v>7</v>
      </c>
    </row>
    <row r="464" spans="3:4" x14ac:dyDescent="0.35">
      <c r="C464">
        <v>0</v>
      </c>
      <c r="D464">
        <v>3</v>
      </c>
    </row>
    <row r="465" spans="3:4" x14ac:dyDescent="0.35">
      <c r="C465">
        <v>0</v>
      </c>
      <c r="D465">
        <v>2</v>
      </c>
    </row>
    <row r="466" spans="3:4" x14ac:dyDescent="0.35">
      <c r="C466">
        <v>4</v>
      </c>
      <c r="D466">
        <v>4</v>
      </c>
    </row>
    <row r="467" spans="3:4" x14ac:dyDescent="0.35">
      <c r="C467">
        <v>4</v>
      </c>
      <c r="D467">
        <v>4</v>
      </c>
    </row>
    <row r="468" spans="3:4" x14ac:dyDescent="0.35">
      <c r="C468">
        <v>6</v>
      </c>
      <c r="D468">
        <v>7</v>
      </c>
    </row>
    <row r="469" spans="3:4" x14ac:dyDescent="0.35">
      <c r="C469">
        <v>5</v>
      </c>
      <c r="D469">
        <v>6</v>
      </c>
    </row>
    <row r="470" spans="3:4" x14ac:dyDescent="0.35">
      <c r="C470">
        <v>0</v>
      </c>
      <c r="D470">
        <v>0</v>
      </c>
    </row>
    <row r="471" spans="3:4" x14ac:dyDescent="0.35">
      <c r="C471">
        <v>4</v>
      </c>
      <c r="D471">
        <v>3</v>
      </c>
    </row>
    <row r="472" spans="3:4" x14ac:dyDescent="0.35">
      <c r="C472">
        <v>10</v>
      </c>
      <c r="D472">
        <v>10</v>
      </c>
    </row>
    <row r="473" spans="3:4" x14ac:dyDescent="0.35">
      <c r="C473">
        <v>4</v>
      </c>
      <c r="D473">
        <v>8</v>
      </c>
    </row>
    <row r="474" spans="3:4" x14ac:dyDescent="0.35">
      <c r="C474">
        <v>3</v>
      </c>
      <c r="D474">
        <v>6</v>
      </c>
    </row>
    <row r="475" spans="3:4" x14ac:dyDescent="0.35">
      <c r="C475">
        <v>0</v>
      </c>
      <c r="D475">
        <v>0</v>
      </c>
    </row>
    <row r="476" spans="3:4" x14ac:dyDescent="0.35">
      <c r="C476">
        <v>9</v>
      </c>
      <c r="D476">
        <v>10</v>
      </c>
    </row>
    <row r="477" spans="3:4" x14ac:dyDescent="0.35">
      <c r="C477">
        <v>8</v>
      </c>
      <c r="D477">
        <v>9</v>
      </c>
    </row>
    <row r="478" spans="3:4" x14ac:dyDescent="0.35">
      <c r="C478">
        <v>6</v>
      </c>
      <c r="D478">
        <v>6</v>
      </c>
    </row>
    <row r="479" spans="3:4" x14ac:dyDescent="0.35">
      <c r="C479">
        <v>6</v>
      </c>
      <c r="D479">
        <v>5</v>
      </c>
    </row>
    <row r="480" spans="3:4" x14ac:dyDescent="0.35">
      <c r="C480">
        <v>3</v>
      </c>
      <c r="D480">
        <v>7</v>
      </c>
    </row>
    <row r="481" spans="3:4" x14ac:dyDescent="0.35">
      <c r="C481">
        <v>10</v>
      </c>
      <c r="D481">
        <v>10</v>
      </c>
    </row>
    <row r="482" spans="3:4" x14ac:dyDescent="0.35">
      <c r="C482">
        <v>8</v>
      </c>
      <c r="D482">
        <v>9</v>
      </c>
    </row>
    <row r="483" spans="3:4" x14ac:dyDescent="0.35">
      <c r="C483">
        <v>8</v>
      </c>
      <c r="D483">
        <v>7</v>
      </c>
    </row>
    <row r="484" spans="3:4" x14ac:dyDescent="0.35">
      <c r="C484">
        <v>0</v>
      </c>
      <c r="D484">
        <v>0</v>
      </c>
    </row>
    <row r="485" spans="3:4" x14ac:dyDescent="0.35">
      <c r="C485">
        <v>0</v>
      </c>
      <c r="D485">
        <v>8</v>
      </c>
    </row>
    <row r="486" spans="3:4" x14ac:dyDescent="0.35">
      <c r="C486">
        <v>10</v>
      </c>
      <c r="D486">
        <v>10</v>
      </c>
    </row>
    <row r="487" spans="3:4" x14ac:dyDescent="0.35">
      <c r="C487">
        <v>3</v>
      </c>
      <c r="D487">
        <v>9</v>
      </c>
    </row>
    <row r="488" spans="3:4" x14ac:dyDescent="0.35">
      <c r="C488">
        <v>7</v>
      </c>
      <c r="D488">
        <v>7</v>
      </c>
    </row>
    <row r="489" spans="3:4" x14ac:dyDescent="0.35">
      <c r="C489">
        <v>3</v>
      </c>
      <c r="D489">
        <v>3</v>
      </c>
    </row>
    <row r="490" spans="3:4" x14ac:dyDescent="0.35">
      <c r="C490">
        <v>7</v>
      </c>
      <c r="D490">
        <v>9</v>
      </c>
    </row>
    <row r="491" spans="3:4" x14ac:dyDescent="0.35">
      <c r="C491">
        <v>3</v>
      </c>
      <c r="D491">
        <v>4</v>
      </c>
    </row>
    <row r="492" spans="3:4" x14ac:dyDescent="0.35">
      <c r="C492">
        <v>3</v>
      </c>
      <c r="D492">
        <v>3</v>
      </c>
    </row>
    <row r="493" spans="3:4" x14ac:dyDescent="0.35">
      <c r="C493">
        <v>5</v>
      </c>
      <c r="D493">
        <v>6</v>
      </c>
    </row>
    <row r="494" spans="3:4" x14ac:dyDescent="0.35">
      <c r="C494">
        <v>7</v>
      </c>
      <c r="D494">
        <v>9</v>
      </c>
    </row>
    <row r="495" spans="3:4" x14ac:dyDescent="0.35">
      <c r="C495">
        <v>6</v>
      </c>
      <c r="D495">
        <v>9</v>
      </c>
    </row>
    <row r="496" spans="3:4" x14ac:dyDescent="0.35">
      <c r="C496">
        <v>3</v>
      </c>
      <c r="D496">
        <v>2</v>
      </c>
    </row>
    <row r="497" spans="3:4" x14ac:dyDescent="0.35">
      <c r="C497">
        <v>8</v>
      </c>
      <c r="D497">
        <v>8</v>
      </c>
    </row>
    <row r="498" spans="3:4" x14ac:dyDescent="0.35">
      <c r="C498">
        <v>7</v>
      </c>
      <c r="D498">
        <v>9</v>
      </c>
    </row>
    <row r="499" spans="3:4" x14ac:dyDescent="0.35">
      <c r="C499">
        <v>10</v>
      </c>
      <c r="D499">
        <v>10</v>
      </c>
    </row>
    <row r="500" spans="3:4" x14ac:dyDescent="0.35">
      <c r="C500">
        <v>6</v>
      </c>
      <c r="D500">
        <v>6</v>
      </c>
    </row>
    <row r="501" spans="3:4" x14ac:dyDescent="0.35">
      <c r="C501">
        <v>8</v>
      </c>
      <c r="D501">
        <v>10</v>
      </c>
    </row>
    <row r="502" spans="3:4" x14ac:dyDescent="0.35">
      <c r="C502">
        <v>2</v>
      </c>
      <c r="D502">
        <v>2</v>
      </c>
    </row>
    <row r="503" spans="3:4" x14ac:dyDescent="0.35">
      <c r="C503">
        <v>2</v>
      </c>
      <c r="D503">
        <v>3</v>
      </c>
    </row>
    <row r="504" spans="3:4" x14ac:dyDescent="0.35">
      <c r="C504">
        <v>3</v>
      </c>
      <c r="D504">
        <v>5</v>
      </c>
    </row>
    <row r="505" spans="3:4" x14ac:dyDescent="0.35">
      <c r="C505">
        <v>3</v>
      </c>
      <c r="D505">
        <v>2</v>
      </c>
    </row>
    <row r="506" spans="3:4" x14ac:dyDescent="0.35">
      <c r="C506">
        <v>3</v>
      </c>
      <c r="D506">
        <v>4</v>
      </c>
    </row>
    <row r="507" spans="3:4" x14ac:dyDescent="0.35">
      <c r="C507">
        <v>4</v>
      </c>
      <c r="D507">
        <v>8</v>
      </c>
    </row>
    <row r="508" spans="3:4" x14ac:dyDescent="0.35">
      <c r="C508">
        <v>5</v>
      </c>
      <c r="D508">
        <v>3</v>
      </c>
    </row>
    <row r="509" spans="3:4" x14ac:dyDescent="0.35">
      <c r="C509">
        <v>1</v>
      </c>
      <c r="D509">
        <v>4</v>
      </c>
    </row>
    <row r="510" spans="3:4" x14ac:dyDescent="0.35">
      <c r="C510">
        <v>8</v>
      </c>
      <c r="D510">
        <v>7</v>
      </c>
    </row>
    <row r="511" spans="3:4" x14ac:dyDescent="0.35">
      <c r="C511">
        <v>7</v>
      </c>
      <c r="D511">
        <v>7</v>
      </c>
    </row>
    <row r="512" spans="3:4" x14ac:dyDescent="0.35">
      <c r="C512">
        <v>5</v>
      </c>
      <c r="D512">
        <v>7</v>
      </c>
    </row>
    <row r="513" spans="3:4" x14ac:dyDescent="0.35">
      <c r="C513">
        <v>7</v>
      </c>
      <c r="D513">
        <v>8</v>
      </c>
    </row>
    <row r="514" spans="3:4" x14ac:dyDescent="0.35">
      <c r="C514">
        <v>0</v>
      </c>
      <c r="D514">
        <v>0</v>
      </c>
    </row>
    <row r="515" spans="3:4" x14ac:dyDescent="0.35">
      <c r="C515">
        <v>4</v>
      </c>
      <c r="D515">
        <v>4</v>
      </c>
    </row>
    <row r="516" spans="3:4" x14ac:dyDescent="0.35">
      <c r="D516">
        <v>10</v>
      </c>
    </row>
    <row r="517" spans="3:4" x14ac:dyDescent="0.35">
      <c r="C517">
        <v>6</v>
      </c>
      <c r="D517">
        <v>7</v>
      </c>
    </row>
    <row r="518" spans="3:4" x14ac:dyDescent="0.35">
      <c r="C518">
        <v>4</v>
      </c>
      <c r="D518">
        <v>4</v>
      </c>
    </row>
    <row r="519" spans="3:4" x14ac:dyDescent="0.35">
      <c r="C519">
        <v>5</v>
      </c>
      <c r="D519">
        <v>4</v>
      </c>
    </row>
    <row r="520" spans="3:4" x14ac:dyDescent="0.35">
      <c r="C520">
        <v>5</v>
      </c>
      <c r="D520">
        <v>6</v>
      </c>
    </row>
    <row r="521" spans="3:4" x14ac:dyDescent="0.35">
      <c r="C521">
        <v>6</v>
      </c>
      <c r="D521">
        <v>7</v>
      </c>
    </row>
    <row r="522" spans="3:4" x14ac:dyDescent="0.35">
      <c r="C522">
        <v>8</v>
      </c>
      <c r="D522">
        <v>10</v>
      </c>
    </row>
    <row r="523" spans="3:4" x14ac:dyDescent="0.35">
      <c r="C523">
        <v>8</v>
      </c>
      <c r="D523">
        <v>8</v>
      </c>
    </row>
    <row r="524" spans="3:4" x14ac:dyDescent="0.35">
      <c r="C524">
        <v>7</v>
      </c>
      <c r="D524">
        <v>8</v>
      </c>
    </row>
    <row r="525" spans="3:4" x14ac:dyDescent="0.35">
      <c r="C525">
        <v>6</v>
      </c>
      <c r="D525">
        <v>9</v>
      </c>
    </row>
    <row r="526" spans="3:4" x14ac:dyDescent="0.35">
      <c r="C526">
        <v>4</v>
      </c>
      <c r="D526">
        <v>2</v>
      </c>
    </row>
    <row r="527" spans="3:4" x14ac:dyDescent="0.35">
      <c r="C527">
        <v>2</v>
      </c>
      <c r="D527">
        <v>3</v>
      </c>
    </row>
    <row r="528" spans="3:4" x14ac:dyDescent="0.35">
      <c r="C528">
        <v>0</v>
      </c>
      <c r="D528">
        <v>0</v>
      </c>
    </row>
    <row r="529" spans="3:4" x14ac:dyDescent="0.35">
      <c r="C529">
        <v>2</v>
      </c>
      <c r="D529">
        <v>2</v>
      </c>
    </row>
    <row r="530" spans="3:4" x14ac:dyDescent="0.35">
      <c r="C530">
        <v>6</v>
      </c>
      <c r="D530">
        <v>7</v>
      </c>
    </row>
    <row r="531" spans="3:4" x14ac:dyDescent="0.35">
      <c r="C531">
        <v>0</v>
      </c>
      <c r="D531">
        <v>0</v>
      </c>
    </row>
    <row r="532" spans="3:4" x14ac:dyDescent="0.35">
      <c r="C532">
        <v>5</v>
      </c>
      <c r="D532">
        <v>6</v>
      </c>
    </row>
    <row r="533" spans="3:4" x14ac:dyDescent="0.35">
      <c r="C533">
        <v>8</v>
      </c>
      <c r="D533">
        <v>8</v>
      </c>
    </row>
    <row r="534" spans="3:4" x14ac:dyDescent="0.35">
      <c r="C534">
        <v>7</v>
      </c>
      <c r="D534">
        <v>10</v>
      </c>
    </row>
    <row r="535" spans="3:4" x14ac:dyDescent="0.35">
      <c r="C535">
        <v>8</v>
      </c>
      <c r="D535">
        <v>8</v>
      </c>
    </row>
    <row r="536" spans="3:4" x14ac:dyDescent="0.35">
      <c r="C536">
        <v>10</v>
      </c>
      <c r="D536">
        <v>8</v>
      </c>
    </row>
    <row r="537" spans="3:4" x14ac:dyDescent="0.35">
      <c r="C537">
        <v>4</v>
      </c>
      <c r="D537">
        <v>5</v>
      </c>
    </row>
    <row r="538" spans="3:4" x14ac:dyDescent="0.35">
      <c r="C538">
        <v>10</v>
      </c>
      <c r="D538">
        <v>10</v>
      </c>
    </row>
    <row r="539" spans="3:4" x14ac:dyDescent="0.35">
      <c r="C539">
        <v>3</v>
      </c>
      <c r="D539">
        <v>5</v>
      </c>
    </row>
    <row r="540" spans="3:4" x14ac:dyDescent="0.35">
      <c r="C540">
        <v>7</v>
      </c>
      <c r="D540">
        <v>9</v>
      </c>
    </row>
    <row r="541" spans="3:4" x14ac:dyDescent="0.35">
      <c r="C541">
        <v>7</v>
      </c>
      <c r="D541">
        <v>6</v>
      </c>
    </row>
    <row r="542" spans="3:4" x14ac:dyDescent="0.35">
      <c r="C542">
        <v>3</v>
      </c>
      <c r="D542">
        <v>6</v>
      </c>
    </row>
    <row r="543" spans="3:4" x14ac:dyDescent="0.35">
      <c r="C543">
        <v>2</v>
      </c>
      <c r="D543">
        <v>4</v>
      </c>
    </row>
    <row r="544" spans="3:4" x14ac:dyDescent="0.35">
      <c r="C544">
        <v>3</v>
      </c>
      <c r="D544">
        <v>3</v>
      </c>
    </row>
    <row r="545" spans="3:4" x14ac:dyDescent="0.35">
      <c r="C545">
        <v>4</v>
      </c>
      <c r="D545">
        <v>6</v>
      </c>
    </row>
    <row r="546" spans="3:4" x14ac:dyDescent="0.35">
      <c r="C546">
        <v>3</v>
      </c>
      <c r="D546">
        <v>3</v>
      </c>
    </row>
    <row r="547" spans="3:4" x14ac:dyDescent="0.35">
      <c r="C547">
        <v>5</v>
      </c>
      <c r="D547">
        <v>9</v>
      </c>
    </row>
    <row r="548" spans="3:4" x14ac:dyDescent="0.35">
      <c r="C548">
        <v>4</v>
      </c>
      <c r="D548">
        <v>6</v>
      </c>
    </row>
    <row r="549" spans="3:4" x14ac:dyDescent="0.35">
      <c r="C549">
        <v>5</v>
      </c>
      <c r="D549">
        <v>3</v>
      </c>
    </row>
    <row r="550" spans="3:4" x14ac:dyDescent="0.35">
      <c r="C550">
        <v>4</v>
      </c>
      <c r="D550">
        <v>4</v>
      </c>
    </row>
    <row r="551" spans="3:4" x14ac:dyDescent="0.35">
      <c r="C551">
        <v>1</v>
      </c>
      <c r="D551">
        <v>1</v>
      </c>
    </row>
    <row r="552" spans="3:4" x14ac:dyDescent="0.35">
      <c r="C552">
        <v>0</v>
      </c>
      <c r="D552">
        <v>0</v>
      </c>
    </row>
    <row r="553" spans="3:4" x14ac:dyDescent="0.35">
      <c r="C553">
        <v>7</v>
      </c>
      <c r="D553">
        <v>9</v>
      </c>
    </row>
    <row r="554" spans="3:4" x14ac:dyDescent="0.35">
      <c r="C554">
        <v>5</v>
      </c>
      <c r="D554">
        <v>6</v>
      </c>
    </row>
    <row r="555" spans="3:4" x14ac:dyDescent="0.35">
      <c r="C555">
        <v>7</v>
      </c>
      <c r="D555">
        <v>9</v>
      </c>
    </row>
    <row r="556" spans="3:4" x14ac:dyDescent="0.35">
      <c r="C556">
        <v>5</v>
      </c>
      <c r="D556">
        <v>5</v>
      </c>
    </row>
    <row r="557" spans="3:4" x14ac:dyDescent="0.35">
      <c r="C557">
        <v>4</v>
      </c>
      <c r="D557">
        <v>5</v>
      </c>
    </row>
    <row r="558" spans="3:4" x14ac:dyDescent="0.35">
      <c r="C558">
        <v>0</v>
      </c>
      <c r="D558">
        <v>0</v>
      </c>
    </row>
    <row r="559" spans="3:4" x14ac:dyDescent="0.35">
      <c r="C559">
        <v>6</v>
      </c>
      <c r="D559">
        <v>6</v>
      </c>
    </row>
    <row r="560" spans="3:4" x14ac:dyDescent="0.35">
      <c r="C560">
        <v>2</v>
      </c>
      <c r="D560">
        <v>0</v>
      </c>
    </row>
    <row r="561" spans="3:4" x14ac:dyDescent="0.35">
      <c r="C561">
        <v>7</v>
      </c>
      <c r="D561">
        <v>6</v>
      </c>
    </row>
    <row r="562" spans="3:4" x14ac:dyDescent="0.35">
      <c r="C562">
        <v>8</v>
      </c>
      <c r="D562">
        <v>9</v>
      </c>
    </row>
    <row r="563" spans="3:4" x14ac:dyDescent="0.35">
      <c r="C563">
        <v>0</v>
      </c>
      <c r="D563">
        <v>4</v>
      </c>
    </row>
    <row r="564" spans="3:4" x14ac:dyDescent="0.35">
      <c r="C564">
        <v>4</v>
      </c>
      <c r="D564">
        <v>4</v>
      </c>
    </row>
    <row r="565" spans="3:4" x14ac:dyDescent="0.35">
      <c r="C565">
        <v>6</v>
      </c>
      <c r="D565">
        <v>3</v>
      </c>
    </row>
    <row r="566" spans="3:4" x14ac:dyDescent="0.35">
      <c r="C566">
        <v>5</v>
      </c>
      <c r="D566">
        <v>5</v>
      </c>
    </row>
    <row r="567" spans="3:4" x14ac:dyDescent="0.35">
      <c r="C567">
        <v>5</v>
      </c>
      <c r="D567">
        <v>5</v>
      </c>
    </row>
    <row r="568" spans="3:4" x14ac:dyDescent="0.35">
      <c r="C568">
        <v>8</v>
      </c>
      <c r="D568">
        <v>9</v>
      </c>
    </row>
    <row r="569" spans="3:4" x14ac:dyDescent="0.35">
      <c r="C569">
        <v>0</v>
      </c>
      <c r="D569">
        <v>3</v>
      </c>
    </row>
    <row r="570" spans="3:4" x14ac:dyDescent="0.35">
      <c r="C570">
        <v>3</v>
      </c>
      <c r="D570">
        <v>4</v>
      </c>
    </row>
    <row r="571" spans="3:4" x14ac:dyDescent="0.35">
      <c r="C571">
        <v>6</v>
      </c>
      <c r="D571">
        <v>6</v>
      </c>
    </row>
    <row r="572" spans="3:4" x14ac:dyDescent="0.35">
      <c r="C572">
        <v>9</v>
      </c>
      <c r="D572">
        <v>9</v>
      </c>
    </row>
    <row r="573" spans="3:4" x14ac:dyDescent="0.35">
      <c r="C573">
        <v>7</v>
      </c>
      <c r="D573">
        <v>9</v>
      </c>
    </row>
    <row r="574" spans="3:4" x14ac:dyDescent="0.35">
      <c r="C574">
        <v>8</v>
      </c>
      <c r="D574">
        <v>9</v>
      </c>
    </row>
    <row r="575" spans="3:4" x14ac:dyDescent="0.35">
      <c r="C575">
        <v>9</v>
      </c>
      <c r="D575">
        <v>10</v>
      </c>
    </row>
    <row r="576" spans="3:4" x14ac:dyDescent="0.35">
      <c r="C576">
        <v>5</v>
      </c>
      <c r="D576">
        <v>3</v>
      </c>
    </row>
    <row r="577" spans="3:4" x14ac:dyDescent="0.35">
      <c r="C577">
        <v>4</v>
      </c>
      <c r="D577">
        <v>5</v>
      </c>
    </row>
    <row r="578" spans="3:4" x14ac:dyDescent="0.35">
      <c r="C578">
        <v>2</v>
      </c>
      <c r="D578">
        <v>2</v>
      </c>
    </row>
    <row r="579" spans="3:4" x14ac:dyDescent="0.35">
      <c r="C579">
        <v>5</v>
      </c>
      <c r="D579">
        <v>9</v>
      </c>
    </row>
    <row r="580" spans="3:4" x14ac:dyDescent="0.35">
      <c r="C580">
        <v>4</v>
      </c>
      <c r="D580">
        <v>6</v>
      </c>
    </row>
    <row r="581" spans="3:4" x14ac:dyDescent="0.35">
      <c r="C581">
        <v>1</v>
      </c>
      <c r="D581">
        <v>2</v>
      </c>
    </row>
    <row r="582" spans="3:4" x14ac:dyDescent="0.35">
      <c r="C582">
        <v>0</v>
      </c>
      <c r="D582">
        <v>0</v>
      </c>
    </row>
    <row r="583" spans="3:4" x14ac:dyDescent="0.35">
      <c r="C583">
        <v>4</v>
      </c>
      <c r="D583">
        <v>7</v>
      </c>
    </row>
    <row r="584" spans="3:4" x14ac:dyDescent="0.35">
      <c r="C584">
        <v>1</v>
      </c>
      <c r="D584">
        <v>1</v>
      </c>
    </row>
    <row r="585" spans="3:4" x14ac:dyDescent="0.35">
      <c r="C585">
        <v>5</v>
      </c>
      <c r="D585">
        <v>6</v>
      </c>
    </row>
    <row r="586" spans="3:4" x14ac:dyDescent="0.35">
      <c r="C586">
        <v>0</v>
      </c>
      <c r="D586">
        <v>0</v>
      </c>
    </row>
    <row r="587" spans="3:4" x14ac:dyDescent="0.35">
      <c r="C587">
        <v>5</v>
      </c>
      <c r="D587">
        <v>8</v>
      </c>
    </row>
    <row r="588" spans="3:4" x14ac:dyDescent="0.35">
      <c r="C588">
        <v>5</v>
      </c>
      <c r="D588">
        <v>6</v>
      </c>
    </row>
    <row r="589" spans="3:4" x14ac:dyDescent="0.35">
      <c r="C589">
        <v>4</v>
      </c>
      <c r="D589">
        <v>2</v>
      </c>
    </row>
    <row r="590" spans="3:4" x14ac:dyDescent="0.35">
      <c r="C590">
        <v>3</v>
      </c>
      <c r="D590">
        <v>3</v>
      </c>
    </row>
    <row r="591" spans="3:4" x14ac:dyDescent="0.35">
      <c r="C591">
        <v>7</v>
      </c>
      <c r="D591">
        <v>7</v>
      </c>
    </row>
    <row r="593" spans="3:4" x14ac:dyDescent="0.35">
      <c r="C593">
        <v>3</v>
      </c>
      <c r="D593">
        <v>3</v>
      </c>
    </row>
    <row r="594" spans="3:4" x14ac:dyDescent="0.35">
      <c r="C594">
        <v>7</v>
      </c>
      <c r="D594">
        <v>9</v>
      </c>
    </row>
    <row r="595" spans="3:4" x14ac:dyDescent="0.35">
      <c r="C595">
        <v>10</v>
      </c>
      <c r="D595">
        <v>10</v>
      </c>
    </row>
    <row r="596" spans="3:4" x14ac:dyDescent="0.35">
      <c r="C596">
        <v>1</v>
      </c>
      <c r="D596">
        <v>3</v>
      </c>
    </row>
    <row r="597" spans="3:4" x14ac:dyDescent="0.35">
      <c r="C597">
        <v>2</v>
      </c>
      <c r="D597">
        <v>1</v>
      </c>
    </row>
    <row r="598" spans="3:4" x14ac:dyDescent="0.35">
      <c r="C598">
        <v>8</v>
      </c>
      <c r="D598">
        <v>9</v>
      </c>
    </row>
    <row r="599" spans="3:4" x14ac:dyDescent="0.35">
      <c r="C599">
        <v>5</v>
      </c>
      <c r="D599">
        <v>8</v>
      </c>
    </row>
    <row r="600" spans="3:4" x14ac:dyDescent="0.35">
      <c r="C600">
        <v>3</v>
      </c>
      <c r="D600">
        <v>6</v>
      </c>
    </row>
    <row r="601" spans="3:4" x14ac:dyDescent="0.35">
      <c r="C601">
        <v>5</v>
      </c>
      <c r="D601">
        <v>5</v>
      </c>
    </row>
    <row r="602" spans="3:4" x14ac:dyDescent="0.35">
      <c r="C602">
        <v>0</v>
      </c>
      <c r="D602">
        <v>10</v>
      </c>
    </row>
    <row r="603" spans="3:4" x14ac:dyDescent="0.35">
      <c r="C603">
        <v>1</v>
      </c>
      <c r="D603">
        <v>0</v>
      </c>
    </row>
    <row r="604" spans="3:4" x14ac:dyDescent="0.35">
      <c r="C604">
        <v>8</v>
      </c>
      <c r="D604">
        <v>10</v>
      </c>
    </row>
    <row r="605" spans="3:4" x14ac:dyDescent="0.35">
      <c r="C605">
        <v>6</v>
      </c>
      <c r="D605">
        <v>3</v>
      </c>
    </row>
    <row r="606" spans="3:4" x14ac:dyDescent="0.35">
      <c r="C606">
        <v>3</v>
      </c>
      <c r="D606">
        <v>4</v>
      </c>
    </row>
    <row r="607" spans="3:4" x14ac:dyDescent="0.35">
      <c r="C607">
        <v>5</v>
      </c>
      <c r="D607">
        <v>3</v>
      </c>
    </row>
    <row r="608" spans="3:4" x14ac:dyDescent="0.35">
      <c r="C608">
        <v>1</v>
      </c>
      <c r="D608">
        <v>1</v>
      </c>
    </row>
    <row r="609" spans="3:4" x14ac:dyDescent="0.35">
      <c r="C609">
        <v>7</v>
      </c>
      <c r="D609">
        <v>8</v>
      </c>
    </row>
    <row r="610" spans="3:4" x14ac:dyDescent="0.35">
      <c r="C610">
        <v>9</v>
      </c>
      <c r="D610">
        <v>10</v>
      </c>
    </row>
    <row r="611" spans="3:4" x14ac:dyDescent="0.35">
      <c r="C611">
        <v>10</v>
      </c>
      <c r="D611">
        <v>10</v>
      </c>
    </row>
    <row r="612" spans="3:4" x14ac:dyDescent="0.35">
      <c r="C612">
        <v>9</v>
      </c>
      <c r="D612">
        <v>10</v>
      </c>
    </row>
    <row r="613" spans="3:4" x14ac:dyDescent="0.35">
      <c r="C613">
        <v>9</v>
      </c>
      <c r="D613">
        <v>9</v>
      </c>
    </row>
    <row r="614" spans="3:4" x14ac:dyDescent="0.35">
      <c r="C614">
        <v>4</v>
      </c>
      <c r="D614">
        <v>2</v>
      </c>
    </row>
    <row r="615" spans="3:4" x14ac:dyDescent="0.35">
      <c r="C615">
        <v>7</v>
      </c>
      <c r="D615">
        <v>7</v>
      </c>
    </row>
    <row r="616" spans="3:4" x14ac:dyDescent="0.35">
      <c r="C616">
        <v>5</v>
      </c>
      <c r="D616">
        <v>9</v>
      </c>
    </row>
    <row r="617" spans="3:4" x14ac:dyDescent="0.35">
      <c r="C617">
        <v>6</v>
      </c>
      <c r="D617">
        <v>6</v>
      </c>
    </row>
    <row r="618" spans="3:4" x14ac:dyDescent="0.35">
      <c r="C618">
        <v>8</v>
      </c>
      <c r="D618">
        <v>8</v>
      </c>
    </row>
    <row r="619" spans="3:4" x14ac:dyDescent="0.35">
      <c r="C619">
        <v>9</v>
      </c>
      <c r="D619">
        <v>4</v>
      </c>
    </row>
    <row r="620" spans="3:4" x14ac:dyDescent="0.35">
      <c r="C620">
        <v>4</v>
      </c>
      <c r="D620">
        <v>4</v>
      </c>
    </row>
    <row r="621" spans="3:4" x14ac:dyDescent="0.35">
      <c r="C621">
        <v>4</v>
      </c>
      <c r="D621">
        <v>5</v>
      </c>
    </row>
    <row r="622" spans="3:4" x14ac:dyDescent="0.35">
      <c r="C622">
        <v>3</v>
      </c>
      <c r="D622">
        <v>4</v>
      </c>
    </row>
    <row r="623" spans="3:4" x14ac:dyDescent="0.35">
      <c r="C623">
        <v>7</v>
      </c>
      <c r="D623">
        <v>7</v>
      </c>
    </row>
    <row r="624" spans="3:4" x14ac:dyDescent="0.35">
      <c r="C624">
        <v>4</v>
      </c>
      <c r="D624">
        <v>3</v>
      </c>
    </row>
    <row r="625" spans="3:4" x14ac:dyDescent="0.35">
      <c r="C625">
        <v>0</v>
      </c>
      <c r="D625">
        <v>0</v>
      </c>
    </row>
    <row r="626" spans="3:4" x14ac:dyDescent="0.35">
      <c r="C626">
        <v>4</v>
      </c>
      <c r="D626">
        <v>5</v>
      </c>
    </row>
    <row r="627" spans="3:4" x14ac:dyDescent="0.35">
      <c r="C627">
        <v>5</v>
      </c>
      <c r="D627">
        <v>7</v>
      </c>
    </row>
    <row r="628" spans="3:4" x14ac:dyDescent="0.35">
      <c r="C628">
        <v>4</v>
      </c>
      <c r="D628">
        <v>6</v>
      </c>
    </row>
    <row r="629" spans="3:4" x14ac:dyDescent="0.35">
      <c r="C629">
        <v>1</v>
      </c>
      <c r="D629">
        <v>2</v>
      </c>
    </row>
    <row r="630" spans="3:4" x14ac:dyDescent="0.35">
      <c r="C630">
        <v>4</v>
      </c>
      <c r="D630">
        <v>3</v>
      </c>
    </row>
    <row r="631" spans="3:4" x14ac:dyDescent="0.35">
      <c r="C631">
        <v>6</v>
      </c>
      <c r="D631">
        <v>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K2" sqref="K2"/>
    </sheetView>
  </sheetViews>
  <sheetFormatPr defaultRowHeight="14.5" x14ac:dyDescent="0.35"/>
  <cols>
    <col min="1" max="1" width="11.6328125" customWidth="1"/>
    <col min="2" max="2" width="18.7265625" customWidth="1"/>
    <col min="4" max="4" width="15.54296875" customWidth="1"/>
    <col min="5" max="5" width="15.1796875" customWidth="1"/>
    <col min="7" max="7" width="13.6328125" customWidth="1"/>
    <col min="8" max="8" width="11.90625" customWidth="1"/>
    <col min="10" max="10" width="13.90625" customWidth="1"/>
  </cols>
  <sheetData>
    <row r="1" spans="1:10" ht="29" x14ac:dyDescent="0.35">
      <c r="A1" s="17" t="s">
        <v>727</v>
      </c>
      <c r="B1" s="17" t="s">
        <v>728</v>
      </c>
      <c r="D1" s="19" t="s">
        <v>729</v>
      </c>
      <c r="E1" s="19" t="s">
        <v>730</v>
      </c>
      <c r="G1" s="19" t="s">
        <v>731</v>
      </c>
      <c r="H1" s="19" t="s">
        <v>732</v>
      </c>
      <c r="J1" s="20" t="s">
        <v>734</v>
      </c>
    </row>
    <row r="2" spans="1:10" x14ac:dyDescent="0.35">
      <c r="A2" s="16">
        <f>COUNTIF(data!L:L,"Yes") / COUNTA(data!L:L)</f>
        <v>0.58954041204437402</v>
      </c>
      <c r="B2" s="16">
        <f>COUNTIF(data!L:L,"NO")/COUNTA(data!L:L)</f>
        <v>0.40887480190174325</v>
      </c>
      <c r="D2" s="5">
        <f>AVERAGEIFS(data!N:N,data!L:L,"yes")</f>
        <v>54.075675675675676</v>
      </c>
      <c r="E2" s="5">
        <f>AVERAGEIFS(data!N:N,data!L:L,"NO")</f>
        <v>52.724806201550386</v>
      </c>
      <c r="G2" s="18">
        <f>AVERAGEIFS(data!Z:Z,data!L:L,"yes")</f>
        <v>30.637096774193548</v>
      </c>
      <c r="H2" s="18">
        <f>AVERAGEIFS(data!Z:Z,data!L:L,"no")</f>
        <v>28.755813953488371</v>
      </c>
      <c r="J2" s="7" t="s">
        <v>31</v>
      </c>
    </row>
    <row r="3" spans="1:10" x14ac:dyDescent="0.35">
      <c r="J3" s="7" t="s">
        <v>721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1"/>
  <sheetViews>
    <sheetView workbookViewId="0">
      <selection activeCell="F10" sqref="F10"/>
    </sheetView>
  </sheetViews>
  <sheetFormatPr defaultRowHeight="14.5" x14ac:dyDescent="0.35"/>
  <cols>
    <col min="1" max="1" width="19.7265625" customWidth="1"/>
    <col min="2" max="2" width="10.1796875" bestFit="1" customWidth="1"/>
  </cols>
  <sheetData>
    <row r="3" spans="1:2" x14ac:dyDescent="0.35">
      <c r="A3" s="6" t="s">
        <v>733</v>
      </c>
      <c r="B3" s="10"/>
    </row>
    <row r="4" spans="1:2" x14ac:dyDescent="0.35">
      <c r="A4" s="7" t="s">
        <v>30</v>
      </c>
    </row>
    <row r="5" spans="1:2" x14ac:dyDescent="0.35">
      <c r="A5" s="7" t="s">
        <v>300</v>
      </c>
    </row>
    <row r="6" spans="1:2" x14ac:dyDescent="0.35">
      <c r="A6" s="7" t="s">
        <v>48</v>
      </c>
    </row>
    <row r="7" spans="1:2" x14ac:dyDescent="0.35">
      <c r="A7" s="7" t="s">
        <v>63</v>
      </c>
    </row>
    <row r="8" spans="1:2" x14ac:dyDescent="0.35">
      <c r="A8" s="7" t="s">
        <v>325</v>
      </c>
    </row>
    <row r="9" spans="1:2" x14ac:dyDescent="0.35">
      <c r="A9" s="7" t="s">
        <v>50</v>
      </c>
    </row>
    <row r="10" spans="1:2" x14ac:dyDescent="0.35">
      <c r="A10" s="7" t="s">
        <v>86</v>
      </c>
    </row>
    <row r="11" spans="1:2" x14ac:dyDescent="0.35">
      <c r="A11" s="7" t="s">
        <v>721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25"/>
  <sheetViews>
    <sheetView topLeftCell="A7" workbookViewId="0">
      <selection activeCell="G11" sqref="G11"/>
    </sheetView>
  </sheetViews>
  <sheetFormatPr defaultRowHeight="14.5" x14ac:dyDescent="0.35"/>
  <cols>
    <col min="1" max="1" width="21.453125" customWidth="1"/>
  </cols>
  <sheetData>
    <row r="3" spans="1:1" x14ac:dyDescent="0.35">
      <c r="A3" s="6" t="s">
        <v>720</v>
      </c>
    </row>
    <row r="4" spans="1:1" x14ac:dyDescent="0.35">
      <c r="A4" s="7">
        <v>20</v>
      </c>
    </row>
    <row r="5" spans="1:1" x14ac:dyDescent="0.35">
      <c r="A5" s="7">
        <v>53</v>
      </c>
    </row>
    <row r="6" spans="1:1" x14ac:dyDescent="0.35">
      <c r="A6" s="7">
        <v>53.350793650793648</v>
      </c>
    </row>
    <row r="7" spans="1:1" x14ac:dyDescent="0.35">
      <c r="A7" s="7">
        <v>76</v>
      </c>
    </row>
    <row r="8" spans="1:1" x14ac:dyDescent="0.35">
      <c r="A8" s="7">
        <v>96</v>
      </c>
    </row>
    <row r="9" spans="1:1" x14ac:dyDescent="0.35">
      <c r="A9" s="7">
        <v>116</v>
      </c>
    </row>
    <row r="10" spans="1:1" x14ac:dyDescent="0.35">
      <c r="A10" s="7">
        <v>138</v>
      </c>
    </row>
    <row r="11" spans="1:1" x14ac:dyDescent="0.35">
      <c r="A11" s="7">
        <v>188</v>
      </c>
    </row>
    <row r="12" spans="1:1" x14ac:dyDescent="0.35">
      <c r="A12" s="7">
        <v>33611</v>
      </c>
    </row>
    <row r="13" spans="1:1" x14ac:dyDescent="0.35">
      <c r="A13" s="8" t="s">
        <v>725</v>
      </c>
    </row>
    <row r="14" spans="1:1" x14ac:dyDescent="0.35">
      <c r="A14" s="7" t="s">
        <v>718</v>
      </c>
    </row>
    <row r="15" spans="1:1" x14ac:dyDescent="0.35">
      <c r="A15" s="8" t="s">
        <v>725</v>
      </c>
    </row>
    <row r="16" spans="1:1" x14ac:dyDescent="0.35">
      <c r="A16" s="7" t="s">
        <v>717</v>
      </c>
    </row>
    <row r="17" spans="1:1" x14ac:dyDescent="0.35">
      <c r="A17" s="8" t="s">
        <v>725</v>
      </c>
    </row>
    <row r="18" spans="1:1" x14ac:dyDescent="0.35">
      <c r="A18" s="7" t="s">
        <v>128</v>
      </c>
    </row>
    <row r="19" spans="1:1" x14ac:dyDescent="0.35">
      <c r="A19" s="8" t="s">
        <v>48</v>
      </c>
    </row>
    <row r="20" spans="1:1" x14ac:dyDescent="0.35">
      <c r="A20" s="8" t="s">
        <v>63</v>
      </c>
    </row>
    <row r="21" spans="1:1" x14ac:dyDescent="0.35">
      <c r="A21" s="7" t="s">
        <v>716</v>
      </c>
    </row>
    <row r="22" spans="1:1" x14ac:dyDescent="0.35">
      <c r="A22" s="8" t="s">
        <v>725</v>
      </c>
    </row>
    <row r="23" spans="1:1" x14ac:dyDescent="0.35">
      <c r="A23" s="7" t="s">
        <v>722</v>
      </c>
    </row>
    <row r="24" spans="1:1" x14ac:dyDescent="0.35">
      <c r="A24" s="8" t="s">
        <v>725</v>
      </c>
    </row>
    <row r="25" spans="1:1" x14ac:dyDescent="0.35">
      <c r="A25" s="7" t="s">
        <v>721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5"/>
  <sheetViews>
    <sheetView workbookViewId="0">
      <selection activeCell="C14" sqref="C14"/>
    </sheetView>
  </sheetViews>
  <sheetFormatPr defaultRowHeight="14.5" x14ac:dyDescent="0.35"/>
  <cols>
    <col min="1" max="1" width="18.08984375" bestFit="1" customWidth="1"/>
    <col min="2" max="2" width="18.90625" bestFit="1" customWidth="1"/>
    <col min="3" max="3" width="23.7265625" bestFit="1" customWidth="1"/>
  </cols>
  <sheetData>
    <row r="3" spans="1:3" x14ac:dyDescent="0.35">
      <c r="A3" s="6" t="s">
        <v>11</v>
      </c>
      <c r="B3" s="6" t="s">
        <v>16</v>
      </c>
      <c r="C3" t="s">
        <v>726</v>
      </c>
    </row>
    <row r="4" spans="1:3" x14ac:dyDescent="0.35">
      <c r="A4" t="s">
        <v>41</v>
      </c>
      <c r="C4" s="9">
        <v>258</v>
      </c>
    </row>
    <row r="5" spans="1:3" x14ac:dyDescent="0.35">
      <c r="A5" t="s">
        <v>31</v>
      </c>
      <c r="C5" s="9">
        <v>372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0"/>
  <sheetViews>
    <sheetView workbookViewId="0">
      <selection activeCell="E631" sqref="E631"/>
    </sheetView>
  </sheetViews>
  <sheetFormatPr defaultRowHeight="14.5" x14ac:dyDescent="0.35"/>
  <cols>
    <col min="1" max="1" width="17" customWidth="1"/>
    <col min="3" max="3" width="18.26953125" customWidth="1"/>
    <col min="5" max="5" width="24.453125" customWidth="1"/>
  </cols>
  <sheetData>
    <row r="1" spans="1:5" ht="29" x14ac:dyDescent="0.35">
      <c r="A1" s="3" t="s">
        <v>723</v>
      </c>
      <c r="C1" s="13" t="s">
        <v>724</v>
      </c>
      <c r="E1" s="3" t="s">
        <v>13</v>
      </c>
    </row>
    <row r="2" spans="1:5" x14ac:dyDescent="0.35">
      <c r="A2" s="4">
        <f>SUM(data!N2:N631)</f>
        <v>33611</v>
      </c>
      <c r="C2">
        <v>188</v>
      </c>
      <c r="E2">
        <v>188</v>
      </c>
    </row>
    <row r="3" spans="1:5" x14ac:dyDescent="0.35">
      <c r="C3">
        <v>138</v>
      </c>
      <c r="E3">
        <v>188</v>
      </c>
    </row>
    <row r="4" spans="1:5" ht="29" x14ac:dyDescent="0.35">
      <c r="A4" s="12" t="s">
        <v>738</v>
      </c>
      <c r="C4">
        <v>116</v>
      </c>
      <c r="E4">
        <v>188</v>
      </c>
    </row>
    <row r="5" spans="1:5" x14ac:dyDescent="0.35">
      <c r="A5" s="4">
        <f>AVERAGE(data!N:N)</f>
        <v>53.520700636942678</v>
      </c>
      <c r="C5">
        <v>96</v>
      </c>
      <c r="E5">
        <v>188</v>
      </c>
    </row>
    <row r="6" spans="1:5" x14ac:dyDescent="0.35">
      <c r="C6">
        <v>76</v>
      </c>
      <c r="E6">
        <v>188</v>
      </c>
    </row>
    <row r="7" spans="1:5" ht="29" x14ac:dyDescent="0.35">
      <c r="A7" s="11" t="s">
        <v>739</v>
      </c>
      <c r="E7">
        <v>188</v>
      </c>
    </row>
    <row r="8" spans="1:5" x14ac:dyDescent="0.35">
      <c r="A8" s="4">
        <f>MEDIAN(data!N:N)</f>
        <v>53</v>
      </c>
      <c r="E8">
        <v>188</v>
      </c>
    </row>
    <row r="9" spans="1:5" x14ac:dyDescent="0.35">
      <c r="E9">
        <v>188</v>
      </c>
    </row>
    <row r="10" spans="1:5" x14ac:dyDescent="0.35">
      <c r="A10" s="3" t="s">
        <v>719</v>
      </c>
      <c r="E10">
        <v>188</v>
      </c>
    </row>
    <row r="11" spans="1:5" x14ac:dyDescent="0.35">
      <c r="A11" s="4">
        <f>MODE(data!N:N)</f>
        <v>20</v>
      </c>
      <c r="E11">
        <v>188</v>
      </c>
    </row>
    <row r="12" spans="1:5" x14ac:dyDescent="0.35">
      <c r="E12">
        <v>188</v>
      </c>
    </row>
    <row r="13" spans="1:5" x14ac:dyDescent="0.35">
      <c r="E13">
        <v>188</v>
      </c>
    </row>
    <row r="14" spans="1:5" x14ac:dyDescent="0.35">
      <c r="E14">
        <v>188</v>
      </c>
    </row>
    <row r="15" spans="1:5" x14ac:dyDescent="0.35">
      <c r="E15">
        <v>188</v>
      </c>
    </row>
    <row r="16" spans="1:5" x14ac:dyDescent="0.35">
      <c r="E16">
        <v>188</v>
      </c>
    </row>
    <row r="17" spans="5:5" x14ac:dyDescent="0.35">
      <c r="E17">
        <v>138</v>
      </c>
    </row>
    <row r="18" spans="5:5" x14ac:dyDescent="0.35">
      <c r="E18">
        <v>138</v>
      </c>
    </row>
    <row r="19" spans="5:5" x14ac:dyDescent="0.35">
      <c r="E19">
        <v>138</v>
      </c>
    </row>
    <row r="20" spans="5:5" x14ac:dyDescent="0.35">
      <c r="E20">
        <v>138</v>
      </c>
    </row>
    <row r="21" spans="5:5" x14ac:dyDescent="0.35">
      <c r="E21">
        <v>138</v>
      </c>
    </row>
    <row r="22" spans="5:5" x14ac:dyDescent="0.35">
      <c r="E22">
        <v>138</v>
      </c>
    </row>
    <row r="23" spans="5:5" x14ac:dyDescent="0.35">
      <c r="E23">
        <v>138</v>
      </c>
    </row>
    <row r="24" spans="5:5" x14ac:dyDescent="0.35">
      <c r="E24">
        <v>138</v>
      </c>
    </row>
    <row r="25" spans="5:5" x14ac:dyDescent="0.35">
      <c r="E25">
        <v>138</v>
      </c>
    </row>
    <row r="26" spans="5:5" x14ac:dyDescent="0.35">
      <c r="E26">
        <v>138</v>
      </c>
    </row>
    <row r="27" spans="5:5" x14ac:dyDescent="0.35">
      <c r="E27">
        <v>138</v>
      </c>
    </row>
    <row r="28" spans="5:5" x14ac:dyDescent="0.35">
      <c r="E28">
        <v>138</v>
      </c>
    </row>
    <row r="29" spans="5:5" x14ac:dyDescent="0.35">
      <c r="E29">
        <v>138</v>
      </c>
    </row>
    <row r="30" spans="5:5" x14ac:dyDescent="0.35">
      <c r="E30">
        <v>138</v>
      </c>
    </row>
    <row r="31" spans="5:5" x14ac:dyDescent="0.35">
      <c r="E31">
        <v>138</v>
      </c>
    </row>
    <row r="32" spans="5:5" x14ac:dyDescent="0.35">
      <c r="E32">
        <v>138</v>
      </c>
    </row>
    <row r="33" spans="5:5" x14ac:dyDescent="0.35">
      <c r="E33">
        <v>138</v>
      </c>
    </row>
    <row r="34" spans="5:5" x14ac:dyDescent="0.35">
      <c r="E34">
        <v>116</v>
      </c>
    </row>
    <row r="35" spans="5:5" x14ac:dyDescent="0.35">
      <c r="E35">
        <v>116</v>
      </c>
    </row>
    <row r="36" spans="5:5" x14ac:dyDescent="0.35">
      <c r="E36">
        <v>116</v>
      </c>
    </row>
    <row r="37" spans="5:5" x14ac:dyDescent="0.35">
      <c r="E37">
        <v>116</v>
      </c>
    </row>
    <row r="38" spans="5:5" x14ac:dyDescent="0.35">
      <c r="E38">
        <v>116</v>
      </c>
    </row>
    <row r="39" spans="5:5" x14ac:dyDescent="0.35">
      <c r="E39">
        <v>116</v>
      </c>
    </row>
    <row r="40" spans="5:5" x14ac:dyDescent="0.35">
      <c r="E40">
        <v>116</v>
      </c>
    </row>
    <row r="41" spans="5:5" x14ac:dyDescent="0.35">
      <c r="E41">
        <v>116</v>
      </c>
    </row>
    <row r="42" spans="5:5" x14ac:dyDescent="0.35">
      <c r="E42">
        <v>116</v>
      </c>
    </row>
    <row r="43" spans="5:5" x14ac:dyDescent="0.35">
      <c r="E43">
        <v>116</v>
      </c>
    </row>
    <row r="44" spans="5:5" x14ac:dyDescent="0.35">
      <c r="E44">
        <v>116</v>
      </c>
    </row>
    <row r="45" spans="5:5" x14ac:dyDescent="0.35">
      <c r="E45">
        <v>116</v>
      </c>
    </row>
    <row r="46" spans="5:5" x14ac:dyDescent="0.35">
      <c r="E46">
        <v>116</v>
      </c>
    </row>
    <row r="47" spans="5:5" x14ac:dyDescent="0.35">
      <c r="E47">
        <v>116</v>
      </c>
    </row>
    <row r="48" spans="5:5" x14ac:dyDescent="0.35">
      <c r="E48">
        <v>116</v>
      </c>
    </row>
    <row r="49" spans="5:5" x14ac:dyDescent="0.35">
      <c r="E49">
        <v>116</v>
      </c>
    </row>
    <row r="50" spans="5:5" x14ac:dyDescent="0.35">
      <c r="E50">
        <v>116</v>
      </c>
    </row>
    <row r="51" spans="5:5" x14ac:dyDescent="0.35">
      <c r="E51">
        <v>116</v>
      </c>
    </row>
    <row r="52" spans="5:5" x14ac:dyDescent="0.35">
      <c r="E52">
        <v>116</v>
      </c>
    </row>
    <row r="53" spans="5:5" x14ac:dyDescent="0.35">
      <c r="E53">
        <v>116</v>
      </c>
    </row>
    <row r="54" spans="5:5" x14ac:dyDescent="0.35">
      <c r="E54">
        <v>116</v>
      </c>
    </row>
    <row r="55" spans="5:5" x14ac:dyDescent="0.35">
      <c r="E55">
        <v>116</v>
      </c>
    </row>
    <row r="56" spans="5:5" x14ac:dyDescent="0.35">
      <c r="E56">
        <v>116</v>
      </c>
    </row>
    <row r="57" spans="5:5" x14ac:dyDescent="0.35">
      <c r="E57">
        <v>116</v>
      </c>
    </row>
    <row r="58" spans="5:5" x14ac:dyDescent="0.35">
      <c r="E58">
        <v>116</v>
      </c>
    </row>
    <row r="59" spans="5:5" x14ac:dyDescent="0.35">
      <c r="E59">
        <v>116</v>
      </c>
    </row>
    <row r="60" spans="5:5" x14ac:dyDescent="0.35">
      <c r="E60">
        <v>116</v>
      </c>
    </row>
    <row r="61" spans="5:5" x14ac:dyDescent="0.35">
      <c r="E61">
        <v>116</v>
      </c>
    </row>
    <row r="62" spans="5:5" x14ac:dyDescent="0.35">
      <c r="E62">
        <v>116</v>
      </c>
    </row>
    <row r="63" spans="5:5" x14ac:dyDescent="0.35">
      <c r="E63">
        <v>96</v>
      </c>
    </row>
    <row r="64" spans="5:5" x14ac:dyDescent="0.35">
      <c r="E64">
        <v>96</v>
      </c>
    </row>
    <row r="65" spans="5:5" x14ac:dyDescent="0.35">
      <c r="E65">
        <v>96</v>
      </c>
    </row>
    <row r="66" spans="5:5" x14ac:dyDescent="0.35">
      <c r="E66">
        <v>96</v>
      </c>
    </row>
    <row r="67" spans="5:5" x14ac:dyDescent="0.35">
      <c r="E67">
        <v>96</v>
      </c>
    </row>
    <row r="68" spans="5:5" x14ac:dyDescent="0.35">
      <c r="E68">
        <v>96</v>
      </c>
    </row>
    <row r="69" spans="5:5" x14ac:dyDescent="0.35">
      <c r="E69">
        <v>96</v>
      </c>
    </row>
    <row r="70" spans="5:5" x14ac:dyDescent="0.35">
      <c r="E70">
        <v>96</v>
      </c>
    </row>
    <row r="71" spans="5:5" x14ac:dyDescent="0.35">
      <c r="E71">
        <v>96</v>
      </c>
    </row>
    <row r="72" spans="5:5" x14ac:dyDescent="0.35">
      <c r="E72">
        <v>96</v>
      </c>
    </row>
    <row r="73" spans="5:5" x14ac:dyDescent="0.35">
      <c r="E73">
        <v>96</v>
      </c>
    </row>
    <row r="74" spans="5:5" x14ac:dyDescent="0.35">
      <c r="E74">
        <v>96</v>
      </c>
    </row>
    <row r="75" spans="5:5" x14ac:dyDescent="0.35">
      <c r="E75">
        <v>96</v>
      </c>
    </row>
    <row r="76" spans="5:5" x14ac:dyDescent="0.35">
      <c r="E76">
        <v>96</v>
      </c>
    </row>
    <row r="77" spans="5:5" x14ac:dyDescent="0.35">
      <c r="E77">
        <v>96</v>
      </c>
    </row>
    <row r="78" spans="5:5" x14ac:dyDescent="0.35">
      <c r="E78">
        <v>96</v>
      </c>
    </row>
    <row r="79" spans="5:5" x14ac:dyDescent="0.35">
      <c r="E79">
        <v>96</v>
      </c>
    </row>
    <row r="80" spans="5:5" x14ac:dyDescent="0.35">
      <c r="E80">
        <v>96</v>
      </c>
    </row>
    <row r="81" spans="5:5" x14ac:dyDescent="0.35">
      <c r="E81">
        <v>96</v>
      </c>
    </row>
    <row r="82" spans="5:5" x14ac:dyDescent="0.35">
      <c r="E82">
        <v>96</v>
      </c>
    </row>
    <row r="83" spans="5:5" x14ac:dyDescent="0.35">
      <c r="E83">
        <v>96</v>
      </c>
    </row>
    <row r="84" spans="5:5" x14ac:dyDescent="0.35">
      <c r="E84">
        <v>96</v>
      </c>
    </row>
    <row r="85" spans="5:5" x14ac:dyDescent="0.35">
      <c r="E85">
        <v>96</v>
      </c>
    </row>
    <row r="86" spans="5:5" x14ac:dyDescent="0.35">
      <c r="E86">
        <v>96</v>
      </c>
    </row>
    <row r="87" spans="5:5" x14ac:dyDescent="0.35">
      <c r="E87">
        <v>96</v>
      </c>
    </row>
    <row r="88" spans="5:5" x14ac:dyDescent="0.35">
      <c r="E88">
        <v>96</v>
      </c>
    </row>
    <row r="89" spans="5:5" x14ac:dyDescent="0.35">
      <c r="E89">
        <v>96</v>
      </c>
    </row>
    <row r="90" spans="5:5" x14ac:dyDescent="0.35">
      <c r="E90">
        <v>96</v>
      </c>
    </row>
    <row r="91" spans="5:5" x14ac:dyDescent="0.35">
      <c r="E91">
        <v>96</v>
      </c>
    </row>
    <row r="92" spans="5:5" x14ac:dyDescent="0.35">
      <c r="E92">
        <v>96</v>
      </c>
    </row>
    <row r="93" spans="5:5" x14ac:dyDescent="0.35">
      <c r="E93">
        <v>96</v>
      </c>
    </row>
    <row r="94" spans="5:5" x14ac:dyDescent="0.35">
      <c r="E94">
        <v>96</v>
      </c>
    </row>
    <row r="95" spans="5:5" x14ac:dyDescent="0.35">
      <c r="E95">
        <v>96</v>
      </c>
    </row>
    <row r="96" spans="5:5" x14ac:dyDescent="0.35">
      <c r="E96">
        <v>96</v>
      </c>
    </row>
    <row r="97" spans="5:5" x14ac:dyDescent="0.35">
      <c r="E97">
        <v>96</v>
      </c>
    </row>
    <row r="98" spans="5:5" x14ac:dyDescent="0.35">
      <c r="E98">
        <v>96</v>
      </c>
    </row>
    <row r="99" spans="5:5" x14ac:dyDescent="0.35">
      <c r="E99">
        <v>96</v>
      </c>
    </row>
    <row r="100" spans="5:5" x14ac:dyDescent="0.35">
      <c r="E100">
        <v>96</v>
      </c>
    </row>
    <row r="101" spans="5:5" x14ac:dyDescent="0.35">
      <c r="E101">
        <v>96</v>
      </c>
    </row>
    <row r="102" spans="5:5" x14ac:dyDescent="0.35">
      <c r="E102">
        <v>96</v>
      </c>
    </row>
    <row r="103" spans="5:5" x14ac:dyDescent="0.35">
      <c r="E103">
        <v>96</v>
      </c>
    </row>
    <row r="104" spans="5:5" x14ac:dyDescent="0.35">
      <c r="E104">
        <v>96</v>
      </c>
    </row>
    <row r="105" spans="5:5" x14ac:dyDescent="0.35">
      <c r="E105">
        <v>96</v>
      </c>
    </row>
    <row r="106" spans="5:5" x14ac:dyDescent="0.35">
      <c r="E106">
        <v>96</v>
      </c>
    </row>
    <row r="107" spans="5:5" x14ac:dyDescent="0.35">
      <c r="E107">
        <v>96</v>
      </c>
    </row>
    <row r="108" spans="5:5" x14ac:dyDescent="0.35">
      <c r="E108">
        <v>96</v>
      </c>
    </row>
    <row r="109" spans="5:5" x14ac:dyDescent="0.35">
      <c r="E109">
        <v>96</v>
      </c>
    </row>
    <row r="110" spans="5:5" x14ac:dyDescent="0.35">
      <c r="E110">
        <v>96</v>
      </c>
    </row>
    <row r="111" spans="5:5" x14ac:dyDescent="0.35">
      <c r="E111">
        <v>96</v>
      </c>
    </row>
    <row r="112" spans="5:5" x14ac:dyDescent="0.35">
      <c r="E112">
        <v>96</v>
      </c>
    </row>
    <row r="113" spans="5:5" x14ac:dyDescent="0.35">
      <c r="E113">
        <v>96</v>
      </c>
    </row>
    <row r="114" spans="5:5" x14ac:dyDescent="0.35">
      <c r="E114">
        <v>96</v>
      </c>
    </row>
    <row r="115" spans="5:5" x14ac:dyDescent="0.35">
      <c r="E115">
        <v>76</v>
      </c>
    </row>
    <row r="116" spans="5:5" x14ac:dyDescent="0.35">
      <c r="E116">
        <v>76</v>
      </c>
    </row>
    <row r="117" spans="5:5" x14ac:dyDescent="0.35">
      <c r="E117">
        <v>76</v>
      </c>
    </row>
    <row r="118" spans="5:5" x14ac:dyDescent="0.35">
      <c r="E118">
        <v>76</v>
      </c>
    </row>
    <row r="119" spans="5:5" x14ac:dyDescent="0.35">
      <c r="E119">
        <v>76</v>
      </c>
    </row>
    <row r="120" spans="5:5" x14ac:dyDescent="0.35">
      <c r="E120">
        <v>76</v>
      </c>
    </row>
    <row r="121" spans="5:5" x14ac:dyDescent="0.35">
      <c r="E121">
        <v>76</v>
      </c>
    </row>
    <row r="122" spans="5:5" x14ac:dyDescent="0.35">
      <c r="E122">
        <v>76</v>
      </c>
    </row>
    <row r="123" spans="5:5" x14ac:dyDescent="0.35">
      <c r="E123">
        <v>76</v>
      </c>
    </row>
    <row r="124" spans="5:5" x14ac:dyDescent="0.35">
      <c r="E124">
        <v>76</v>
      </c>
    </row>
    <row r="125" spans="5:5" x14ac:dyDescent="0.35">
      <c r="E125">
        <v>76</v>
      </c>
    </row>
    <row r="126" spans="5:5" x14ac:dyDescent="0.35">
      <c r="E126">
        <v>76</v>
      </c>
    </row>
    <row r="127" spans="5:5" x14ac:dyDescent="0.35">
      <c r="E127">
        <v>76</v>
      </c>
    </row>
    <row r="128" spans="5:5" x14ac:dyDescent="0.35">
      <c r="E128">
        <v>76</v>
      </c>
    </row>
    <row r="129" spans="5:5" x14ac:dyDescent="0.35">
      <c r="E129">
        <v>76</v>
      </c>
    </row>
    <row r="130" spans="5:5" x14ac:dyDescent="0.35">
      <c r="E130">
        <v>76</v>
      </c>
    </row>
    <row r="131" spans="5:5" x14ac:dyDescent="0.35">
      <c r="E131">
        <v>76</v>
      </c>
    </row>
    <row r="132" spans="5:5" x14ac:dyDescent="0.35">
      <c r="E132">
        <v>76</v>
      </c>
    </row>
    <row r="133" spans="5:5" x14ac:dyDescent="0.35">
      <c r="E133">
        <v>76</v>
      </c>
    </row>
    <row r="134" spans="5:5" x14ac:dyDescent="0.35">
      <c r="E134">
        <v>76</v>
      </c>
    </row>
    <row r="135" spans="5:5" x14ac:dyDescent="0.35">
      <c r="E135">
        <v>76</v>
      </c>
    </row>
    <row r="136" spans="5:5" x14ac:dyDescent="0.35">
      <c r="E136">
        <v>76</v>
      </c>
    </row>
    <row r="137" spans="5:5" x14ac:dyDescent="0.35">
      <c r="E137">
        <v>76</v>
      </c>
    </row>
    <row r="138" spans="5:5" x14ac:dyDescent="0.35">
      <c r="E138">
        <v>76</v>
      </c>
    </row>
    <row r="139" spans="5:5" x14ac:dyDescent="0.35">
      <c r="E139">
        <v>76</v>
      </c>
    </row>
    <row r="140" spans="5:5" x14ac:dyDescent="0.35">
      <c r="E140">
        <v>76</v>
      </c>
    </row>
    <row r="141" spans="5:5" x14ac:dyDescent="0.35">
      <c r="E141">
        <v>76</v>
      </c>
    </row>
    <row r="142" spans="5:5" x14ac:dyDescent="0.35">
      <c r="E142">
        <v>76</v>
      </c>
    </row>
    <row r="143" spans="5:5" x14ac:dyDescent="0.35">
      <c r="E143">
        <v>76</v>
      </c>
    </row>
    <row r="144" spans="5:5" x14ac:dyDescent="0.35">
      <c r="E144">
        <v>76</v>
      </c>
    </row>
    <row r="145" spans="5:5" x14ac:dyDescent="0.35">
      <c r="E145">
        <v>76</v>
      </c>
    </row>
    <row r="146" spans="5:5" x14ac:dyDescent="0.35">
      <c r="E146">
        <v>76</v>
      </c>
    </row>
    <row r="147" spans="5:5" x14ac:dyDescent="0.35">
      <c r="E147">
        <v>76</v>
      </c>
    </row>
    <row r="148" spans="5:5" x14ac:dyDescent="0.35">
      <c r="E148">
        <v>76</v>
      </c>
    </row>
    <row r="149" spans="5:5" x14ac:dyDescent="0.35">
      <c r="E149">
        <v>76</v>
      </c>
    </row>
    <row r="150" spans="5:5" x14ac:dyDescent="0.35">
      <c r="E150">
        <v>76</v>
      </c>
    </row>
    <row r="151" spans="5:5" x14ac:dyDescent="0.35">
      <c r="E151">
        <v>76</v>
      </c>
    </row>
    <row r="152" spans="5:5" x14ac:dyDescent="0.35">
      <c r="E152">
        <v>76</v>
      </c>
    </row>
    <row r="153" spans="5:5" x14ac:dyDescent="0.35">
      <c r="E153">
        <v>76</v>
      </c>
    </row>
    <row r="154" spans="5:5" x14ac:dyDescent="0.35">
      <c r="E154">
        <v>76</v>
      </c>
    </row>
    <row r="155" spans="5:5" x14ac:dyDescent="0.35">
      <c r="E155">
        <v>76</v>
      </c>
    </row>
    <row r="156" spans="5:5" x14ac:dyDescent="0.35">
      <c r="E156">
        <v>76</v>
      </c>
    </row>
    <row r="157" spans="5:5" x14ac:dyDescent="0.35">
      <c r="E157">
        <v>76</v>
      </c>
    </row>
    <row r="158" spans="5:5" x14ac:dyDescent="0.35">
      <c r="E158">
        <v>76</v>
      </c>
    </row>
    <row r="159" spans="5:5" x14ac:dyDescent="0.35">
      <c r="E159">
        <v>76</v>
      </c>
    </row>
    <row r="160" spans="5:5" x14ac:dyDescent="0.35">
      <c r="E160">
        <v>76</v>
      </c>
    </row>
    <row r="161" spans="5:5" x14ac:dyDescent="0.35">
      <c r="E161">
        <v>76</v>
      </c>
    </row>
    <row r="162" spans="5:5" x14ac:dyDescent="0.35">
      <c r="E162">
        <v>76</v>
      </c>
    </row>
    <row r="163" spans="5:5" x14ac:dyDescent="0.35">
      <c r="E163">
        <v>76</v>
      </c>
    </row>
    <row r="164" spans="5:5" x14ac:dyDescent="0.35">
      <c r="E164">
        <v>76</v>
      </c>
    </row>
    <row r="165" spans="5:5" x14ac:dyDescent="0.35">
      <c r="E165">
        <v>76</v>
      </c>
    </row>
    <row r="166" spans="5:5" x14ac:dyDescent="0.35">
      <c r="E166">
        <v>76</v>
      </c>
    </row>
    <row r="167" spans="5:5" x14ac:dyDescent="0.35">
      <c r="E167">
        <v>76</v>
      </c>
    </row>
    <row r="168" spans="5:5" x14ac:dyDescent="0.35">
      <c r="E168">
        <v>76</v>
      </c>
    </row>
    <row r="169" spans="5:5" x14ac:dyDescent="0.35">
      <c r="E169">
        <v>76</v>
      </c>
    </row>
    <row r="170" spans="5:5" x14ac:dyDescent="0.35">
      <c r="E170">
        <v>76</v>
      </c>
    </row>
    <row r="171" spans="5:5" x14ac:dyDescent="0.35">
      <c r="E171">
        <v>76</v>
      </c>
    </row>
    <row r="172" spans="5:5" x14ac:dyDescent="0.35">
      <c r="E172">
        <v>76</v>
      </c>
    </row>
    <row r="173" spans="5:5" x14ac:dyDescent="0.35">
      <c r="E173">
        <v>76</v>
      </c>
    </row>
    <row r="174" spans="5:5" x14ac:dyDescent="0.35">
      <c r="E174">
        <v>76</v>
      </c>
    </row>
    <row r="175" spans="5:5" x14ac:dyDescent="0.35">
      <c r="E175">
        <v>76</v>
      </c>
    </row>
    <row r="176" spans="5:5" x14ac:dyDescent="0.35">
      <c r="E176">
        <v>76</v>
      </c>
    </row>
    <row r="177" spans="5:5" x14ac:dyDescent="0.35">
      <c r="E177">
        <v>76</v>
      </c>
    </row>
    <row r="178" spans="5:5" x14ac:dyDescent="0.35">
      <c r="E178">
        <v>76</v>
      </c>
    </row>
    <row r="179" spans="5:5" x14ac:dyDescent="0.35">
      <c r="E179">
        <v>76</v>
      </c>
    </row>
    <row r="180" spans="5:5" x14ac:dyDescent="0.35">
      <c r="E180">
        <v>76</v>
      </c>
    </row>
    <row r="181" spans="5:5" x14ac:dyDescent="0.35">
      <c r="E181">
        <v>76</v>
      </c>
    </row>
    <row r="182" spans="5:5" x14ac:dyDescent="0.35">
      <c r="E182">
        <v>76</v>
      </c>
    </row>
    <row r="183" spans="5:5" x14ac:dyDescent="0.35">
      <c r="E183">
        <v>76</v>
      </c>
    </row>
    <row r="184" spans="5:5" x14ac:dyDescent="0.35">
      <c r="E184">
        <v>76</v>
      </c>
    </row>
    <row r="185" spans="5:5" x14ac:dyDescent="0.35">
      <c r="E185">
        <v>76</v>
      </c>
    </row>
    <row r="186" spans="5:5" x14ac:dyDescent="0.35">
      <c r="E186">
        <v>76</v>
      </c>
    </row>
    <row r="187" spans="5:5" x14ac:dyDescent="0.35">
      <c r="E187">
        <v>76</v>
      </c>
    </row>
    <row r="188" spans="5:5" x14ac:dyDescent="0.35">
      <c r="E188">
        <v>76</v>
      </c>
    </row>
    <row r="189" spans="5:5" x14ac:dyDescent="0.35">
      <c r="E189">
        <v>76</v>
      </c>
    </row>
    <row r="190" spans="5:5" x14ac:dyDescent="0.35">
      <c r="E190">
        <v>76</v>
      </c>
    </row>
    <row r="191" spans="5:5" x14ac:dyDescent="0.35">
      <c r="E191">
        <v>76</v>
      </c>
    </row>
    <row r="192" spans="5:5" x14ac:dyDescent="0.35">
      <c r="E192">
        <v>76</v>
      </c>
    </row>
    <row r="193" spans="5:5" x14ac:dyDescent="0.35">
      <c r="E193">
        <v>76</v>
      </c>
    </row>
    <row r="194" spans="5:5" x14ac:dyDescent="0.35">
      <c r="E194">
        <v>76</v>
      </c>
    </row>
    <row r="195" spans="5:5" x14ac:dyDescent="0.35">
      <c r="E195">
        <v>76</v>
      </c>
    </row>
    <row r="196" spans="5:5" x14ac:dyDescent="0.35">
      <c r="E196">
        <v>76</v>
      </c>
    </row>
    <row r="197" spans="5:5" x14ac:dyDescent="0.35">
      <c r="E197">
        <v>76</v>
      </c>
    </row>
    <row r="198" spans="5:5" x14ac:dyDescent="0.35">
      <c r="E198">
        <v>76</v>
      </c>
    </row>
    <row r="199" spans="5:5" x14ac:dyDescent="0.35">
      <c r="E199">
        <v>76</v>
      </c>
    </row>
    <row r="200" spans="5:5" x14ac:dyDescent="0.35">
      <c r="E200">
        <v>76</v>
      </c>
    </row>
    <row r="201" spans="5:5" x14ac:dyDescent="0.35">
      <c r="E201">
        <v>76</v>
      </c>
    </row>
    <row r="202" spans="5:5" x14ac:dyDescent="0.35">
      <c r="E202">
        <v>76</v>
      </c>
    </row>
    <row r="203" spans="5:5" x14ac:dyDescent="0.35">
      <c r="E203">
        <v>76</v>
      </c>
    </row>
    <row r="204" spans="5:5" x14ac:dyDescent="0.35">
      <c r="E204">
        <v>76</v>
      </c>
    </row>
    <row r="205" spans="5:5" x14ac:dyDescent="0.35">
      <c r="E205">
        <v>76</v>
      </c>
    </row>
    <row r="206" spans="5:5" x14ac:dyDescent="0.35">
      <c r="E206">
        <v>76</v>
      </c>
    </row>
    <row r="207" spans="5:5" x14ac:dyDescent="0.35">
      <c r="E207">
        <v>76</v>
      </c>
    </row>
    <row r="208" spans="5:5" x14ac:dyDescent="0.35">
      <c r="E208">
        <v>53</v>
      </c>
    </row>
    <row r="209" spans="5:5" x14ac:dyDescent="0.35">
      <c r="E209">
        <v>53</v>
      </c>
    </row>
    <row r="210" spans="5:5" x14ac:dyDescent="0.35">
      <c r="E210">
        <v>53</v>
      </c>
    </row>
    <row r="211" spans="5:5" x14ac:dyDescent="0.35">
      <c r="E211">
        <v>53</v>
      </c>
    </row>
    <row r="212" spans="5:5" x14ac:dyDescent="0.35">
      <c r="E212">
        <v>53</v>
      </c>
    </row>
    <row r="213" spans="5:5" x14ac:dyDescent="0.35">
      <c r="E213">
        <v>53</v>
      </c>
    </row>
    <row r="214" spans="5:5" x14ac:dyDescent="0.35">
      <c r="E214">
        <v>53</v>
      </c>
    </row>
    <row r="215" spans="5:5" x14ac:dyDescent="0.35">
      <c r="E215">
        <v>53</v>
      </c>
    </row>
    <row r="216" spans="5:5" x14ac:dyDescent="0.35">
      <c r="E216">
        <v>53</v>
      </c>
    </row>
    <row r="217" spans="5:5" x14ac:dyDescent="0.35">
      <c r="E217">
        <v>53</v>
      </c>
    </row>
    <row r="218" spans="5:5" x14ac:dyDescent="0.35">
      <c r="E218">
        <v>53</v>
      </c>
    </row>
    <row r="219" spans="5:5" x14ac:dyDescent="0.35">
      <c r="E219">
        <v>53</v>
      </c>
    </row>
    <row r="220" spans="5:5" x14ac:dyDescent="0.35">
      <c r="E220">
        <v>53</v>
      </c>
    </row>
    <row r="221" spans="5:5" x14ac:dyDescent="0.35">
      <c r="E221">
        <v>53</v>
      </c>
    </row>
    <row r="222" spans="5:5" x14ac:dyDescent="0.35">
      <c r="E222">
        <v>53</v>
      </c>
    </row>
    <row r="223" spans="5:5" x14ac:dyDescent="0.35">
      <c r="E223">
        <v>53</v>
      </c>
    </row>
    <row r="224" spans="5:5" x14ac:dyDescent="0.35">
      <c r="E224">
        <v>53</v>
      </c>
    </row>
    <row r="225" spans="5:5" x14ac:dyDescent="0.35">
      <c r="E225">
        <v>53</v>
      </c>
    </row>
    <row r="226" spans="5:5" x14ac:dyDescent="0.35">
      <c r="E226">
        <v>53</v>
      </c>
    </row>
    <row r="227" spans="5:5" x14ac:dyDescent="0.35">
      <c r="E227">
        <v>53</v>
      </c>
    </row>
    <row r="228" spans="5:5" x14ac:dyDescent="0.35">
      <c r="E228">
        <v>53</v>
      </c>
    </row>
    <row r="229" spans="5:5" x14ac:dyDescent="0.35">
      <c r="E229">
        <v>53</v>
      </c>
    </row>
    <row r="230" spans="5:5" x14ac:dyDescent="0.35">
      <c r="E230">
        <v>53</v>
      </c>
    </row>
    <row r="231" spans="5:5" x14ac:dyDescent="0.35">
      <c r="E231">
        <v>53</v>
      </c>
    </row>
    <row r="232" spans="5:5" x14ac:dyDescent="0.35">
      <c r="E232">
        <v>53</v>
      </c>
    </row>
    <row r="233" spans="5:5" x14ac:dyDescent="0.35">
      <c r="E233">
        <v>53</v>
      </c>
    </row>
    <row r="234" spans="5:5" x14ac:dyDescent="0.35">
      <c r="E234">
        <v>53</v>
      </c>
    </row>
    <row r="235" spans="5:5" x14ac:dyDescent="0.35">
      <c r="E235">
        <v>53</v>
      </c>
    </row>
    <row r="236" spans="5:5" x14ac:dyDescent="0.35">
      <c r="E236">
        <v>53</v>
      </c>
    </row>
    <row r="237" spans="5:5" x14ac:dyDescent="0.35">
      <c r="E237">
        <v>53</v>
      </c>
    </row>
    <row r="238" spans="5:5" x14ac:dyDescent="0.35">
      <c r="E238">
        <v>53</v>
      </c>
    </row>
    <row r="239" spans="5:5" x14ac:dyDescent="0.35">
      <c r="E239">
        <v>53</v>
      </c>
    </row>
    <row r="240" spans="5:5" x14ac:dyDescent="0.35">
      <c r="E240">
        <v>53</v>
      </c>
    </row>
    <row r="241" spans="5:5" x14ac:dyDescent="0.35">
      <c r="E241">
        <v>53</v>
      </c>
    </row>
    <row r="242" spans="5:5" x14ac:dyDescent="0.35">
      <c r="E242">
        <v>53</v>
      </c>
    </row>
    <row r="243" spans="5:5" x14ac:dyDescent="0.35">
      <c r="E243">
        <v>53</v>
      </c>
    </row>
    <row r="244" spans="5:5" x14ac:dyDescent="0.35">
      <c r="E244">
        <v>53</v>
      </c>
    </row>
    <row r="245" spans="5:5" x14ac:dyDescent="0.35">
      <c r="E245">
        <v>53</v>
      </c>
    </row>
    <row r="246" spans="5:5" x14ac:dyDescent="0.35">
      <c r="E246">
        <v>53</v>
      </c>
    </row>
    <row r="247" spans="5:5" x14ac:dyDescent="0.35">
      <c r="E247">
        <v>53</v>
      </c>
    </row>
    <row r="248" spans="5:5" x14ac:dyDescent="0.35">
      <c r="E248">
        <v>53</v>
      </c>
    </row>
    <row r="249" spans="5:5" x14ac:dyDescent="0.35">
      <c r="E249">
        <v>53</v>
      </c>
    </row>
    <row r="250" spans="5:5" x14ac:dyDescent="0.35">
      <c r="E250">
        <v>53</v>
      </c>
    </row>
    <row r="251" spans="5:5" x14ac:dyDescent="0.35">
      <c r="E251">
        <v>53</v>
      </c>
    </row>
    <row r="252" spans="5:5" x14ac:dyDescent="0.35">
      <c r="E252">
        <v>53</v>
      </c>
    </row>
    <row r="253" spans="5:5" x14ac:dyDescent="0.35">
      <c r="E253">
        <v>53</v>
      </c>
    </row>
    <row r="254" spans="5:5" x14ac:dyDescent="0.35">
      <c r="E254">
        <v>53</v>
      </c>
    </row>
    <row r="255" spans="5:5" x14ac:dyDescent="0.35">
      <c r="E255">
        <v>53</v>
      </c>
    </row>
    <row r="256" spans="5:5" x14ac:dyDescent="0.35">
      <c r="E256">
        <v>53</v>
      </c>
    </row>
    <row r="257" spans="5:5" x14ac:dyDescent="0.35">
      <c r="E257">
        <v>53</v>
      </c>
    </row>
    <row r="258" spans="5:5" x14ac:dyDescent="0.35">
      <c r="E258">
        <v>53</v>
      </c>
    </row>
    <row r="259" spans="5:5" x14ac:dyDescent="0.35">
      <c r="E259">
        <v>53</v>
      </c>
    </row>
    <row r="260" spans="5:5" x14ac:dyDescent="0.35">
      <c r="E260">
        <v>53</v>
      </c>
    </row>
    <row r="261" spans="5:5" x14ac:dyDescent="0.35">
      <c r="E261">
        <v>53</v>
      </c>
    </row>
    <row r="262" spans="5:5" x14ac:dyDescent="0.35">
      <c r="E262">
        <v>53</v>
      </c>
    </row>
    <row r="263" spans="5:5" x14ac:dyDescent="0.35">
      <c r="E263">
        <v>53</v>
      </c>
    </row>
    <row r="264" spans="5:5" x14ac:dyDescent="0.35">
      <c r="E264">
        <v>53</v>
      </c>
    </row>
    <row r="265" spans="5:5" x14ac:dyDescent="0.35">
      <c r="E265">
        <v>53</v>
      </c>
    </row>
    <row r="266" spans="5:5" x14ac:dyDescent="0.35">
      <c r="E266">
        <v>53</v>
      </c>
    </row>
    <row r="267" spans="5:5" x14ac:dyDescent="0.35">
      <c r="E267">
        <v>53</v>
      </c>
    </row>
    <row r="268" spans="5:5" x14ac:dyDescent="0.35">
      <c r="E268">
        <v>53</v>
      </c>
    </row>
    <row r="269" spans="5:5" x14ac:dyDescent="0.35">
      <c r="E269">
        <v>53</v>
      </c>
    </row>
    <row r="270" spans="5:5" x14ac:dyDescent="0.35">
      <c r="E270">
        <v>53</v>
      </c>
    </row>
    <row r="271" spans="5:5" x14ac:dyDescent="0.35">
      <c r="E271">
        <v>53</v>
      </c>
    </row>
    <row r="272" spans="5:5" x14ac:dyDescent="0.35">
      <c r="E272">
        <v>53</v>
      </c>
    </row>
    <row r="273" spans="5:5" x14ac:dyDescent="0.35">
      <c r="E273">
        <v>53</v>
      </c>
    </row>
    <row r="274" spans="5:5" x14ac:dyDescent="0.35">
      <c r="E274">
        <v>53</v>
      </c>
    </row>
    <row r="275" spans="5:5" x14ac:dyDescent="0.35">
      <c r="E275">
        <v>53</v>
      </c>
    </row>
    <row r="276" spans="5:5" x14ac:dyDescent="0.35">
      <c r="E276">
        <v>53</v>
      </c>
    </row>
    <row r="277" spans="5:5" x14ac:dyDescent="0.35">
      <c r="E277">
        <v>53</v>
      </c>
    </row>
    <row r="278" spans="5:5" x14ac:dyDescent="0.35">
      <c r="E278">
        <v>53</v>
      </c>
    </row>
    <row r="279" spans="5:5" x14ac:dyDescent="0.35">
      <c r="E279">
        <v>53</v>
      </c>
    </row>
    <row r="280" spans="5:5" x14ac:dyDescent="0.35">
      <c r="E280">
        <v>53</v>
      </c>
    </row>
    <row r="281" spans="5:5" x14ac:dyDescent="0.35">
      <c r="E281">
        <v>53</v>
      </c>
    </row>
    <row r="282" spans="5:5" x14ac:dyDescent="0.35">
      <c r="E282">
        <v>53</v>
      </c>
    </row>
    <row r="283" spans="5:5" x14ac:dyDescent="0.35">
      <c r="E283">
        <v>53</v>
      </c>
    </row>
    <row r="284" spans="5:5" x14ac:dyDescent="0.35">
      <c r="E284">
        <v>53</v>
      </c>
    </row>
    <row r="285" spans="5:5" x14ac:dyDescent="0.35">
      <c r="E285">
        <v>53</v>
      </c>
    </row>
    <row r="286" spans="5:5" x14ac:dyDescent="0.35">
      <c r="E286">
        <v>53</v>
      </c>
    </row>
    <row r="287" spans="5:5" x14ac:dyDescent="0.35">
      <c r="E287">
        <v>53</v>
      </c>
    </row>
    <row r="288" spans="5:5" x14ac:dyDescent="0.35">
      <c r="E288">
        <v>53</v>
      </c>
    </row>
    <row r="289" spans="5:5" x14ac:dyDescent="0.35">
      <c r="E289">
        <v>53</v>
      </c>
    </row>
    <row r="290" spans="5:5" x14ac:dyDescent="0.35">
      <c r="E290">
        <v>53</v>
      </c>
    </row>
    <row r="291" spans="5:5" x14ac:dyDescent="0.35">
      <c r="E291">
        <v>53</v>
      </c>
    </row>
    <row r="292" spans="5:5" x14ac:dyDescent="0.35">
      <c r="E292">
        <v>53</v>
      </c>
    </row>
    <row r="293" spans="5:5" x14ac:dyDescent="0.35">
      <c r="E293">
        <v>53</v>
      </c>
    </row>
    <row r="294" spans="5:5" x14ac:dyDescent="0.35">
      <c r="E294">
        <v>53</v>
      </c>
    </row>
    <row r="295" spans="5:5" x14ac:dyDescent="0.35">
      <c r="E295">
        <v>53</v>
      </c>
    </row>
    <row r="296" spans="5:5" x14ac:dyDescent="0.35">
      <c r="E296">
        <v>53</v>
      </c>
    </row>
    <row r="297" spans="5:5" x14ac:dyDescent="0.35">
      <c r="E297">
        <v>53</v>
      </c>
    </row>
    <row r="298" spans="5:5" x14ac:dyDescent="0.35">
      <c r="E298">
        <v>53</v>
      </c>
    </row>
    <row r="299" spans="5:5" x14ac:dyDescent="0.35">
      <c r="E299">
        <v>53</v>
      </c>
    </row>
    <row r="300" spans="5:5" x14ac:dyDescent="0.35">
      <c r="E300">
        <v>53</v>
      </c>
    </row>
    <row r="301" spans="5:5" x14ac:dyDescent="0.35">
      <c r="E301">
        <v>53</v>
      </c>
    </row>
    <row r="302" spans="5:5" x14ac:dyDescent="0.35">
      <c r="E302">
        <v>53</v>
      </c>
    </row>
    <row r="303" spans="5:5" x14ac:dyDescent="0.35">
      <c r="E303">
        <v>53</v>
      </c>
    </row>
    <row r="304" spans="5:5" x14ac:dyDescent="0.35">
      <c r="E304">
        <v>53</v>
      </c>
    </row>
    <row r="305" spans="5:5" x14ac:dyDescent="0.35">
      <c r="E305">
        <v>53</v>
      </c>
    </row>
    <row r="306" spans="5:5" x14ac:dyDescent="0.35">
      <c r="E306">
        <v>53</v>
      </c>
    </row>
    <row r="307" spans="5:5" x14ac:dyDescent="0.35">
      <c r="E307">
        <v>53</v>
      </c>
    </row>
    <row r="308" spans="5:5" x14ac:dyDescent="0.35">
      <c r="E308">
        <v>53</v>
      </c>
    </row>
    <row r="309" spans="5:5" x14ac:dyDescent="0.35">
      <c r="E309">
        <v>53</v>
      </c>
    </row>
    <row r="310" spans="5:5" x14ac:dyDescent="0.35">
      <c r="E310">
        <v>53</v>
      </c>
    </row>
    <row r="311" spans="5:5" x14ac:dyDescent="0.35">
      <c r="E311">
        <v>53</v>
      </c>
    </row>
    <row r="312" spans="5:5" x14ac:dyDescent="0.35">
      <c r="E312">
        <v>53</v>
      </c>
    </row>
    <row r="313" spans="5:5" x14ac:dyDescent="0.35">
      <c r="E313">
        <v>53</v>
      </c>
    </row>
    <row r="314" spans="5:5" x14ac:dyDescent="0.35">
      <c r="E314">
        <v>53</v>
      </c>
    </row>
    <row r="315" spans="5:5" x14ac:dyDescent="0.35">
      <c r="E315">
        <v>53</v>
      </c>
    </row>
    <row r="316" spans="5:5" x14ac:dyDescent="0.35">
      <c r="E316">
        <v>53</v>
      </c>
    </row>
    <row r="317" spans="5:5" x14ac:dyDescent="0.35">
      <c r="E317">
        <v>53</v>
      </c>
    </row>
    <row r="318" spans="5:5" x14ac:dyDescent="0.35">
      <c r="E318">
        <v>53</v>
      </c>
    </row>
    <row r="319" spans="5:5" x14ac:dyDescent="0.35">
      <c r="E319">
        <v>53</v>
      </c>
    </row>
    <row r="320" spans="5:5" x14ac:dyDescent="0.35">
      <c r="E320">
        <v>53</v>
      </c>
    </row>
    <row r="321" spans="5:5" x14ac:dyDescent="0.35">
      <c r="E321">
        <v>53</v>
      </c>
    </row>
    <row r="322" spans="5:5" x14ac:dyDescent="0.35">
      <c r="E322">
        <v>53</v>
      </c>
    </row>
    <row r="323" spans="5:5" x14ac:dyDescent="0.35">
      <c r="E323">
        <v>53</v>
      </c>
    </row>
    <row r="324" spans="5:5" x14ac:dyDescent="0.35">
      <c r="E324">
        <v>53</v>
      </c>
    </row>
    <row r="325" spans="5:5" x14ac:dyDescent="0.35">
      <c r="E325">
        <v>53</v>
      </c>
    </row>
    <row r="326" spans="5:5" x14ac:dyDescent="0.35">
      <c r="E326">
        <v>53</v>
      </c>
    </row>
    <row r="327" spans="5:5" x14ac:dyDescent="0.35">
      <c r="E327">
        <v>53</v>
      </c>
    </row>
    <row r="328" spans="5:5" x14ac:dyDescent="0.35">
      <c r="E328">
        <v>53</v>
      </c>
    </row>
    <row r="329" spans="5:5" x14ac:dyDescent="0.35">
      <c r="E329">
        <v>53</v>
      </c>
    </row>
    <row r="330" spans="5:5" x14ac:dyDescent="0.35">
      <c r="E330">
        <v>53</v>
      </c>
    </row>
    <row r="331" spans="5:5" x14ac:dyDescent="0.35">
      <c r="E331">
        <v>53</v>
      </c>
    </row>
    <row r="332" spans="5:5" x14ac:dyDescent="0.35">
      <c r="E332">
        <v>53</v>
      </c>
    </row>
    <row r="333" spans="5:5" x14ac:dyDescent="0.35">
      <c r="E333">
        <v>53</v>
      </c>
    </row>
    <row r="334" spans="5:5" x14ac:dyDescent="0.35">
      <c r="E334">
        <v>53</v>
      </c>
    </row>
    <row r="335" spans="5:5" x14ac:dyDescent="0.35">
      <c r="E335">
        <v>53</v>
      </c>
    </row>
    <row r="336" spans="5:5" x14ac:dyDescent="0.35">
      <c r="E336">
        <v>53</v>
      </c>
    </row>
    <row r="337" spans="5:5" x14ac:dyDescent="0.35">
      <c r="E337">
        <v>53</v>
      </c>
    </row>
    <row r="338" spans="5:5" x14ac:dyDescent="0.35">
      <c r="E338">
        <v>53</v>
      </c>
    </row>
    <row r="339" spans="5:5" x14ac:dyDescent="0.35">
      <c r="E339">
        <v>53</v>
      </c>
    </row>
    <row r="340" spans="5:5" x14ac:dyDescent="0.35">
      <c r="E340">
        <v>53</v>
      </c>
    </row>
    <row r="341" spans="5:5" x14ac:dyDescent="0.35">
      <c r="E341">
        <v>53</v>
      </c>
    </row>
    <row r="342" spans="5:5" x14ac:dyDescent="0.35">
      <c r="E342">
        <v>53</v>
      </c>
    </row>
    <row r="343" spans="5:5" x14ac:dyDescent="0.35">
      <c r="E343">
        <v>53</v>
      </c>
    </row>
    <row r="344" spans="5:5" x14ac:dyDescent="0.35">
      <c r="E344">
        <v>53</v>
      </c>
    </row>
    <row r="345" spans="5:5" x14ac:dyDescent="0.35">
      <c r="E345">
        <v>53</v>
      </c>
    </row>
    <row r="346" spans="5:5" x14ac:dyDescent="0.35">
      <c r="E346">
        <v>53</v>
      </c>
    </row>
    <row r="347" spans="5:5" x14ac:dyDescent="0.35">
      <c r="E347">
        <v>53</v>
      </c>
    </row>
    <row r="348" spans="5:5" x14ac:dyDescent="0.35">
      <c r="E348">
        <v>53</v>
      </c>
    </row>
    <row r="349" spans="5:5" x14ac:dyDescent="0.35">
      <c r="E349">
        <v>53</v>
      </c>
    </row>
    <row r="350" spans="5:5" x14ac:dyDescent="0.35">
      <c r="E350">
        <v>53</v>
      </c>
    </row>
    <row r="351" spans="5:5" x14ac:dyDescent="0.35">
      <c r="E351">
        <v>53</v>
      </c>
    </row>
    <row r="352" spans="5:5" x14ac:dyDescent="0.35">
      <c r="E352">
        <v>53</v>
      </c>
    </row>
    <row r="353" spans="5:5" x14ac:dyDescent="0.35">
      <c r="E353">
        <v>53</v>
      </c>
    </row>
    <row r="354" spans="5:5" x14ac:dyDescent="0.35">
      <c r="E354">
        <v>53</v>
      </c>
    </row>
    <row r="355" spans="5:5" x14ac:dyDescent="0.35">
      <c r="E355">
        <v>53</v>
      </c>
    </row>
    <row r="356" spans="5:5" x14ac:dyDescent="0.35">
      <c r="E356">
        <v>53</v>
      </c>
    </row>
    <row r="357" spans="5:5" x14ac:dyDescent="0.35">
      <c r="E357">
        <v>20</v>
      </c>
    </row>
    <row r="358" spans="5:5" x14ac:dyDescent="0.35">
      <c r="E358">
        <v>20</v>
      </c>
    </row>
    <row r="359" spans="5:5" x14ac:dyDescent="0.35">
      <c r="E359">
        <v>20</v>
      </c>
    </row>
    <row r="360" spans="5:5" x14ac:dyDescent="0.35">
      <c r="E360">
        <v>20</v>
      </c>
    </row>
    <row r="361" spans="5:5" x14ac:dyDescent="0.35">
      <c r="E361">
        <v>20</v>
      </c>
    </row>
    <row r="362" spans="5:5" x14ac:dyDescent="0.35">
      <c r="E362">
        <v>20</v>
      </c>
    </row>
    <row r="363" spans="5:5" x14ac:dyDescent="0.35">
      <c r="E363">
        <v>20</v>
      </c>
    </row>
    <row r="364" spans="5:5" x14ac:dyDescent="0.35">
      <c r="E364">
        <v>20</v>
      </c>
    </row>
    <row r="365" spans="5:5" x14ac:dyDescent="0.35">
      <c r="E365">
        <v>20</v>
      </c>
    </row>
    <row r="366" spans="5:5" x14ac:dyDescent="0.35">
      <c r="E366">
        <v>20</v>
      </c>
    </row>
    <row r="367" spans="5:5" x14ac:dyDescent="0.35">
      <c r="E367">
        <v>20</v>
      </c>
    </row>
    <row r="368" spans="5:5" x14ac:dyDescent="0.35">
      <c r="E368">
        <v>20</v>
      </c>
    </row>
    <row r="369" spans="5:5" x14ac:dyDescent="0.35">
      <c r="E369">
        <v>20</v>
      </c>
    </row>
    <row r="370" spans="5:5" x14ac:dyDescent="0.35">
      <c r="E370">
        <v>20</v>
      </c>
    </row>
    <row r="371" spans="5:5" x14ac:dyDescent="0.35">
      <c r="E371">
        <v>20</v>
      </c>
    </row>
    <row r="372" spans="5:5" x14ac:dyDescent="0.35">
      <c r="E372">
        <v>20</v>
      </c>
    </row>
    <row r="373" spans="5:5" x14ac:dyDescent="0.35">
      <c r="E373">
        <v>20</v>
      </c>
    </row>
    <row r="374" spans="5:5" x14ac:dyDescent="0.35">
      <c r="E374">
        <v>20</v>
      </c>
    </row>
    <row r="375" spans="5:5" x14ac:dyDescent="0.35">
      <c r="E375">
        <v>20</v>
      </c>
    </row>
    <row r="376" spans="5:5" x14ac:dyDescent="0.35">
      <c r="E376">
        <v>20</v>
      </c>
    </row>
    <row r="377" spans="5:5" x14ac:dyDescent="0.35">
      <c r="E377">
        <v>20</v>
      </c>
    </row>
    <row r="378" spans="5:5" x14ac:dyDescent="0.35">
      <c r="E378">
        <v>20</v>
      </c>
    </row>
    <row r="379" spans="5:5" x14ac:dyDescent="0.35">
      <c r="E379">
        <v>20</v>
      </c>
    </row>
    <row r="380" spans="5:5" x14ac:dyDescent="0.35">
      <c r="E380">
        <v>20</v>
      </c>
    </row>
    <row r="381" spans="5:5" x14ac:dyDescent="0.35">
      <c r="E381">
        <v>20</v>
      </c>
    </row>
    <row r="382" spans="5:5" x14ac:dyDescent="0.35">
      <c r="E382">
        <v>20</v>
      </c>
    </row>
    <row r="383" spans="5:5" x14ac:dyDescent="0.35">
      <c r="E383">
        <v>20</v>
      </c>
    </row>
    <row r="384" spans="5:5" x14ac:dyDescent="0.35">
      <c r="E384">
        <v>20</v>
      </c>
    </row>
    <row r="385" spans="5:5" x14ac:dyDescent="0.35">
      <c r="E385">
        <v>20</v>
      </c>
    </row>
    <row r="386" spans="5:5" x14ac:dyDescent="0.35">
      <c r="E386">
        <v>20</v>
      </c>
    </row>
    <row r="387" spans="5:5" x14ac:dyDescent="0.35">
      <c r="E387">
        <v>20</v>
      </c>
    </row>
    <row r="388" spans="5:5" x14ac:dyDescent="0.35">
      <c r="E388">
        <v>20</v>
      </c>
    </row>
    <row r="389" spans="5:5" x14ac:dyDescent="0.35">
      <c r="E389">
        <v>20</v>
      </c>
    </row>
    <row r="390" spans="5:5" x14ac:dyDescent="0.35">
      <c r="E390">
        <v>20</v>
      </c>
    </row>
    <row r="391" spans="5:5" x14ac:dyDescent="0.35">
      <c r="E391">
        <v>20</v>
      </c>
    </row>
    <row r="392" spans="5:5" x14ac:dyDescent="0.35">
      <c r="E392">
        <v>20</v>
      </c>
    </row>
    <row r="393" spans="5:5" x14ac:dyDescent="0.35">
      <c r="E393">
        <v>20</v>
      </c>
    </row>
    <row r="394" spans="5:5" x14ac:dyDescent="0.35">
      <c r="E394">
        <v>20</v>
      </c>
    </row>
    <row r="395" spans="5:5" x14ac:dyDescent="0.35">
      <c r="E395">
        <v>20</v>
      </c>
    </row>
    <row r="396" spans="5:5" x14ac:dyDescent="0.35">
      <c r="E396">
        <v>20</v>
      </c>
    </row>
    <row r="397" spans="5:5" x14ac:dyDescent="0.35">
      <c r="E397">
        <v>20</v>
      </c>
    </row>
    <row r="398" spans="5:5" x14ac:dyDescent="0.35">
      <c r="E398">
        <v>20</v>
      </c>
    </row>
    <row r="399" spans="5:5" x14ac:dyDescent="0.35">
      <c r="E399">
        <v>20</v>
      </c>
    </row>
    <row r="400" spans="5:5" x14ac:dyDescent="0.35">
      <c r="E400">
        <v>20</v>
      </c>
    </row>
    <row r="401" spans="5:5" x14ac:dyDescent="0.35">
      <c r="E401">
        <v>20</v>
      </c>
    </row>
    <row r="402" spans="5:5" x14ac:dyDescent="0.35">
      <c r="E402">
        <v>20</v>
      </c>
    </row>
    <row r="403" spans="5:5" x14ac:dyDescent="0.35">
      <c r="E403">
        <v>20</v>
      </c>
    </row>
    <row r="404" spans="5:5" x14ac:dyDescent="0.35">
      <c r="E404">
        <v>20</v>
      </c>
    </row>
    <row r="405" spans="5:5" x14ac:dyDescent="0.35">
      <c r="E405">
        <v>20</v>
      </c>
    </row>
    <row r="406" spans="5:5" x14ac:dyDescent="0.35">
      <c r="E406">
        <v>20</v>
      </c>
    </row>
    <row r="407" spans="5:5" x14ac:dyDescent="0.35">
      <c r="E407">
        <v>20</v>
      </c>
    </row>
    <row r="408" spans="5:5" x14ac:dyDescent="0.35">
      <c r="E408">
        <v>20</v>
      </c>
    </row>
    <row r="409" spans="5:5" x14ac:dyDescent="0.35">
      <c r="E409">
        <v>20</v>
      </c>
    </row>
    <row r="410" spans="5:5" x14ac:dyDescent="0.35">
      <c r="E410">
        <v>20</v>
      </c>
    </row>
    <row r="411" spans="5:5" x14ac:dyDescent="0.35">
      <c r="E411">
        <v>20</v>
      </c>
    </row>
    <row r="412" spans="5:5" x14ac:dyDescent="0.35">
      <c r="E412">
        <v>20</v>
      </c>
    </row>
    <row r="413" spans="5:5" x14ac:dyDescent="0.35">
      <c r="E413">
        <v>20</v>
      </c>
    </row>
    <row r="414" spans="5:5" x14ac:dyDescent="0.35">
      <c r="E414">
        <v>20</v>
      </c>
    </row>
    <row r="415" spans="5:5" x14ac:dyDescent="0.35">
      <c r="E415">
        <v>20</v>
      </c>
    </row>
    <row r="416" spans="5:5" x14ac:dyDescent="0.35">
      <c r="E416">
        <v>20</v>
      </c>
    </row>
    <row r="417" spans="5:5" x14ac:dyDescent="0.35">
      <c r="E417">
        <v>20</v>
      </c>
    </row>
    <row r="418" spans="5:5" x14ac:dyDescent="0.35">
      <c r="E418">
        <v>20</v>
      </c>
    </row>
    <row r="419" spans="5:5" x14ac:dyDescent="0.35">
      <c r="E419">
        <v>20</v>
      </c>
    </row>
    <row r="420" spans="5:5" x14ac:dyDescent="0.35">
      <c r="E420">
        <v>20</v>
      </c>
    </row>
    <row r="421" spans="5:5" x14ac:dyDescent="0.35">
      <c r="E421">
        <v>20</v>
      </c>
    </row>
    <row r="422" spans="5:5" x14ac:dyDescent="0.35">
      <c r="E422">
        <v>20</v>
      </c>
    </row>
    <row r="423" spans="5:5" x14ac:dyDescent="0.35">
      <c r="E423">
        <v>20</v>
      </c>
    </row>
    <row r="424" spans="5:5" x14ac:dyDescent="0.35">
      <c r="E424">
        <v>20</v>
      </c>
    </row>
    <row r="425" spans="5:5" x14ac:dyDescent="0.35">
      <c r="E425">
        <v>20</v>
      </c>
    </row>
    <row r="426" spans="5:5" x14ac:dyDescent="0.35">
      <c r="E426">
        <v>20</v>
      </c>
    </row>
    <row r="427" spans="5:5" x14ac:dyDescent="0.35">
      <c r="E427">
        <v>20</v>
      </c>
    </row>
    <row r="428" spans="5:5" x14ac:dyDescent="0.35">
      <c r="E428">
        <v>20</v>
      </c>
    </row>
    <row r="429" spans="5:5" x14ac:dyDescent="0.35">
      <c r="E429">
        <v>20</v>
      </c>
    </row>
    <row r="430" spans="5:5" x14ac:dyDescent="0.35">
      <c r="E430">
        <v>20</v>
      </c>
    </row>
    <row r="431" spans="5:5" x14ac:dyDescent="0.35">
      <c r="E431">
        <v>20</v>
      </c>
    </row>
    <row r="432" spans="5:5" x14ac:dyDescent="0.35">
      <c r="E432">
        <v>20</v>
      </c>
    </row>
    <row r="433" spans="5:5" x14ac:dyDescent="0.35">
      <c r="E433">
        <v>20</v>
      </c>
    </row>
    <row r="434" spans="5:5" x14ac:dyDescent="0.35">
      <c r="E434">
        <v>20</v>
      </c>
    </row>
    <row r="435" spans="5:5" x14ac:dyDescent="0.35">
      <c r="E435">
        <v>20</v>
      </c>
    </row>
    <row r="436" spans="5:5" x14ac:dyDescent="0.35">
      <c r="E436">
        <v>20</v>
      </c>
    </row>
    <row r="437" spans="5:5" x14ac:dyDescent="0.35">
      <c r="E437">
        <v>20</v>
      </c>
    </row>
    <row r="438" spans="5:5" x14ac:dyDescent="0.35">
      <c r="E438">
        <v>20</v>
      </c>
    </row>
    <row r="439" spans="5:5" x14ac:dyDescent="0.35">
      <c r="E439">
        <v>20</v>
      </c>
    </row>
    <row r="440" spans="5:5" x14ac:dyDescent="0.35">
      <c r="E440">
        <v>20</v>
      </c>
    </row>
    <row r="441" spans="5:5" x14ac:dyDescent="0.35">
      <c r="E441">
        <v>20</v>
      </c>
    </row>
    <row r="442" spans="5:5" x14ac:dyDescent="0.35">
      <c r="E442">
        <v>20</v>
      </c>
    </row>
    <row r="443" spans="5:5" x14ac:dyDescent="0.35">
      <c r="E443">
        <v>20</v>
      </c>
    </row>
    <row r="444" spans="5:5" x14ac:dyDescent="0.35">
      <c r="E444">
        <v>20</v>
      </c>
    </row>
    <row r="445" spans="5:5" x14ac:dyDescent="0.35">
      <c r="E445">
        <v>20</v>
      </c>
    </row>
    <row r="446" spans="5:5" x14ac:dyDescent="0.35">
      <c r="E446">
        <v>20</v>
      </c>
    </row>
    <row r="447" spans="5:5" x14ac:dyDescent="0.35">
      <c r="E447">
        <v>20</v>
      </c>
    </row>
    <row r="448" spans="5:5" x14ac:dyDescent="0.35">
      <c r="E448">
        <v>20</v>
      </c>
    </row>
    <row r="449" spans="5:5" x14ac:dyDescent="0.35">
      <c r="E449">
        <v>20</v>
      </c>
    </row>
    <row r="450" spans="5:5" x14ac:dyDescent="0.35">
      <c r="E450">
        <v>20</v>
      </c>
    </row>
    <row r="451" spans="5:5" x14ac:dyDescent="0.35">
      <c r="E451">
        <v>20</v>
      </c>
    </row>
    <row r="452" spans="5:5" x14ac:dyDescent="0.35">
      <c r="E452">
        <v>20</v>
      </c>
    </row>
    <row r="453" spans="5:5" x14ac:dyDescent="0.35">
      <c r="E453">
        <v>20</v>
      </c>
    </row>
    <row r="454" spans="5:5" x14ac:dyDescent="0.35">
      <c r="E454">
        <v>20</v>
      </c>
    </row>
    <row r="455" spans="5:5" x14ac:dyDescent="0.35">
      <c r="E455">
        <v>20</v>
      </c>
    </row>
    <row r="456" spans="5:5" x14ac:dyDescent="0.35">
      <c r="E456">
        <v>20</v>
      </c>
    </row>
    <row r="457" spans="5:5" x14ac:dyDescent="0.35">
      <c r="E457">
        <v>20</v>
      </c>
    </row>
    <row r="458" spans="5:5" x14ac:dyDescent="0.35">
      <c r="E458">
        <v>20</v>
      </c>
    </row>
    <row r="459" spans="5:5" x14ac:dyDescent="0.35">
      <c r="E459">
        <v>20</v>
      </c>
    </row>
    <row r="460" spans="5:5" x14ac:dyDescent="0.35">
      <c r="E460">
        <v>20</v>
      </c>
    </row>
    <row r="461" spans="5:5" x14ac:dyDescent="0.35">
      <c r="E461">
        <v>20</v>
      </c>
    </row>
    <row r="462" spans="5:5" x14ac:dyDescent="0.35">
      <c r="E462">
        <v>20</v>
      </c>
    </row>
    <row r="463" spans="5:5" x14ac:dyDescent="0.35">
      <c r="E463">
        <v>20</v>
      </c>
    </row>
    <row r="464" spans="5:5" x14ac:dyDescent="0.35">
      <c r="E464">
        <v>20</v>
      </c>
    </row>
    <row r="465" spans="5:5" x14ac:dyDescent="0.35">
      <c r="E465">
        <v>20</v>
      </c>
    </row>
    <row r="466" spans="5:5" x14ac:dyDescent="0.35">
      <c r="E466">
        <v>20</v>
      </c>
    </row>
    <row r="467" spans="5:5" x14ac:dyDescent="0.35">
      <c r="E467">
        <v>20</v>
      </c>
    </row>
    <row r="468" spans="5:5" x14ac:dyDescent="0.35">
      <c r="E468">
        <v>20</v>
      </c>
    </row>
    <row r="469" spans="5:5" x14ac:dyDescent="0.35">
      <c r="E469">
        <v>20</v>
      </c>
    </row>
    <row r="470" spans="5:5" x14ac:dyDescent="0.35">
      <c r="E470">
        <v>20</v>
      </c>
    </row>
    <row r="471" spans="5:5" x14ac:dyDescent="0.35">
      <c r="E471">
        <v>20</v>
      </c>
    </row>
    <row r="472" spans="5:5" x14ac:dyDescent="0.35">
      <c r="E472">
        <v>20</v>
      </c>
    </row>
    <row r="473" spans="5:5" x14ac:dyDescent="0.35">
      <c r="E473">
        <v>20</v>
      </c>
    </row>
    <row r="474" spans="5:5" x14ac:dyDescent="0.35">
      <c r="E474">
        <v>20</v>
      </c>
    </row>
    <row r="475" spans="5:5" x14ac:dyDescent="0.35">
      <c r="E475">
        <v>20</v>
      </c>
    </row>
    <row r="476" spans="5:5" x14ac:dyDescent="0.35">
      <c r="E476">
        <v>20</v>
      </c>
    </row>
    <row r="477" spans="5:5" x14ac:dyDescent="0.35">
      <c r="E477">
        <v>20</v>
      </c>
    </row>
    <row r="478" spans="5:5" x14ac:dyDescent="0.35">
      <c r="E478">
        <v>20</v>
      </c>
    </row>
    <row r="479" spans="5:5" x14ac:dyDescent="0.35">
      <c r="E479">
        <v>20</v>
      </c>
    </row>
    <row r="480" spans="5:5" x14ac:dyDescent="0.35">
      <c r="E480">
        <v>20</v>
      </c>
    </row>
    <row r="481" spans="5:5" x14ac:dyDescent="0.35">
      <c r="E481">
        <v>20</v>
      </c>
    </row>
    <row r="482" spans="5:5" x14ac:dyDescent="0.35">
      <c r="E482">
        <v>20</v>
      </c>
    </row>
    <row r="483" spans="5:5" x14ac:dyDescent="0.35">
      <c r="E483">
        <v>20</v>
      </c>
    </row>
    <row r="484" spans="5:5" x14ac:dyDescent="0.35">
      <c r="E484">
        <v>20</v>
      </c>
    </row>
    <row r="485" spans="5:5" x14ac:dyDescent="0.35">
      <c r="E485">
        <v>20</v>
      </c>
    </row>
    <row r="486" spans="5:5" x14ac:dyDescent="0.35">
      <c r="E486">
        <v>20</v>
      </c>
    </row>
    <row r="487" spans="5:5" x14ac:dyDescent="0.35">
      <c r="E487">
        <v>20</v>
      </c>
    </row>
    <row r="488" spans="5:5" x14ac:dyDescent="0.35">
      <c r="E488">
        <v>20</v>
      </c>
    </row>
    <row r="489" spans="5:5" x14ac:dyDescent="0.35">
      <c r="E489">
        <v>20</v>
      </c>
    </row>
    <row r="490" spans="5:5" x14ac:dyDescent="0.35">
      <c r="E490">
        <v>20</v>
      </c>
    </row>
    <row r="491" spans="5:5" x14ac:dyDescent="0.35">
      <c r="E491">
        <v>20</v>
      </c>
    </row>
    <row r="492" spans="5:5" x14ac:dyDescent="0.35">
      <c r="E492">
        <v>20</v>
      </c>
    </row>
    <row r="493" spans="5:5" x14ac:dyDescent="0.35">
      <c r="E493">
        <v>20</v>
      </c>
    </row>
    <row r="494" spans="5:5" x14ac:dyDescent="0.35">
      <c r="E494">
        <v>20</v>
      </c>
    </row>
    <row r="495" spans="5:5" x14ac:dyDescent="0.35">
      <c r="E495">
        <v>20</v>
      </c>
    </row>
    <row r="496" spans="5:5" x14ac:dyDescent="0.35">
      <c r="E496">
        <v>20</v>
      </c>
    </row>
    <row r="497" spans="5:5" x14ac:dyDescent="0.35">
      <c r="E497">
        <v>20</v>
      </c>
    </row>
    <row r="498" spans="5:5" x14ac:dyDescent="0.35">
      <c r="E498">
        <v>20</v>
      </c>
    </row>
    <row r="499" spans="5:5" x14ac:dyDescent="0.35">
      <c r="E499">
        <v>20</v>
      </c>
    </row>
    <row r="500" spans="5:5" x14ac:dyDescent="0.35">
      <c r="E500">
        <v>20</v>
      </c>
    </row>
    <row r="501" spans="5:5" x14ac:dyDescent="0.35">
      <c r="E501">
        <v>20</v>
      </c>
    </row>
    <row r="502" spans="5:5" x14ac:dyDescent="0.35">
      <c r="E502">
        <v>20</v>
      </c>
    </row>
    <row r="503" spans="5:5" x14ac:dyDescent="0.35">
      <c r="E503">
        <v>20</v>
      </c>
    </row>
    <row r="504" spans="5:5" x14ac:dyDescent="0.35">
      <c r="E504">
        <v>20</v>
      </c>
    </row>
    <row r="505" spans="5:5" x14ac:dyDescent="0.35">
      <c r="E505">
        <v>20</v>
      </c>
    </row>
    <row r="506" spans="5:5" x14ac:dyDescent="0.35">
      <c r="E506">
        <v>20</v>
      </c>
    </row>
    <row r="507" spans="5:5" x14ac:dyDescent="0.35">
      <c r="E507">
        <v>20</v>
      </c>
    </row>
    <row r="508" spans="5:5" x14ac:dyDescent="0.35">
      <c r="E508">
        <v>20</v>
      </c>
    </row>
    <row r="509" spans="5:5" x14ac:dyDescent="0.35">
      <c r="E509">
        <v>20</v>
      </c>
    </row>
    <row r="510" spans="5:5" x14ac:dyDescent="0.35">
      <c r="E510">
        <v>20</v>
      </c>
    </row>
    <row r="511" spans="5:5" x14ac:dyDescent="0.35">
      <c r="E511">
        <v>20</v>
      </c>
    </row>
    <row r="512" spans="5:5" x14ac:dyDescent="0.35">
      <c r="E512">
        <v>20</v>
      </c>
    </row>
    <row r="513" spans="5:5" x14ac:dyDescent="0.35">
      <c r="E513">
        <v>20</v>
      </c>
    </row>
    <row r="514" spans="5:5" x14ac:dyDescent="0.35">
      <c r="E514">
        <v>20</v>
      </c>
    </row>
    <row r="515" spans="5:5" x14ac:dyDescent="0.35">
      <c r="E515">
        <v>20</v>
      </c>
    </row>
    <row r="516" spans="5:5" x14ac:dyDescent="0.35">
      <c r="E516">
        <v>20</v>
      </c>
    </row>
    <row r="517" spans="5:5" x14ac:dyDescent="0.35">
      <c r="E517">
        <v>20</v>
      </c>
    </row>
    <row r="518" spans="5:5" x14ac:dyDescent="0.35">
      <c r="E518">
        <v>20</v>
      </c>
    </row>
    <row r="519" spans="5:5" x14ac:dyDescent="0.35">
      <c r="E519">
        <v>20</v>
      </c>
    </row>
    <row r="520" spans="5:5" x14ac:dyDescent="0.35">
      <c r="E520">
        <v>20</v>
      </c>
    </row>
    <row r="521" spans="5:5" x14ac:dyDescent="0.35">
      <c r="E521">
        <v>20</v>
      </c>
    </row>
    <row r="522" spans="5:5" x14ac:dyDescent="0.35">
      <c r="E522">
        <v>20</v>
      </c>
    </row>
    <row r="523" spans="5:5" x14ac:dyDescent="0.35">
      <c r="E523">
        <v>20</v>
      </c>
    </row>
    <row r="524" spans="5:5" x14ac:dyDescent="0.35">
      <c r="E524">
        <v>20</v>
      </c>
    </row>
    <row r="525" spans="5:5" x14ac:dyDescent="0.35">
      <c r="E525">
        <v>20</v>
      </c>
    </row>
    <row r="526" spans="5:5" x14ac:dyDescent="0.35">
      <c r="E526">
        <v>20</v>
      </c>
    </row>
    <row r="527" spans="5:5" x14ac:dyDescent="0.35">
      <c r="E527">
        <v>20</v>
      </c>
    </row>
    <row r="528" spans="5:5" x14ac:dyDescent="0.35">
      <c r="E528">
        <v>20</v>
      </c>
    </row>
    <row r="529" spans="5:5" x14ac:dyDescent="0.35">
      <c r="E529">
        <v>20</v>
      </c>
    </row>
    <row r="530" spans="5:5" x14ac:dyDescent="0.35">
      <c r="E530">
        <v>20</v>
      </c>
    </row>
    <row r="531" spans="5:5" x14ac:dyDescent="0.35">
      <c r="E531">
        <v>20</v>
      </c>
    </row>
    <row r="532" spans="5:5" x14ac:dyDescent="0.35">
      <c r="E532">
        <v>20</v>
      </c>
    </row>
    <row r="533" spans="5:5" x14ac:dyDescent="0.35">
      <c r="E533">
        <v>20</v>
      </c>
    </row>
    <row r="534" spans="5:5" x14ac:dyDescent="0.35">
      <c r="E534">
        <v>20</v>
      </c>
    </row>
    <row r="535" spans="5:5" x14ac:dyDescent="0.35">
      <c r="E535">
        <v>20</v>
      </c>
    </row>
    <row r="536" spans="5:5" x14ac:dyDescent="0.35">
      <c r="E536">
        <v>20</v>
      </c>
    </row>
    <row r="537" spans="5:5" x14ac:dyDescent="0.35">
      <c r="E537">
        <v>20</v>
      </c>
    </row>
    <row r="538" spans="5:5" x14ac:dyDescent="0.35">
      <c r="E538">
        <v>20</v>
      </c>
    </row>
    <row r="539" spans="5:5" x14ac:dyDescent="0.35">
      <c r="E539">
        <v>20</v>
      </c>
    </row>
    <row r="540" spans="5:5" x14ac:dyDescent="0.35">
      <c r="E540">
        <v>20</v>
      </c>
    </row>
    <row r="541" spans="5:5" x14ac:dyDescent="0.35">
      <c r="E541">
        <v>20</v>
      </c>
    </row>
    <row r="542" spans="5:5" x14ac:dyDescent="0.35">
      <c r="E542">
        <v>20</v>
      </c>
    </row>
    <row r="543" spans="5:5" x14ac:dyDescent="0.35">
      <c r="E543">
        <v>20</v>
      </c>
    </row>
    <row r="544" spans="5:5" x14ac:dyDescent="0.35">
      <c r="E544">
        <v>20</v>
      </c>
    </row>
    <row r="545" spans="5:5" x14ac:dyDescent="0.35">
      <c r="E545">
        <v>20</v>
      </c>
    </row>
    <row r="546" spans="5:5" x14ac:dyDescent="0.35">
      <c r="E546">
        <v>20</v>
      </c>
    </row>
    <row r="547" spans="5:5" x14ac:dyDescent="0.35">
      <c r="E547">
        <v>20</v>
      </c>
    </row>
    <row r="548" spans="5:5" x14ac:dyDescent="0.35">
      <c r="E548">
        <v>20</v>
      </c>
    </row>
    <row r="549" spans="5:5" x14ac:dyDescent="0.35">
      <c r="E549">
        <v>20</v>
      </c>
    </row>
    <row r="550" spans="5:5" x14ac:dyDescent="0.35">
      <c r="E550">
        <v>20</v>
      </c>
    </row>
    <row r="551" spans="5:5" x14ac:dyDescent="0.35">
      <c r="E551">
        <v>20</v>
      </c>
    </row>
    <row r="552" spans="5:5" x14ac:dyDescent="0.35">
      <c r="E552">
        <v>20</v>
      </c>
    </row>
    <row r="553" spans="5:5" x14ac:dyDescent="0.35">
      <c r="E553">
        <v>20</v>
      </c>
    </row>
    <row r="554" spans="5:5" x14ac:dyDescent="0.35">
      <c r="E554">
        <v>20</v>
      </c>
    </row>
    <row r="555" spans="5:5" x14ac:dyDescent="0.35">
      <c r="E555">
        <v>20</v>
      </c>
    </row>
    <row r="556" spans="5:5" x14ac:dyDescent="0.35">
      <c r="E556">
        <v>20</v>
      </c>
    </row>
    <row r="557" spans="5:5" x14ac:dyDescent="0.35">
      <c r="E557">
        <v>20</v>
      </c>
    </row>
    <row r="558" spans="5:5" x14ac:dyDescent="0.35">
      <c r="E558">
        <v>20</v>
      </c>
    </row>
    <row r="559" spans="5:5" x14ac:dyDescent="0.35">
      <c r="E559">
        <v>20</v>
      </c>
    </row>
    <row r="560" spans="5:5" x14ac:dyDescent="0.35">
      <c r="E560">
        <v>20</v>
      </c>
    </row>
    <row r="561" spans="5:5" x14ac:dyDescent="0.35">
      <c r="E561">
        <v>20</v>
      </c>
    </row>
    <row r="562" spans="5:5" x14ac:dyDescent="0.35">
      <c r="E562">
        <v>20</v>
      </c>
    </row>
    <row r="563" spans="5:5" x14ac:dyDescent="0.35">
      <c r="E563">
        <v>20</v>
      </c>
    </row>
    <row r="564" spans="5:5" x14ac:dyDescent="0.35">
      <c r="E564">
        <v>20</v>
      </c>
    </row>
    <row r="565" spans="5:5" x14ac:dyDescent="0.35">
      <c r="E565">
        <v>20</v>
      </c>
    </row>
    <row r="566" spans="5:5" x14ac:dyDescent="0.35">
      <c r="E566">
        <v>20</v>
      </c>
    </row>
    <row r="567" spans="5:5" x14ac:dyDescent="0.35">
      <c r="E567">
        <v>20</v>
      </c>
    </row>
    <row r="568" spans="5:5" x14ac:dyDescent="0.35">
      <c r="E568">
        <v>20</v>
      </c>
    </row>
    <row r="569" spans="5:5" x14ac:dyDescent="0.35">
      <c r="E569">
        <v>20</v>
      </c>
    </row>
    <row r="570" spans="5:5" x14ac:dyDescent="0.35">
      <c r="E570">
        <v>20</v>
      </c>
    </row>
    <row r="571" spans="5:5" x14ac:dyDescent="0.35">
      <c r="E571">
        <v>20</v>
      </c>
    </row>
    <row r="572" spans="5:5" x14ac:dyDescent="0.35">
      <c r="E572">
        <v>20</v>
      </c>
    </row>
    <row r="573" spans="5:5" x14ac:dyDescent="0.35">
      <c r="E573">
        <v>20</v>
      </c>
    </row>
    <row r="574" spans="5:5" x14ac:dyDescent="0.35">
      <c r="E574">
        <v>20</v>
      </c>
    </row>
    <row r="575" spans="5:5" x14ac:dyDescent="0.35">
      <c r="E575">
        <v>20</v>
      </c>
    </row>
    <row r="576" spans="5:5" x14ac:dyDescent="0.35">
      <c r="E576">
        <v>20</v>
      </c>
    </row>
    <row r="577" spans="5:5" x14ac:dyDescent="0.35">
      <c r="E577">
        <v>20</v>
      </c>
    </row>
    <row r="578" spans="5:5" x14ac:dyDescent="0.35">
      <c r="E578">
        <v>20</v>
      </c>
    </row>
    <row r="579" spans="5:5" x14ac:dyDescent="0.35">
      <c r="E579">
        <v>20</v>
      </c>
    </row>
    <row r="580" spans="5:5" x14ac:dyDescent="0.35">
      <c r="E580">
        <v>20</v>
      </c>
    </row>
    <row r="581" spans="5:5" x14ac:dyDescent="0.35">
      <c r="E581">
        <v>20</v>
      </c>
    </row>
    <row r="582" spans="5:5" x14ac:dyDescent="0.35">
      <c r="E582">
        <v>20</v>
      </c>
    </row>
    <row r="583" spans="5:5" x14ac:dyDescent="0.35">
      <c r="E583">
        <v>20</v>
      </c>
    </row>
    <row r="584" spans="5:5" x14ac:dyDescent="0.35">
      <c r="E584">
        <v>20</v>
      </c>
    </row>
    <row r="585" spans="5:5" x14ac:dyDescent="0.35">
      <c r="E585">
        <v>20</v>
      </c>
    </row>
    <row r="586" spans="5:5" x14ac:dyDescent="0.35">
      <c r="E586">
        <v>20</v>
      </c>
    </row>
    <row r="587" spans="5:5" x14ac:dyDescent="0.35">
      <c r="E587">
        <v>20</v>
      </c>
    </row>
    <row r="588" spans="5:5" x14ac:dyDescent="0.35">
      <c r="E588">
        <v>20</v>
      </c>
    </row>
    <row r="589" spans="5:5" x14ac:dyDescent="0.35">
      <c r="E589">
        <v>20</v>
      </c>
    </row>
    <row r="590" spans="5:5" x14ac:dyDescent="0.35">
      <c r="E590">
        <v>20</v>
      </c>
    </row>
    <row r="591" spans="5:5" x14ac:dyDescent="0.35">
      <c r="E591">
        <v>20</v>
      </c>
    </row>
    <row r="592" spans="5:5" x14ac:dyDescent="0.35">
      <c r="E592">
        <v>20</v>
      </c>
    </row>
    <row r="593" spans="5:5" x14ac:dyDescent="0.35">
      <c r="E593">
        <v>20</v>
      </c>
    </row>
    <row r="594" spans="5:5" x14ac:dyDescent="0.35">
      <c r="E594">
        <v>20</v>
      </c>
    </row>
    <row r="595" spans="5:5" x14ac:dyDescent="0.35">
      <c r="E595">
        <v>20</v>
      </c>
    </row>
    <row r="596" spans="5:5" x14ac:dyDescent="0.35">
      <c r="E596">
        <v>20</v>
      </c>
    </row>
    <row r="597" spans="5:5" x14ac:dyDescent="0.35">
      <c r="E597">
        <v>20</v>
      </c>
    </row>
    <row r="598" spans="5:5" x14ac:dyDescent="0.35">
      <c r="E598">
        <v>20</v>
      </c>
    </row>
    <row r="599" spans="5:5" x14ac:dyDescent="0.35">
      <c r="E599">
        <v>20</v>
      </c>
    </row>
    <row r="600" spans="5:5" x14ac:dyDescent="0.35">
      <c r="E600">
        <v>20</v>
      </c>
    </row>
    <row r="601" spans="5:5" x14ac:dyDescent="0.35">
      <c r="E601">
        <v>20</v>
      </c>
    </row>
    <row r="602" spans="5:5" x14ac:dyDescent="0.35">
      <c r="E602">
        <v>20</v>
      </c>
    </row>
    <row r="603" spans="5:5" x14ac:dyDescent="0.35">
      <c r="E603">
        <v>20</v>
      </c>
    </row>
    <row r="604" spans="5:5" x14ac:dyDescent="0.35">
      <c r="E604">
        <v>20</v>
      </c>
    </row>
    <row r="605" spans="5:5" x14ac:dyDescent="0.35">
      <c r="E605">
        <v>20</v>
      </c>
    </row>
    <row r="606" spans="5:5" x14ac:dyDescent="0.35">
      <c r="E606">
        <v>20</v>
      </c>
    </row>
    <row r="607" spans="5:5" x14ac:dyDescent="0.35">
      <c r="E607">
        <v>20</v>
      </c>
    </row>
    <row r="608" spans="5:5" x14ac:dyDescent="0.35">
      <c r="E608">
        <v>20</v>
      </c>
    </row>
    <row r="609" spans="5:5" x14ac:dyDescent="0.35">
      <c r="E609">
        <v>20</v>
      </c>
    </row>
    <row r="610" spans="5:5" x14ac:dyDescent="0.35">
      <c r="E610">
        <v>20</v>
      </c>
    </row>
    <row r="611" spans="5:5" x14ac:dyDescent="0.35">
      <c r="E611">
        <v>20</v>
      </c>
    </row>
    <row r="612" spans="5:5" x14ac:dyDescent="0.35">
      <c r="E612">
        <v>20</v>
      </c>
    </row>
    <row r="613" spans="5:5" x14ac:dyDescent="0.35">
      <c r="E613">
        <v>20</v>
      </c>
    </row>
    <row r="614" spans="5:5" x14ac:dyDescent="0.35">
      <c r="E614">
        <v>20</v>
      </c>
    </row>
    <row r="615" spans="5:5" x14ac:dyDescent="0.35">
      <c r="E615">
        <v>20</v>
      </c>
    </row>
    <row r="616" spans="5:5" x14ac:dyDescent="0.35">
      <c r="E616">
        <v>20</v>
      </c>
    </row>
    <row r="617" spans="5:5" x14ac:dyDescent="0.35">
      <c r="E617">
        <v>20</v>
      </c>
    </row>
    <row r="618" spans="5:5" x14ac:dyDescent="0.35">
      <c r="E618">
        <v>20</v>
      </c>
    </row>
    <row r="619" spans="5:5" x14ac:dyDescent="0.35">
      <c r="E619">
        <v>20</v>
      </c>
    </row>
    <row r="620" spans="5:5" x14ac:dyDescent="0.35">
      <c r="E620">
        <v>20</v>
      </c>
    </row>
    <row r="621" spans="5:5" x14ac:dyDescent="0.35">
      <c r="E621">
        <v>20</v>
      </c>
    </row>
    <row r="622" spans="5:5" x14ac:dyDescent="0.35">
      <c r="E622">
        <v>20</v>
      </c>
    </row>
    <row r="623" spans="5:5" x14ac:dyDescent="0.35">
      <c r="E623">
        <v>20</v>
      </c>
    </row>
    <row r="624" spans="5:5" x14ac:dyDescent="0.35">
      <c r="E624">
        <v>20</v>
      </c>
    </row>
    <row r="625" spans="5:5" x14ac:dyDescent="0.35">
      <c r="E625">
        <v>20</v>
      </c>
    </row>
    <row r="626" spans="5:5" x14ac:dyDescent="0.35">
      <c r="E626">
        <v>20</v>
      </c>
    </row>
    <row r="627" spans="5:5" x14ac:dyDescent="0.35">
      <c r="E627">
        <v>20</v>
      </c>
    </row>
    <row r="628" spans="5:5" x14ac:dyDescent="0.35">
      <c r="E628">
        <v>20</v>
      </c>
    </row>
    <row r="629" spans="5:5" x14ac:dyDescent="0.35">
      <c r="E629">
        <v>20</v>
      </c>
    </row>
    <row r="630" spans="5:5" x14ac:dyDescent="0.35">
      <c r="E630">
        <v>20</v>
      </c>
    </row>
    <row r="631" spans="5:5" x14ac:dyDescent="0.35">
      <c r="E631">
        <v>20</v>
      </c>
    </row>
    <row r="633" spans="5:5" x14ac:dyDescent="0.35">
      <c r="E633" s="14"/>
    </row>
    <row r="634" spans="5:5" x14ac:dyDescent="0.35">
      <c r="E634" s="15"/>
    </row>
    <row r="635" spans="5:5" x14ac:dyDescent="0.35">
      <c r="E635" s="14"/>
    </row>
    <row r="636" spans="5:5" x14ac:dyDescent="0.35">
      <c r="E636" s="14"/>
    </row>
    <row r="637" spans="5:5" x14ac:dyDescent="0.35">
      <c r="E637" s="14"/>
    </row>
    <row r="638" spans="5:5" x14ac:dyDescent="0.35">
      <c r="E638" s="14"/>
    </row>
    <row r="639" spans="5:5" x14ac:dyDescent="0.35">
      <c r="E639" s="14"/>
    </row>
    <row r="640" spans="5:5" x14ac:dyDescent="0.35">
      <c r="E640" s="14"/>
    </row>
  </sheetData>
  <sortState ref="E2:E640">
    <sortCondition descending="1" ref="E1"/>
  </sortState>
  <conditionalFormatting sqref="E1:E1048576">
    <cfRule type="cellIs" dxfId="5" priority="2" operator="greaterThan">
      <formula>100</formula>
    </cfRule>
    <cfRule type="top10" dxfId="6" priority="1" rank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Learning &amp; Growth</vt:lpstr>
      <vt:lpstr>career switch</vt:lpstr>
      <vt:lpstr>fiedl_salary</vt:lpstr>
      <vt:lpstr>sal_Field</vt:lpstr>
      <vt:lpstr>shift_satisfy</vt:lpstr>
      <vt:lpstr>Salary Distribution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Khan</dc:creator>
  <cp:lastModifiedBy>PMLS</cp:lastModifiedBy>
  <dcterms:created xsi:type="dcterms:W3CDTF">2025-11-07T04:28:31Z</dcterms:created>
  <dcterms:modified xsi:type="dcterms:W3CDTF">2025-11-07T05:49:59Z</dcterms:modified>
</cp:coreProperties>
</file>